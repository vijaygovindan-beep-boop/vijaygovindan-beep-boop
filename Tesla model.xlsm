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f8d4fb8ddb56527/Documents/"/>
    </mc:Choice>
  </mc:AlternateContent>
  <xr:revisionPtr revIDLastSave="2910" documentId="8_{57EE5651-4E0D-4802-9FEE-788DBF242B62}" xr6:coauthVersionLast="46" xr6:coauthVersionMax="46" xr10:uidLastSave="{5D320D3C-FB78-47DE-9180-A15CDF1BD349}"/>
  <bookViews>
    <workbookView xWindow="-120" yWindow="-120" windowWidth="29040" windowHeight="15840" activeTab="3" xr2:uid="{32A3653D-1DF5-4FDC-804E-33D1598F7AC3}"/>
  </bookViews>
  <sheets>
    <sheet name="Model Info" sheetId="2" r:id="rId1"/>
    <sheet name="Model Assumptions" sheetId="3" r:id="rId2"/>
    <sheet name="Simple EV cash flow model" sheetId="1" r:id="rId3"/>
    <sheet name="Model Results" sheetId="4" r:id="rId4"/>
  </sheets>
  <definedNames>
    <definedName name="_xlchart.v1.0" hidden="1">'Model Results'!$L$2:$L$5001</definedName>
    <definedName name="_xlchart.v1.1" hidden="1">'Model Results'!$L$2:$L$5001</definedName>
    <definedName name="_xlchart.v1.2" hidden="1">'Model Results'!$L$2:$L$5001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004" i="4" l="1"/>
  <c r="H5005" i="4" s="1"/>
  <c r="L5009" i="4"/>
  <c r="E5005" i="4"/>
  <c r="E5004" i="4"/>
  <c r="L5008" i="4"/>
  <c r="L5007" i="4"/>
  <c r="L5006" i="4"/>
  <c r="L5005" i="4"/>
  <c r="L5004" i="4"/>
  <c r="L5003" i="4"/>
  <c r="K5003" i="4"/>
  <c r="J5003" i="4"/>
  <c r="I5003" i="4"/>
  <c r="H5003" i="4"/>
  <c r="G5003" i="4"/>
  <c r="F5003" i="4"/>
  <c r="E5003" i="4"/>
  <c r="D5003" i="4"/>
  <c r="C5003" i="4"/>
  <c r="B5003" i="4"/>
  <c r="O3" i="4"/>
  <c r="O2" i="4"/>
  <c r="N2" i="4"/>
  <c r="N3" i="4"/>
  <c r="N4" i="4"/>
  <c r="N5" i="4"/>
  <c r="D2" i="1"/>
  <c r="C2" i="1"/>
  <c r="C47" i="3"/>
  <c r="C46" i="3"/>
  <c r="C45" i="3"/>
  <c r="C44" i="3"/>
  <c r="C43" i="3"/>
  <c r="C42" i="3"/>
  <c r="C41" i="3"/>
  <c r="C33" i="3"/>
  <c r="C38" i="3"/>
  <c r="C32" i="3"/>
  <c r="E30" i="3"/>
  <c r="E29" i="3"/>
  <c r="E28" i="3"/>
  <c r="E27" i="3"/>
  <c r="E26" i="3"/>
  <c r="B25" i="3"/>
  <c r="F9" i="3"/>
  <c r="A23" i="1" s="1"/>
  <c r="F11" i="3"/>
  <c r="A33" i="1" s="1"/>
  <c r="A29" i="1"/>
  <c r="A17" i="1"/>
  <c r="A7" i="1"/>
  <c r="B12" i="1"/>
  <c r="E8" i="3"/>
  <c r="B30" i="1"/>
  <c r="E11" i="3"/>
  <c r="B21" i="1"/>
  <c r="C15" i="3"/>
  <c r="B11" i="1"/>
  <c r="C13" i="3"/>
  <c r="B10" i="1" s="1"/>
  <c r="E10" i="3"/>
  <c r="E9" i="3"/>
  <c r="E7" i="3"/>
  <c r="C16" i="3"/>
  <c r="B20" i="1" s="1"/>
  <c r="B6" i="3"/>
  <c r="C18" i="3"/>
  <c r="B22" i="1" s="1"/>
  <c r="L16" i="1"/>
  <c r="L17" i="1" s="1"/>
  <c r="K16" i="1"/>
  <c r="K17" i="1" s="1"/>
  <c r="J16" i="1"/>
  <c r="J17" i="1" s="1"/>
  <c r="I16" i="1"/>
  <c r="I17" i="1" s="1"/>
  <c r="H16" i="1"/>
  <c r="H17" i="1" s="1"/>
  <c r="G16" i="1"/>
  <c r="G17" i="1" s="1"/>
  <c r="F16" i="1"/>
  <c r="F17" i="1" s="1"/>
  <c r="E16" i="1"/>
  <c r="E17" i="1" s="1"/>
  <c r="D16" i="1"/>
  <c r="D17" i="1" s="1"/>
  <c r="C16" i="1"/>
  <c r="C17" i="1" s="1"/>
  <c r="D6" i="1"/>
  <c r="D7" i="1" s="1"/>
  <c r="E6" i="1"/>
  <c r="E7" i="1" s="1"/>
  <c r="F6" i="1"/>
  <c r="F7" i="1" s="1"/>
  <c r="G6" i="1"/>
  <c r="G7" i="1" s="1"/>
  <c r="H6" i="1"/>
  <c r="H7" i="1" s="1"/>
  <c r="I6" i="1"/>
  <c r="I7" i="1" s="1"/>
  <c r="J6" i="1"/>
  <c r="J7" i="1" s="1"/>
  <c r="K6" i="1"/>
  <c r="K7" i="1" s="1"/>
  <c r="L6" i="1"/>
  <c r="L7" i="1" s="1"/>
  <c r="D28" i="1"/>
  <c r="D29" i="1" s="1"/>
  <c r="E28" i="1"/>
  <c r="E29" i="1" s="1"/>
  <c r="F28" i="1"/>
  <c r="F29" i="1" s="1"/>
  <c r="G28" i="1"/>
  <c r="G29" i="1" s="1"/>
  <c r="H28" i="1"/>
  <c r="H29" i="1" s="1"/>
  <c r="I28" i="1"/>
  <c r="I29" i="1" s="1"/>
  <c r="J28" i="1"/>
  <c r="J29" i="1" s="1"/>
  <c r="K28" i="1"/>
  <c r="K29" i="1" s="1"/>
  <c r="L28" i="1"/>
  <c r="L29" i="1" s="1"/>
  <c r="C28" i="1"/>
  <c r="C29" i="1" s="1"/>
  <c r="C6" i="1"/>
  <c r="C7" i="1" s="1"/>
  <c r="C4" i="1"/>
  <c r="D4" i="1" s="1"/>
  <c r="E4" i="1" s="1"/>
  <c r="F4" i="1" s="1"/>
  <c r="G4" i="1" s="1"/>
  <c r="H4" i="1" s="1"/>
  <c r="I4" i="1" s="1"/>
  <c r="J4" i="1" s="1"/>
  <c r="K4" i="1" s="1"/>
  <c r="L4" i="1" s="1"/>
  <c r="F30" i="3" l="1"/>
  <c r="F28" i="3"/>
  <c r="A13" i="1"/>
  <c r="C11" i="1"/>
  <c r="D11" i="1" s="1"/>
  <c r="E11" i="1" s="1"/>
  <c r="F11" i="1" s="1"/>
  <c r="G11" i="1" s="1"/>
  <c r="H11" i="1" s="1"/>
  <c r="I11" i="1" s="1"/>
  <c r="J11" i="1" s="1"/>
  <c r="K11" i="1" s="1"/>
  <c r="L11" i="1" s="1"/>
  <c r="C21" i="1"/>
  <c r="C22" i="1" s="1"/>
  <c r="C23" i="1" s="1"/>
  <c r="B26" i="1"/>
  <c r="B31" i="1"/>
  <c r="C31" i="1" s="1"/>
  <c r="D31" i="1" s="1"/>
  <c r="E31" i="1" s="1"/>
  <c r="F31" i="1" s="1"/>
  <c r="G31" i="1" s="1"/>
  <c r="H31" i="1" s="1"/>
  <c r="I31" i="1" s="1"/>
  <c r="J31" i="1" s="1"/>
  <c r="K31" i="1" s="1"/>
  <c r="L31" i="1" s="1"/>
  <c r="B9" i="1"/>
  <c r="C24" i="1" l="1"/>
  <c r="C20" i="1" s="1"/>
  <c r="D21" i="1"/>
  <c r="D22" i="1" s="1"/>
  <c r="D23" i="1" s="1"/>
  <c r="B19" i="1"/>
  <c r="D24" i="1" l="1"/>
  <c r="D20" i="1" s="1"/>
  <c r="E21" i="1"/>
  <c r="E22" i="1" s="1"/>
  <c r="E23" i="1" s="1"/>
  <c r="E24" i="1" l="1"/>
  <c r="E20" i="1" s="1"/>
  <c r="F21" i="1"/>
  <c r="F22" i="1" s="1"/>
  <c r="F23" i="1" s="1"/>
  <c r="C12" i="1"/>
  <c r="C13" i="1" s="1"/>
  <c r="C14" i="1" s="1"/>
  <c r="C10" i="1" s="1"/>
  <c r="F24" i="1" l="1"/>
  <c r="F20" i="1" s="1"/>
  <c r="G21" i="1"/>
  <c r="G22" i="1" s="1"/>
  <c r="G23" i="1" s="1"/>
  <c r="G24" i="1" l="1"/>
  <c r="G20" i="1" s="1"/>
  <c r="H21" i="1"/>
  <c r="H22" i="1" s="1"/>
  <c r="H23" i="1" s="1"/>
  <c r="C26" i="1"/>
  <c r="C30" i="1" s="1"/>
  <c r="C9" i="1"/>
  <c r="H24" i="1" l="1"/>
  <c r="H20" i="1" s="1"/>
  <c r="I21" i="1"/>
  <c r="I22" i="1" s="1"/>
  <c r="I23" i="1" s="1"/>
  <c r="C19" i="1"/>
  <c r="I24" i="1" l="1"/>
  <c r="I20" i="1" s="1"/>
  <c r="J21" i="1"/>
  <c r="J22" i="1" s="1"/>
  <c r="J23" i="1" s="1"/>
  <c r="D12" i="1"/>
  <c r="D13" i="1" s="1"/>
  <c r="J24" i="1" l="1"/>
  <c r="J20" i="1" s="1"/>
  <c r="K21" i="1"/>
  <c r="K22" i="1" s="1"/>
  <c r="K23" i="1" s="1"/>
  <c r="D14" i="1"/>
  <c r="D10" i="1" s="1"/>
  <c r="K24" i="1" l="1"/>
  <c r="K20" i="1" s="1"/>
  <c r="L21" i="1"/>
  <c r="L22" i="1" l="1"/>
  <c r="D26" i="1"/>
  <c r="D9" i="1"/>
  <c r="L23" i="1" l="1"/>
  <c r="L24" i="1" s="1"/>
  <c r="L20" i="1" s="1"/>
  <c r="D19" i="1"/>
  <c r="E12" i="1" l="1"/>
  <c r="E13" i="1" s="1"/>
  <c r="E14" i="1" l="1"/>
  <c r="E10" i="1" s="1"/>
  <c r="E26" i="1" l="1"/>
  <c r="E9" i="1" l="1"/>
  <c r="E19" i="1" s="1"/>
  <c r="F12" i="1" l="1"/>
  <c r="F13" i="1" s="1"/>
  <c r="F14" i="1" l="1"/>
  <c r="F10" i="1" s="1"/>
  <c r="F26" i="1" l="1"/>
  <c r="F9" i="1" l="1"/>
  <c r="F19" i="1" l="1"/>
  <c r="G12" i="1"/>
  <c r="G13" i="1" s="1"/>
  <c r="G14" i="1" l="1"/>
  <c r="G10" i="1" s="1"/>
  <c r="G9" i="1" l="1"/>
  <c r="G26" i="1"/>
  <c r="G19" i="1" l="1"/>
  <c r="H12" i="1" l="1"/>
  <c r="H13" i="1" s="1"/>
  <c r="H14" i="1" l="1"/>
  <c r="H10" i="1" s="1"/>
  <c r="H9" i="1" l="1"/>
  <c r="H26" i="1" l="1"/>
  <c r="H19" i="1"/>
  <c r="I12" i="1" l="1"/>
  <c r="I13" i="1" s="1"/>
  <c r="G30" i="1"/>
  <c r="H30" i="1"/>
  <c r="D30" i="1"/>
  <c r="E30" i="1"/>
  <c r="F30" i="1"/>
  <c r="I14" i="1" l="1"/>
  <c r="I10" i="1" s="1"/>
  <c r="I9" i="1" l="1"/>
  <c r="I26" i="1" l="1"/>
  <c r="I30" i="1" s="1"/>
  <c r="I19" i="1"/>
  <c r="J12" i="1" l="1"/>
  <c r="J13" i="1" s="1"/>
  <c r="J14" i="1" l="1"/>
  <c r="J10" i="1" s="1"/>
  <c r="J26" i="1" l="1"/>
  <c r="J30" i="1" s="1"/>
  <c r="J9" i="1" l="1"/>
  <c r="J19" i="1" s="1"/>
  <c r="K12" i="1" l="1"/>
  <c r="K13" i="1" s="1"/>
  <c r="K14" i="1" l="1"/>
  <c r="K10" i="1" s="1"/>
  <c r="K26" i="1" l="1"/>
  <c r="K30" i="1" s="1"/>
  <c r="K9" i="1" l="1"/>
  <c r="K19" i="1" l="1"/>
  <c r="L12" i="1"/>
  <c r="L13" i="1" l="1"/>
  <c r="L14" i="1" s="1"/>
  <c r="L10" i="1" s="1"/>
  <c r="L26" i="1" l="1"/>
  <c r="L30" i="1" l="1"/>
  <c r="M33" i="1" s="1"/>
  <c r="L9" i="1"/>
  <c r="L19" i="1" s="1"/>
  <c r="B33" i="1" l="1"/>
  <c r="B3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tc={09BC99F6-BEA5-4442-9553-6FAF245FD6BD}</author>
    <author>tc={9F028055-EAEE-49D1-9A06-E0D3B3A320F1}</author>
    <author>Vijay Govindan</author>
    <author>tc={7B25490F-82F7-4110-93EC-CD12A07BCD2F}</author>
    <author>tc={BA9406AB-8A3F-424A-A494-A17F0F195C6F}</author>
    <author>tc={598FE2E7-C505-4B9B-822C-97DDAF0951A1}</author>
  </authors>
  <commentList>
    <comment ref="C15" authorId="0" shapeId="0" xr:uid="{09BC99F6-BEA5-4442-9553-6FAF245FD6BD}">
      <text>
        <t>[Threaded comment]
Your version of Excel allows you to read this threaded comment; however, any edits to it will get removed if the file is opened in a newer version of Excel. Learn more: https://go.microsoft.com/fwlink/?linkid=870924
Comment:
    My best estimate of Tesla cumulative production from 2014</t>
      </text>
    </comment>
    <comment ref="C33" authorId="1" shapeId="0" xr:uid="{9F028055-EAEE-49D1-9A06-E0D3B3A320F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was Q1 2021 production of 20,060, and multiplying by 4 to get an annual estimate.</t>
      </text>
    </comment>
    <comment ref="C34" authorId="2" shapeId="0" xr:uid="{0C134C80-4A8E-45CB-AFF7-805884DA2D69}">
      <text>
        <r>
          <rPr>
            <b/>
            <sz val="9"/>
            <color indexed="81"/>
            <rFont val="Tahoma"/>
            <family val="2"/>
          </rPr>
          <t>Vijay Govindan:</t>
        </r>
        <r>
          <rPr>
            <sz val="9"/>
            <color indexed="81"/>
            <rFont val="Tahoma"/>
            <family val="2"/>
          </rPr>
          <t xml:space="preserve">
https://cleantechnica.com/2021/04/09/nio-has-now-produced-100000-electric-vehicles/</t>
        </r>
      </text>
    </comment>
    <comment ref="C38" authorId="3" shapeId="0" xr:uid="{7B25490F-82F7-4110-93EC-CD12A07BCD2F}">
      <text>
        <t>[Threaded comment]
Your version of Excel allows you to read this threaded comment; however, any edits to it will get removed if the file is opened in a newer version of Excel. Learn more: https://go.microsoft.com/fwlink/?linkid=870924
Comment:
    Best proxy, from https://ir.nio.com/static-files/cb42cc7f-6069-45a2-bbe4-21d4808609b8</t>
      </text>
    </comment>
    <comment ref="C42" authorId="4" shapeId="0" xr:uid="{BA9406AB-8A3F-424A-A494-A17F0F195C6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was Q1 2021 production of 20,060, and multiplying by 4 to get an annual estimate.</t>
      </text>
    </comment>
    <comment ref="C43" authorId="2" shapeId="0" xr:uid="{37869EF5-8873-427D-B9E4-B322770C2B47}">
      <text>
        <r>
          <rPr>
            <b/>
            <sz val="9"/>
            <color indexed="81"/>
            <rFont val="Tahoma"/>
            <family val="2"/>
          </rPr>
          <t>Vijay Govindan:</t>
        </r>
        <r>
          <rPr>
            <sz val="9"/>
            <color indexed="81"/>
            <rFont val="Tahoma"/>
            <family val="2"/>
          </rPr>
          <t xml:space="preserve">
https://cleantechnica.com/2021/04/09/nio-has-now-produced-100000-electric-vehicles/</t>
        </r>
      </text>
    </comment>
    <comment ref="C47" authorId="5" shapeId="0" xr:uid="{598FE2E7-C505-4B9B-822C-97DDAF0951A1}">
      <text>
        <t>[Threaded comment]
Your version of Excel allows you to read this threaded comment; however, any edits to it will get removed if the file is opened in a newer version of Excel. Learn more: https://go.microsoft.com/fwlink/?linkid=870924
Comment:
    Best proxy, from https://ir.nio.com/static-files/cb42cc7f-6069-45a2-bbe4-21d4808609b8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tc={A0F49B77-D68E-472B-AF68-90A595B72F7D}</author>
  </authors>
  <commentList>
    <comment ref="B12" authorId="0" shapeId="0" xr:uid="{A0F49B77-D68E-472B-AF68-90A595B72F7D}">
      <text>
        <t>[Threaded comment]
Your version of Excel allows you to read this threaded comment; however, any edits to it will get removed if the file is opened in a newer version of Excel. Learn more: https://go.microsoft.com/fwlink/?linkid=870924
Comment:
    My best estimate of Tesla cumulative production from 2014</t>
      </text>
    </comment>
  </commentList>
</comments>
</file>

<file path=xl/sharedStrings.xml><?xml version="1.0" encoding="utf-8"?>
<sst xmlns="http://schemas.openxmlformats.org/spreadsheetml/2006/main" count="95" uniqueCount="59">
  <si>
    <t>Year</t>
  </si>
  <si>
    <t>I am modelling this for Tesla, and hope the same framework can be used for other companies in the space.</t>
  </si>
  <si>
    <t>The goal of this model is simple. To calculate a net present value of electric vehicle and energy storage cash flow based on starting assumptions in 2020 and ending in 2030.</t>
  </si>
  <si>
    <t>EV Produced</t>
  </si>
  <si>
    <t>Cumulative EV Produced</t>
  </si>
  <si>
    <t>Energy Generation &amp; Storage Revenue (millions)</t>
  </si>
  <si>
    <t>EV Revenue %</t>
  </si>
  <si>
    <t>EGS Revenue %</t>
  </si>
  <si>
    <t>Free Cash Flow (millions)</t>
  </si>
  <si>
    <t>Free Cash Flow % of Revenue</t>
  </si>
  <si>
    <t>EGS (GWh)</t>
  </si>
  <si>
    <t>Random number</t>
  </si>
  <si>
    <t>Total Revenue</t>
  </si>
  <si>
    <t>Post-2030</t>
  </si>
  <si>
    <t>Things to add:</t>
  </si>
  <si>
    <t>When does Cumulative EV Production double?</t>
  </si>
  <si>
    <t>Cumulative EGS Produced</t>
  </si>
  <si>
    <t>When does Cumulative ESG Production double?</t>
  </si>
  <si>
    <t>EV Revenue (millions)</t>
  </si>
  <si>
    <t>Date Updated:</t>
  </si>
  <si>
    <t>Company:</t>
  </si>
  <si>
    <t>Tesla</t>
  </si>
  <si>
    <t>Run with Industry?</t>
  </si>
  <si>
    <t>EV Revenue growth rate</t>
  </si>
  <si>
    <t>Minimum</t>
  </si>
  <si>
    <t>Maximum</t>
  </si>
  <si>
    <t>Wright's Law decreases ASP's by</t>
  </si>
  <si>
    <t xml:space="preserve"> Energy Generation (GWh)</t>
  </si>
  <si>
    <t>Free Cash Flow growth rate</t>
  </si>
  <si>
    <t>Interest rate for NPV calculations</t>
  </si>
  <si>
    <t>EGS Revenue (millions)</t>
  </si>
  <si>
    <t>Cumulative EGS Produced (GWh)</t>
  </si>
  <si>
    <t>Average</t>
  </si>
  <si>
    <t>Random Number</t>
  </si>
  <si>
    <t>EGS Revenue growth rate</t>
  </si>
  <si>
    <t>Nio</t>
  </si>
  <si>
    <t>Predicted Average</t>
  </si>
  <si>
    <t>Cumulative</t>
  </si>
  <si>
    <t>2030 EV Revenue</t>
  </si>
  <si>
    <t>Simulation #</t>
  </si>
  <si>
    <t>ESG Revenue</t>
  </si>
  <si>
    <t>FCF% of Revenue</t>
  </si>
  <si>
    <t>NPV of FCF</t>
  </si>
  <si>
    <t>Wright's Law</t>
  </si>
  <si>
    <t>Interest Rate</t>
  </si>
  <si>
    <t>Running the simulation for a specified number of iterations - Completed 4/11/2021</t>
  </si>
  <si>
    <t>Allowing different growth rates for auto and ESG. - Completed Before 4/11/2021</t>
  </si>
  <si>
    <t>Allowing different interest rates. - Completed Before 4/11/2021</t>
  </si>
  <si>
    <t>Allowing various percentages for Wright's Law. - Completed Before 4/11/2021</t>
  </si>
  <si>
    <t>The NPV is calculated using a variable interest rate.</t>
  </si>
  <si>
    <t>Wright's Law varies between 10% and 25% decrease in revenue each time cumulative production doubles.</t>
  </si>
  <si>
    <t>Free cash flow is modeled as a revenue %, and that amount can decrease up to -4.8% a year or increase up to 5% a year. It's additive rather than multiplicative.</t>
  </si>
  <si>
    <t>Things completed:</t>
  </si>
  <si>
    <t>No autonomous revenue.</t>
  </si>
  <si>
    <t>Missing many EV producers in China and Europe, such as Volkswagen, BYD, Li Auto, Xpeng, Renault, etc.</t>
  </si>
  <si>
    <t>Inability to specify number of simulations to run.</t>
  </si>
  <si>
    <t>Not taking into account a variety of models and vehicle types that will be needed to achieve 10 million vehicles sales a year.</t>
  </si>
  <si>
    <t>Vehicles sold are only gathered annually, rather than quarterly.</t>
  </si>
  <si>
    <t>No factory start, completion, and maximum production.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</si>
</sst>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3" fontId="0" fillId="0" borderId="0" xfId="0" applyNumberFormat="1"/>
    <xf numFmtId="164" fontId="0" fillId="0" borderId="0" xfId="1" applyNumberFormat="1" applyFont="1"/>
    <xf numFmtId="9" fontId="0" fillId="0" borderId="0" xfId="2" applyFont="1"/>
    <xf numFmtId="9" fontId="0" fillId="0" borderId="0" xfId="0" applyNumberFormat="1"/>
    <xf numFmtId="165" fontId="0" fillId="0" borderId="0" xfId="2" applyNumberFormat="1" applyFont="1"/>
    <xf numFmtId="2" fontId="0" fillId="0" borderId="0" xfId="2" applyNumberFormat="1" applyFont="1"/>
    <xf numFmtId="1" fontId="0" fillId="0" borderId="0" xfId="0" applyNumberFormat="1"/>
    <xf numFmtId="164" fontId="0" fillId="0" borderId="0" xfId="0" applyNumberFormat="1"/>
    <xf numFmtId="43" fontId="0" fillId="0" borderId="0" xfId="0" applyNumberFormat="1"/>
    <xf numFmtId="8" fontId="0" fillId="0" borderId="0" xfId="0" applyNumberFormat="1"/>
    <xf numFmtId="165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43" fontId="0" fillId="0" borderId="0" xfId="1" applyFont="1"/>
    <xf numFmtId="0" fontId="5" fillId="0" borderId="0" xfId="0" applyFont="1" applyAlignment="1">
      <alignment horizontal="left" vertical="center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7827939E-DC96-4D6A-B750-A05D17A0D16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19</xdr:col>
      <xdr:colOff>571500</xdr:colOff>
      <xdr:row>21</xdr:row>
      <xdr:rowOff>176213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8451BD3-BACC-4822-80E3-4DE982C088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92050" y="1143000"/>
              <a:ext cx="4572000" cy="30337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Vijay Govindan" id="{6C001BB1-4198-42AF-A973-1C32914AF4C7}" userId="0f8d4fb8ddb56527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5" dT="2021-04-02T02:36:38.03" personId="{6C001BB1-4198-42AF-A973-1C32914AF4C7}" id="{09BC99F6-BEA5-4442-9553-6FAF245FD6BD}">
    <text>My best estimate of Tesla cumulative production from 2014</text>
  </threadedComment>
  <threadedComment ref="C33" dT="2021-04-09T22:12:25.66" personId="{6C001BB1-4198-42AF-A973-1C32914AF4C7}" id="{9F028055-EAEE-49D1-9A06-E0D3B3A320F1}">
    <text>This was Q1 2021 production of 20,060, and multiplying by 4 to get an annual estimate.</text>
  </threadedComment>
  <threadedComment ref="C38" dT="2021-04-09T22:08:59.53" personId="{6C001BB1-4198-42AF-A973-1C32914AF4C7}" id="{7B25490F-82F7-4110-93EC-CD12A07BCD2F}">
    <text>Best proxy, from https://ir.nio.com/static-files/cb42cc7f-6069-45a2-bbe4-21d4808609b8</text>
  </threadedComment>
  <threadedComment ref="C42" dT="2021-04-09T22:12:25.66" personId="{6C001BB1-4198-42AF-A973-1C32914AF4C7}" id="{BA9406AB-8A3F-424A-A494-A17F0F195C6F}">
    <text>This was Q1 2021 production of 20,060, and multiplying by 4 to get an annual estimate.</text>
  </threadedComment>
  <threadedComment ref="C47" dT="2021-04-09T22:08:59.53" personId="{6C001BB1-4198-42AF-A973-1C32914AF4C7}" id="{598FE2E7-C505-4B9B-822C-97DDAF0951A1}">
    <text>Best proxy, from https://ir.nio.com/static-files/cb42cc7f-6069-45a2-bbe4-21d4808609b8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2" dT="2021-04-02T02:36:38.03" personId="{6C001BB1-4198-42AF-A973-1C32914AF4C7}" id="{A0F49B77-D68E-472B-AF68-90A595B72F7D}">
    <text>My best estimate of Tesla cumulative production from 2014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7D37-B204-4821-9F4D-F1DF11A85ABE}">
  <sheetPr codeName="Sheet1"/>
  <dimension ref="B2:B25"/>
  <sheetViews>
    <sheetView workbookViewId="0">
      <selection activeCell="B26" sqref="B26"/>
    </sheetView>
  </sheetViews>
  <sheetFormatPr defaultRowHeight="15" x14ac:dyDescent="0.25"/>
  <sheetData>
    <row r="2" spans="2:2" x14ac:dyDescent="0.25">
      <c r="B2" t="s">
        <v>2</v>
      </c>
    </row>
    <row r="4" spans="2:2" x14ac:dyDescent="0.25">
      <c r="B4" t="s">
        <v>1</v>
      </c>
    </row>
    <row r="6" spans="2:2" x14ac:dyDescent="0.25">
      <c r="B6" t="s">
        <v>51</v>
      </c>
    </row>
    <row r="8" spans="2:2" x14ac:dyDescent="0.25">
      <c r="B8" t="s">
        <v>49</v>
      </c>
    </row>
    <row r="10" spans="2:2" x14ac:dyDescent="0.25">
      <c r="B10" t="s">
        <v>50</v>
      </c>
    </row>
    <row r="12" spans="2:2" x14ac:dyDescent="0.25">
      <c r="B12" t="s">
        <v>52</v>
      </c>
    </row>
    <row r="14" spans="2:2" x14ac:dyDescent="0.25">
      <c r="B14" t="s">
        <v>46</v>
      </c>
    </row>
    <row r="15" spans="2:2" x14ac:dyDescent="0.25">
      <c r="B15" t="s">
        <v>47</v>
      </c>
    </row>
    <row r="16" spans="2:2" x14ac:dyDescent="0.25">
      <c r="B16" t="s">
        <v>48</v>
      </c>
    </row>
    <row r="17" spans="2:2" x14ac:dyDescent="0.25">
      <c r="B17" t="s">
        <v>45</v>
      </c>
    </row>
    <row r="19" spans="2:2" x14ac:dyDescent="0.25">
      <c r="B19" t="s">
        <v>14</v>
      </c>
    </row>
    <row r="20" spans="2:2" x14ac:dyDescent="0.25">
      <c r="B20" s="17" t="s">
        <v>53</v>
      </c>
    </row>
    <row r="21" spans="2:2" x14ac:dyDescent="0.25">
      <c r="B21" s="17" t="s">
        <v>54</v>
      </c>
    </row>
    <row r="22" spans="2:2" x14ac:dyDescent="0.25">
      <c r="B22" s="17" t="s">
        <v>55</v>
      </c>
    </row>
    <row r="23" spans="2:2" x14ac:dyDescent="0.25">
      <c r="B23" s="17" t="s">
        <v>56</v>
      </c>
    </row>
    <row r="24" spans="2:2" x14ac:dyDescent="0.25">
      <c r="B24" s="17" t="s">
        <v>57</v>
      </c>
    </row>
    <row r="25" spans="2:2" x14ac:dyDescent="0.25">
      <c r="B25" s="17" t="s">
        <v>58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56E5-9E52-4ADE-927C-1356FBFBB28A}">
  <sheetPr codeName="Sheet2"/>
  <dimension ref="B2:F47"/>
  <sheetViews>
    <sheetView workbookViewId="0">
      <selection activeCell="F43" sqref="F42:F43"/>
    </sheetView>
  </sheetViews>
  <sheetFormatPr defaultRowHeight="15" x14ac:dyDescent="0.25"/>
  <cols>
    <col min="2" max="2" width="29.85546875" bestFit="1" customWidth="1"/>
    <col min="3" max="3" width="10.5703125" bestFit="1" customWidth="1"/>
    <col min="4" max="4" width="9.85546875" bestFit="1" customWidth="1"/>
    <col min="5" max="5" width="17.5703125" bestFit="1" customWidth="1"/>
    <col min="6" max="6" width="20.42578125" bestFit="1" customWidth="1"/>
  </cols>
  <sheetData>
    <row r="2" spans="2:6" x14ac:dyDescent="0.25">
      <c r="B2" t="s">
        <v>19</v>
      </c>
      <c r="C2" s="12">
        <v>44293</v>
      </c>
    </row>
    <row r="3" spans="2:6" x14ac:dyDescent="0.25">
      <c r="B3" t="s">
        <v>20</v>
      </c>
      <c r="C3" t="s">
        <v>21</v>
      </c>
    </row>
    <row r="4" spans="2:6" x14ac:dyDescent="0.25">
      <c r="B4" t="s">
        <v>22</v>
      </c>
      <c r="C4">
        <v>1</v>
      </c>
    </row>
    <row r="6" spans="2:6" x14ac:dyDescent="0.25">
      <c r="B6" s="14" t="str">
        <f>C3</f>
        <v>Tesla</v>
      </c>
      <c r="C6" t="s">
        <v>24</v>
      </c>
      <c r="D6" t="s">
        <v>25</v>
      </c>
      <c r="E6" t="s">
        <v>36</v>
      </c>
      <c r="F6" t="s">
        <v>33</v>
      </c>
    </row>
    <row r="7" spans="2:6" x14ac:dyDescent="0.25">
      <c r="B7" t="s">
        <v>23</v>
      </c>
      <c r="C7" s="4">
        <v>-0.2</v>
      </c>
      <c r="D7" s="4">
        <v>0.8</v>
      </c>
      <c r="E7" s="4">
        <f>AVERAGE(C7:D7)</f>
        <v>0.30000000000000004</v>
      </c>
    </row>
    <row r="8" spans="2:6" x14ac:dyDescent="0.25">
      <c r="B8" t="s">
        <v>34</v>
      </c>
      <c r="C8" s="4">
        <v>0</v>
      </c>
      <c r="D8" s="4">
        <v>1</v>
      </c>
      <c r="E8" s="4">
        <f>AVERAGE(C8:D8)</f>
        <v>0.5</v>
      </c>
    </row>
    <row r="9" spans="2:6" x14ac:dyDescent="0.25">
      <c r="B9" t="s">
        <v>26</v>
      </c>
      <c r="C9" s="4">
        <v>0.1</v>
      </c>
      <c r="D9" s="4">
        <v>0.25</v>
      </c>
      <c r="E9" s="4">
        <f>AVERAGE(C9:D9)</f>
        <v>0.17499999999999999</v>
      </c>
      <c r="F9" s="5">
        <f ca="1">C9+(D9-C9)*RAND()</f>
        <v>0.2434939773894349</v>
      </c>
    </row>
    <row r="10" spans="2:6" x14ac:dyDescent="0.25">
      <c r="B10" t="s">
        <v>28</v>
      </c>
      <c r="C10" s="13">
        <v>-4.8000000000000001E-2</v>
      </c>
      <c r="D10" s="4">
        <v>0.05</v>
      </c>
      <c r="E10" s="4">
        <f>AVERAGE(C10:D10)</f>
        <v>1.0000000000000009E-3</v>
      </c>
    </row>
    <row r="11" spans="2:6" x14ac:dyDescent="0.25">
      <c r="B11" t="s">
        <v>29</v>
      </c>
      <c r="C11" s="4">
        <v>0.02</v>
      </c>
      <c r="D11" s="4">
        <v>0.08</v>
      </c>
      <c r="E11" s="4">
        <f>AVERAGE(C11:D11)</f>
        <v>0.05</v>
      </c>
      <c r="F11" s="5">
        <f ca="1">C11+(D11-C11)*RAND()</f>
        <v>3.8741418235267673E-2</v>
      </c>
    </row>
    <row r="13" spans="2:6" x14ac:dyDescent="0.25">
      <c r="B13" t="s">
        <v>18</v>
      </c>
      <c r="C13" s="2">
        <f>5132+5179+7611+9314</f>
        <v>27236</v>
      </c>
    </row>
    <row r="14" spans="2:6" x14ac:dyDescent="0.25">
      <c r="B14" t="s">
        <v>3</v>
      </c>
      <c r="C14" s="1">
        <v>509737</v>
      </c>
    </row>
    <row r="15" spans="2:6" x14ac:dyDescent="0.25">
      <c r="B15" t="s">
        <v>4</v>
      </c>
      <c r="C15" s="1">
        <f>C14+367500+245240+101312+76230+25202+16689</f>
        <v>1341910</v>
      </c>
    </row>
    <row r="16" spans="2:6" x14ac:dyDescent="0.25">
      <c r="B16" t="s">
        <v>30</v>
      </c>
      <c r="C16" s="2">
        <f>293+370+579+752</f>
        <v>1994</v>
      </c>
    </row>
    <row r="17" spans="2:6" x14ac:dyDescent="0.25">
      <c r="B17" t="s">
        <v>27</v>
      </c>
      <c r="C17">
        <v>3</v>
      </c>
    </row>
    <row r="18" spans="2:6" x14ac:dyDescent="0.25">
      <c r="B18" t="s">
        <v>31</v>
      </c>
      <c r="C18" s="1">
        <f>C17</f>
        <v>3</v>
      </c>
    </row>
    <row r="19" spans="2:6" x14ac:dyDescent="0.25">
      <c r="B19" t="s">
        <v>8</v>
      </c>
      <c r="C19" s="2">
        <v>2786</v>
      </c>
    </row>
    <row r="21" spans="2:6" x14ac:dyDescent="0.25">
      <c r="B21" t="s">
        <v>19</v>
      </c>
      <c r="C21" s="12">
        <v>44293</v>
      </c>
    </row>
    <row r="22" spans="2:6" x14ac:dyDescent="0.25">
      <c r="B22" t="s">
        <v>20</v>
      </c>
      <c r="C22" t="s">
        <v>35</v>
      </c>
    </row>
    <row r="23" spans="2:6" x14ac:dyDescent="0.25">
      <c r="B23" t="s">
        <v>22</v>
      </c>
      <c r="C23">
        <v>0</v>
      </c>
    </row>
    <row r="25" spans="2:6" x14ac:dyDescent="0.25">
      <c r="B25" s="14" t="str">
        <f>C22</f>
        <v>Nio</v>
      </c>
      <c r="C25" t="s">
        <v>24</v>
      </c>
      <c r="D25" t="s">
        <v>25</v>
      </c>
      <c r="E25" t="s">
        <v>32</v>
      </c>
      <c r="F25" t="s">
        <v>33</v>
      </c>
    </row>
    <row r="26" spans="2:6" x14ac:dyDescent="0.25">
      <c r="B26" t="s">
        <v>23</v>
      </c>
      <c r="C26" s="4">
        <v>-0.2</v>
      </c>
      <c r="D26" s="4">
        <v>0.8</v>
      </c>
      <c r="E26" s="4">
        <f>AVERAGE(C26:D26)</f>
        <v>0.30000000000000004</v>
      </c>
    </row>
    <row r="27" spans="2:6" x14ac:dyDescent="0.25">
      <c r="B27" t="s">
        <v>34</v>
      </c>
      <c r="C27" s="4">
        <v>0</v>
      </c>
      <c r="D27" s="4">
        <v>1</v>
      </c>
      <c r="E27" s="4">
        <f>AVERAGE(C27:D27)</f>
        <v>0.5</v>
      </c>
    </row>
    <row r="28" spans="2:6" x14ac:dyDescent="0.25">
      <c r="B28" t="s">
        <v>26</v>
      </c>
      <c r="C28" s="4">
        <v>0.1</v>
      </c>
      <c r="D28" s="4">
        <v>0.25</v>
      </c>
      <c r="E28" s="4">
        <f>AVERAGE(C28:D28)</f>
        <v>0.17499999999999999</v>
      </c>
      <c r="F28" s="5">
        <f ca="1">F9</f>
        <v>0.2434939773894349</v>
      </c>
    </row>
    <row r="29" spans="2:6" x14ac:dyDescent="0.25">
      <c r="B29" t="s">
        <v>28</v>
      </c>
      <c r="C29" s="13">
        <v>-4.8000000000000001E-2</v>
      </c>
      <c r="D29" s="4">
        <v>0.05</v>
      </c>
      <c r="E29" s="4">
        <f>AVERAGE(C29:D29)</f>
        <v>1.0000000000000009E-3</v>
      </c>
    </row>
    <row r="30" spans="2:6" x14ac:dyDescent="0.25">
      <c r="B30" t="s">
        <v>29</v>
      </c>
      <c r="C30" s="4">
        <v>0.02</v>
      </c>
      <c r="D30" s="4">
        <v>0.08</v>
      </c>
      <c r="E30" s="4">
        <f>AVERAGE(C30:D30)</f>
        <v>0.05</v>
      </c>
      <c r="F30" s="5">
        <f ca="1">F11</f>
        <v>3.8741418235267673E-2</v>
      </c>
    </row>
    <row r="32" spans="2:6" x14ac:dyDescent="0.25">
      <c r="B32" t="s">
        <v>18</v>
      </c>
      <c r="C32" s="2">
        <f>2491637/1000</f>
        <v>2491.6370000000002</v>
      </c>
    </row>
    <row r="33" spans="2:3" x14ac:dyDescent="0.25">
      <c r="B33" t="s">
        <v>3</v>
      </c>
      <c r="C33" s="2">
        <f>20060*4</f>
        <v>80240</v>
      </c>
    </row>
    <row r="34" spans="2:3" x14ac:dyDescent="0.25">
      <c r="B34" t="s">
        <v>4</v>
      </c>
      <c r="C34" s="1">
        <v>100000</v>
      </c>
    </row>
    <row r="35" spans="2:3" x14ac:dyDescent="0.25">
      <c r="B35" t="s">
        <v>30</v>
      </c>
      <c r="C35" s="2">
        <v>0</v>
      </c>
    </row>
    <row r="36" spans="2:3" x14ac:dyDescent="0.25">
      <c r="B36" t="s">
        <v>27</v>
      </c>
      <c r="C36">
        <v>0</v>
      </c>
    </row>
    <row r="37" spans="2:3" x14ac:dyDescent="0.25">
      <c r="B37" t="s">
        <v>31</v>
      </c>
      <c r="C37" s="1">
        <v>0</v>
      </c>
    </row>
    <row r="38" spans="2:3" x14ac:dyDescent="0.25">
      <c r="B38" t="s">
        <v>8</v>
      </c>
      <c r="C38" s="2">
        <f>(298985-777174)/1000</f>
        <v>-478.18900000000002</v>
      </c>
    </row>
    <row r="40" spans="2:3" x14ac:dyDescent="0.25">
      <c r="B40" s="14" t="s">
        <v>37</v>
      </c>
    </row>
    <row r="41" spans="2:3" x14ac:dyDescent="0.25">
      <c r="B41" t="s">
        <v>18</v>
      </c>
      <c r="C41" s="2">
        <f t="shared" ref="C41:C47" si="0">SUMPRODUCT($C$4,C13)+SUMPRODUCT($C$23,C32)</f>
        <v>27236</v>
      </c>
    </row>
    <row r="42" spans="2:3" x14ac:dyDescent="0.25">
      <c r="B42" t="s">
        <v>3</v>
      </c>
      <c r="C42" s="2">
        <f t="shared" si="0"/>
        <v>509737</v>
      </c>
    </row>
    <row r="43" spans="2:3" x14ac:dyDescent="0.25">
      <c r="B43" t="s">
        <v>4</v>
      </c>
      <c r="C43" s="2">
        <f t="shared" si="0"/>
        <v>1341910</v>
      </c>
    </row>
    <row r="44" spans="2:3" x14ac:dyDescent="0.25">
      <c r="B44" t="s">
        <v>30</v>
      </c>
      <c r="C44" s="2">
        <f t="shared" si="0"/>
        <v>1994</v>
      </c>
    </row>
    <row r="45" spans="2:3" x14ac:dyDescent="0.25">
      <c r="B45" t="s">
        <v>27</v>
      </c>
      <c r="C45" s="2">
        <f t="shared" si="0"/>
        <v>3</v>
      </c>
    </row>
    <row r="46" spans="2:3" x14ac:dyDescent="0.25">
      <c r="B46" t="s">
        <v>31</v>
      </c>
      <c r="C46" s="2">
        <f t="shared" si="0"/>
        <v>3</v>
      </c>
    </row>
    <row r="47" spans="2:3" x14ac:dyDescent="0.25">
      <c r="B47" t="s">
        <v>8</v>
      </c>
      <c r="C47" s="2">
        <f t="shared" si="0"/>
        <v>2786</v>
      </c>
    </row>
  </sheetData>
  <dataValidations count="1">
    <dataValidation type="whole" allowBlank="1" showInputMessage="1" showErrorMessage="1" promptTitle="Error!" prompt="Choose 0 and 1. 1 will include the company as part of group, 0 will exclude the company from the next run." sqref="C4 C23" xr:uid="{55BBB262-4E86-43C1-BB37-B0F2DAE77229}">
      <formula1>0</formula1>
      <formula2>1</formula2>
    </dataValidation>
  </dataValidations>
  <pageMargins left="0.7" right="0.7" top="0.75" bottom="0.75" header="0.3" footer="0.3"/>
  <pageSetup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695DA-6F31-4EE3-B227-24FE03DE09E4}">
  <sheetPr codeName="Sheet3"/>
  <dimension ref="A2:N34"/>
  <sheetViews>
    <sheetView workbookViewId="0">
      <selection activeCell="L10" sqref="L10"/>
    </sheetView>
  </sheetViews>
  <sheetFormatPr defaultRowHeight="15" x14ac:dyDescent="0.25"/>
  <cols>
    <col min="1" max="1" width="51.5703125" bestFit="1" customWidth="1"/>
    <col min="2" max="2" width="14.28515625" bestFit="1" customWidth="1"/>
    <col min="3" max="3" width="10.5703125" bestFit="1" customWidth="1"/>
    <col min="4" max="11" width="12" bestFit="1" customWidth="1"/>
    <col min="12" max="12" width="13.28515625" bestFit="1" customWidth="1"/>
    <col min="13" max="13" width="19.28515625" bestFit="1" customWidth="1"/>
  </cols>
  <sheetData>
    <row r="2" spans="1:13" x14ac:dyDescent="0.25">
      <c r="C2">
        <f>'Simple EV cash flow model'!M11</f>
        <v>0</v>
      </c>
      <c r="D2">
        <f>'Simple EV cash flow model'!N12</f>
        <v>0</v>
      </c>
    </row>
    <row r="3" spans="1:13" x14ac:dyDescent="0.25">
      <c r="B3" t="s">
        <v>0</v>
      </c>
    </row>
    <row r="4" spans="1:13" x14ac:dyDescent="0.25">
      <c r="B4">
        <v>2020</v>
      </c>
      <c r="C4">
        <f t="shared" ref="C4:L4" si="0">B4+1</f>
        <v>2021</v>
      </c>
      <c r="D4">
        <f t="shared" si="0"/>
        <v>2022</v>
      </c>
      <c r="E4">
        <f t="shared" si="0"/>
        <v>2023</v>
      </c>
      <c r="F4">
        <f t="shared" si="0"/>
        <v>2024</v>
      </c>
      <c r="G4">
        <f t="shared" si="0"/>
        <v>2025</v>
      </c>
      <c r="H4">
        <f t="shared" si="0"/>
        <v>2026</v>
      </c>
      <c r="I4">
        <f t="shared" si="0"/>
        <v>2027</v>
      </c>
      <c r="J4">
        <f t="shared" si="0"/>
        <v>2028</v>
      </c>
      <c r="K4">
        <f t="shared" si="0"/>
        <v>2029</v>
      </c>
      <c r="L4">
        <f t="shared" si="0"/>
        <v>2030</v>
      </c>
      <c r="M4" s="15" t="s">
        <v>13</v>
      </c>
    </row>
    <row r="6" spans="1:13" x14ac:dyDescent="0.25">
      <c r="A6" t="s">
        <v>11</v>
      </c>
      <c r="C6">
        <f ca="1">RAND()</f>
        <v>0.131493721562009</v>
      </c>
      <c r="D6">
        <f t="shared" ref="D6:L6" ca="1" si="1">RAND()</f>
        <v>3.8083943176742907E-2</v>
      </c>
      <c r="E6">
        <f t="shared" ca="1" si="1"/>
        <v>0.53049270415556038</v>
      </c>
      <c r="F6">
        <f t="shared" ca="1" si="1"/>
        <v>0.85247602526547872</v>
      </c>
      <c r="G6">
        <f t="shared" ca="1" si="1"/>
        <v>0.70217478527165089</v>
      </c>
      <c r="H6">
        <f t="shared" ca="1" si="1"/>
        <v>0.11254084672537723</v>
      </c>
      <c r="I6">
        <f t="shared" ca="1" si="1"/>
        <v>0.40163543899158616</v>
      </c>
      <c r="J6">
        <f t="shared" ca="1" si="1"/>
        <v>0.51295237388332549</v>
      </c>
      <c r="K6">
        <f t="shared" ca="1" si="1"/>
        <v>0.8332156352048693</v>
      </c>
      <c r="L6">
        <f t="shared" ca="1" si="1"/>
        <v>0.41068451936309092</v>
      </c>
    </row>
    <row r="7" spans="1:13" x14ac:dyDescent="0.25">
      <c r="A7" t="str">
        <f>CONCATENATE("EV Revenue growth rate between ",TEXT('Model Assumptions'!C7,"0.0%")," / ",TEXT('Model Assumptions'!D7,"0.0%"))</f>
        <v>EV Revenue growth rate between -20.0% / 80.0%</v>
      </c>
      <c r="C7" s="5">
        <f ca="1">(1-C6)*'Model Assumptions'!$C$7+(C6)*'Model Assumptions'!$D$7</f>
        <v>-6.8506278437990994E-2</v>
      </c>
      <c r="D7" s="5">
        <f ca="1">(1-D6)*'Model Assumptions'!$C$7+(D6)*'Model Assumptions'!$D$7</f>
        <v>-0.1619160568232571</v>
      </c>
      <c r="E7" s="5">
        <f ca="1">(1-E6)*'Model Assumptions'!$C$7+(E6)*'Model Assumptions'!$D$7</f>
        <v>0.33049270415556042</v>
      </c>
      <c r="F7" s="5">
        <f ca="1">(1-F6)*'Model Assumptions'!$C$7+(F6)*'Model Assumptions'!$D$7</f>
        <v>0.65247602526547877</v>
      </c>
      <c r="G7" s="5">
        <f ca="1">(1-G6)*'Model Assumptions'!$C$7+(G6)*'Model Assumptions'!$D$7</f>
        <v>0.50217478527165094</v>
      </c>
      <c r="H7" s="5">
        <f ca="1">(1-H6)*'Model Assumptions'!$C$7+(H6)*'Model Assumptions'!$D$7</f>
        <v>-8.7459153274622781E-2</v>
      </c>
      <c r="I7" s="5">
        <f ca="1">(1-I6)*'Model Assumptions'!$C$7+(I6)*'Model Assumptions'!$D$7</f>
        <v>0.20163543899158617</v>
      </c>
      <c r="J7" s="5">
        <f ca="1">(1-J6)*'Model Assumptions'!$C$7+(J6)*'Model Assumptions'!$D$7</f>
        <v>0.31295237388332553</v>
      </c>
      <c r="K7" s="5">
        <f ca="1">(1-K6)*'Model Assumptions'!$C$7+(K6)*'Model Assumptions'!$D$7</f>
        <v>0.63321563520486934</v>
      </c>
      <c r="L7" s="5">
        <f ca="1">(1-L6)*'Model Assumptions'!$C$7+(L6)*'Model Assumptions'!$D$7</f>
        <v>0.21068451936309091</v>
      </c>
    </row>
    <row r="9" spans="1:13" x14ac:dyDescent="0.25">
      <c r="A9" t="s">
        <v>6</v>
      </c>
      <c r="B9" s="3">
        <f t="shared" ref="B9:L9" si="2">B10/(B10+B20)</f>
        <v>0.93178241532671913</v>
      </c>
      <c r="C9" s="3">
        <f t="shared" ca="1" si="2"/>
        <v>0.92497970986735334</v>
      </c>
      <c r="D9" s="3">
        <f t="shared" ca="1" si="2"/>
        <v>0.91726818084385642</v>
      </c>
      <c r="E9" s="3">
        <f t="shared" ca="1" si="2"/>
        <v>0.88223727446883171</v>
      </c>
      <c r="F9" s="3">
        <f t="shared" ca="1" si="2"/>
        <v>0.90918891438858151</v>
      </c>
      <c r="G9" s="3">
        <f t="shared" ca="1" si="2"/>
        <v>0.9268384421969269</v>
      </c>
      <c r="H9" s="3">
        <f t="shared" ca="1" si="2"/>
        <v>0.83439885774741251</v>
      </c>
      <c r="I9" s="3">
        <f t="shared" ca="1" si="2"/>
        <v>0.81563842378991458</v>
      </c>
      <c r="J9" s="3">
        <f t="shared" ca="1" si="2"/>
        <v>0.7977072150880361</v>
      </c>
      <c r="K9" s="3">
        <f t="shared" ca="1" si="2"/>
        <v>0.813349601985912</v>
      </c>
      <c r="L9" s="3">
        <f t="shared" ca="1" si="2"/>
        <v>0.74763559346695641</v>
      </c>
    </row>
    <row r="10" spans="1:13" x14ac:dyDescent="0.25">
      <c r="A10" t="s">
        <v>18</v>
      </c>
      <c r="B10" s="2">
        <f>'Model Assumptions'!C13</f>
        <v>27236</v>
      </c>
      <c r="C10" s="8">
        <f ca="1">B10*(1+C7)*IF(C14&gt;B14,1-'Model Assumptions'!$F$9,1)</f>
        <v>25370.163000462879</v>
      </c>
      <c r="D10" s="8">
        <f ca="1">C10*(1+D7)*IF(D14&gt;C14,1-'Model Assumptions'!$F$9,1)</f>
        <v>21262.326246464636</v>
      </c>
      <c r="E10" s="8">
        <f ca="1">D10*(1+E7)*IF(E14&gt;D14,1-'Model Assumptions'!$F$9,1)</f>
        <v>21401.078738718596</v>
      </c>
      <c r="F10" s="8">
        <f ca="1">E10*(1+F7)*IF(F14&gt;E14,1-'Model Assumptions'!$F$9,1)</f>
        <v>35364.769530551246</v>
      </c>
      <c r="G10" s="8">
        <f ca="1">F10*(1+G7)*IF(G14&gt;F14,1-'Model Assumptions'!$F$9,1)</f>
        <v>53124.065075737242</v>
      </c>
      <c r="H10" s="8">
        <f ca="1">G10*(1+H7)*IF(H14&gt;G14,1-'Model Assumptions'!$F$9,1)</f>
        <v>36673.807673285773</v>
      </c>
      <c r="I10" s="8">
        <f ca="1">H10*(1+I7)*IF(I14&gt;H14,1-'Model Assumptions'!$F$9,1)</f>
        <v>44068.546982981752</v>
      </c>
      <c r="J10" s="8">
        <f ca="1">I10*(1+J7)*IF(J14&gt;I14,1-'Model Assumptions'!$F$9,1)</f>
        <v>57859.903374894755</v>
      </c>
      <c r="K10" s="8">
        <f ca="1">J10*(1+K7)*IF(K14&gt;J14,1-'Model Assumptions'!$F$9,1)</f>
        <v>71488.078297811851</v>
      </c>
      <c r="L10" s="8">
        <f ca="1">K10*(1+L7)*IF(L14&gt;K14,1-'Model Assumptions'!$F$9,1)</f>
        <v>86549.509714177344</v>
      </c>
    </row>
    <row r="11" spans="1:13" x14ac:dyDescent="0.25">
      <c r="A11" t="s">
        <v>3</v>
      </c>
      <c r="B11" s="1">
        <f>'Model Assumptions'!C14</f>
        <v>509737</v>
      </c>
      <c r="C11" s="1">
        <f t="shared" ref="C11:L11" ca="1" si="3">ROUND(B11*(1+C7),0)</f>
        <v>474817</v>
      </c>
      <c r="D11" s="1">
        <f t="shared" ca="1" si="3"/>
        <v>397937</v>
      </c>
      <c r="E11" s="1">
        <f t="shared" ca="1" si="3"/>
        <v>529452</v>
      </c>
      <c r="F11" s="1">
        <f t="shared" ca="1" si="3"/>
        <v>874907</v>
      </c>
      <c r="G11" s="1">
        <f t="shared" ca="1" si="3"/>
        <v>1314263</v>
      </c>
      <c r="H11" s="1">
        <f t="shared" ca="1" si="3"/>
        <v>1199319</v>
      </c>
      <c r="I11" s="1">
        <f t="shared" ca="1" si="3"/>
        <v>1441144</v>
      </c>
      <c r="J11" s="1">
        <f t="shared" ca="1" si="3"/>
        <v>1892153</v>
      </c>
      <c r="K11" s="1">
        <f t="shared" ca="1" si="3"/>
        <v>3090294</v>
      </c>
      <c r="L11" s="1">
        <f t="shared" ca="1" si="3"/>
        <v>3741371</v>
      </c>
    </row>
    <row r="12" spans="1:13" x14ac:dyDescent="0.25">
      <c r="A12" t="s">
        <v>4</v>
      </c>
      <c r="B12" s="1">
        <f>'Model Assumptions'!C15</f>
        <v>1341910</v>
      </c>
      <c r="C12" s="1">
        <f ca="1">B12+C11</f>
        <v>1816727</v>
      </c>
      <c r="D12" s="1">
        <f t="shared" ref="D12:L12" ca="1" si="4">C12+D11</f>
        <v>2214664</v>
      </c>
      <c r="E12" s="1">
        <f t="shared" ca="1" si="4"/>
        <v>2744116</v>
      </c>
      <c r="F12" s="1">
        <f t="shared" ca="1" si="4"/>
        <v>3619023</v>
      </c>
      <c r="G12" s="1">
        <f t="shared" ca="1" si="4"/>
        <v>4933286</v>
      </c>
      <c r="H12" s="1">
        <f t="shared" ca="1" si="4"/>
        <v>6132605</v>
      </c>
      <c r="I12" s="1">
        <f t="shared" ca="1" si="4"/>
        <v>7573749</v>
      </c>
      <c r="J12" s="1">
        <f t="shared" ca="1" si="4"/>
        <v>9465902</v>
      </c>
      <c r="K12" s="1">
        <f t="shared" ca="1" si="4"/>
        <v>12556196</v>
      </c>
      <c r="L12" s="1">
        <f t="shared" ca="1" si="4"/>
        <v>16297567</v>
      </c>
    </row>
    <row r="13" spans="1:13" x14ac:dyDescent="0.25">
      <c r="A13" t="str">
        <f ca="1">CONCATENATE("Wright's Law decreases ASP's by ",TEXT('Model Assumptions'!F9,"0.0%"))</f>
        <v>Wright's Law decreases ASP's by 24.3%</v>
      </c>
      <c r="B13" s="1"/>
      <c r="C13" s="6">
        <f ca="1">C12/$B$12</f>
        <v>1.3538366954564762</v>
      </c>
      <c r="D13" s="6">
        <f t="shared" ref="D13:L13" ca="1" si="5">D12/$B$12</f>
        <v>1.650381918310468</v>
      </c>
      <c r="E13" s="6">
        <f t="shared" ca="1" si="5"/>
        <v>2.0449329686789723</v>
      </c>
      <c r="F13" s="6">
        <f t="shared" ca="1" si="5"/>
        <v>2.6969193164966354</v>
      </c>
      <c r="G13" s="6">
        <f t="shared" ca="1" si="5"/>
        <v>3.6763165935122326</v>
      </c>
      <c r="H13" s="6">
        <f t="shared" ca="1" si="5"/>
        <v>4.5700568592528557</v>
      </c>
      <c r="I13" s="6">
        <f t="shared" ca="1" si="5"/>
        <v>5.6440066770498767</v>
      </c>
      <c r="J13" s="6">
        <f t="shared" ca="1" si="5"/>
        <v>7.0540513149167978</v>
      </c>
      <c r="K13" s="6">
        <f t="shared" ca="1" si="5"/>
        <v>9.3569583653151103</v>
      </c>
      <c r="L13" s="6">
        <f t="shared" ca="1" si="5"/>
        <v>12.145052201712485</v>
      </c>
    </row>
    <row r="14" spans="1:13" x14ac:dyDescent="0.25">
      <c r="A14" t="s">
        <v>15</v>
      </c>
      <c r="B14" s="1">
        <v>1</v>
      </c>
      <c r="C14" s="6">
        <f t="shared" ref="C14:L14" ca="1" si="6">IF(C13&gt;(2^B14),B14+1,B14)</f>
        <v>1</v>
      </c>
      <c r="D14" s="6">
        <f t="shared" ca="1" si="6"/>
        <v>1</v>
      </c>
      <c r="E14" s="6">
        <f t="shared" ca="1" si="6"/>
        <v>2</v>
      </c>
      <c r="F14" s="6">
        <f t="shared" ca="1" si="6"/>
        <v>2</v>
      </c>
      <c r="G14" s="6">
        <f t="shared" ca="1" si="6"/>
        <v>2</v>
      </c>
      <c r="H14" s="6">
        <f t="shared" ca="1" si="6"/>
        <v>3</v>
      </c>
      <c r="I14" s="6">
        <f t="shared" ca="1" si="6"/>
        <v>3</v>
      </c>
      <c r="J14" s="6">
        <f t="shared" ca="1" si="6"/>
        <v>3</v>
      </c>
      <c r="K14" s="6">
        <f t="shared" ca="1" si="6"/>
        <v>4</v>
      </c>
      <c r="L14" s="6">
        <f t="shared" ca="1" si="6"/>
        <v>4</v>
      </c>
    </row>
    <row r="16" spans="1:13" x14ac:dyDescent="0.25">
      <c r="A16" t="s">
        <v>11</v>
      </c>
      <c r="C16">
        <f ca="1">RAND()</f>
        <v>0.3640561464655927</v>
      </c>
      <c r="D16">
        <f t="shared" ref="D16:L16" ca="1" si="7">RAND()</f>
        <v>0.23198336166455558</v>
      </c>
      <c r="E16">
        <f t="shared" ca="1" si="7"/>
        <v>0.48960488404389257</v>
      </c>
      <c r="F16">
        <f t="shared" ca="1" si="7"/>
        <v>0.63450053630256165</v>
      </c>
      <c r="G16">
        <f t="shared" ca="1" si="7"/>
        <v>0.5692865332474083</v>
      </c>
      <c r="H16">
        <f t="shared" ca="1" si="7"/>
        <v>0.73570304216736016</v>
      </c>
      <c r="I16">
        <f t="shared" ca="1" si="7"/>
        <v>0.80902032769378163</v>
      </c>
      <c r="J16">
        <f t="shared" ca="1" si="7"/>
        <v>0.94715587893838926</v>
      </c>
      <c r="K16">
        <f t="shared" ca="1" si="7"/>
        <v>0.47794515339170862</v>
      </c>
      <c r="L16">
        <f t="shared" ca="1" si="7"/>
        <v>0.78080948559439378</v>
      </c>
    </row>
    <row r="17" spans="1:14" x14ac:dyDescent="0.25">
      <c r="A17" t="str">
        <f>CONCATENATE("EGS growth rate between ",TEXT('Model Assumptions'!C8,"0.0%"), " / ", TEXT('Model Assumptions'!D8,"0.0%"))</f>
        <v>EGS growth rate between 0.0% / 100.0%</v>
      </c>
      <c r="C17" s="5">
        <f ca="1">(1-C16)*'Model Assumptions'!$C$8+(C16)*'Model Assumptions'!$D$8</f>
        <v>0.3640561464655927</v>
      </c>
      <c r="D17" s="5">
        <f ca="1">(1-D16)*'Model Assumptions'!$C$8+(D16)*'Model Assumptions'!$D$8</f>
        <v>0.23198336166455558</v>
      </c>
      <c r="E17" s="5">
        <f ca="1">(1-E16)*'Model Assumptions'!$C$8+(E16)*'Model Assumptions'!$D$8</f>
        <v>0.48960488404389257</v>
      </c>
      <c r="F17" s="5">
        <f ca="1">(1-F16)*'Model Assumptions'!$C$8+(F16)*'Model Assumptions'!$D$8</f>
        <v>0.63450053630256165</v>
      </c>
      <c r="G17" s="5">
        <f ca="1">(1-G16)*'Model Assumptions'!$C$8+(G16)*'Model Assumptions'!$D$8</f>
        <v>0.5692865332474083</v>
      </c>
      <c r="H17" s="5">
        <f ca="1">(1-H16)*'Model Assumptions'!$C$8+(H16)*'Model Assumptions'!$D$8</f>
        <v>0.73570304216736016</v>
      </c>
      <c r="I17" s="5">
        <f ca="1">(1-I16)*'Model Assumptions'!$C$8+(I16)*'Model Assumptions'!$D$8</f>
        <v>0.80902032769378163</v>
      </c>
      <c r="J17" s="5">
        <f ca="1">(1-J16)*'Model Assumptions'!$C$8+(J16)*'Model Assumptions'!$D$8</f>
        <v>0.94715587893838926</v>
      </c>
      <c r="K17" s="5">
        <f ca="1">(1-K16)*'Model Assumptions'!$C$8+(K16)*'Model Assumptions'!$D$8</f>
        <v>0.47794515339170862</v>
      </c>
      <c r="L17" s="5">
        <f ca="1">(1-L16)*'Model Assumptions'!$C$8+(L16)*'Model Assumptions'!$D$8</f>
        <v>0.78080948559439378</v>
      </c>
    </row>
    <row r="18" spans="1:14" x14ac:dyDescent="0.25"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4" x14ac:dyDescent="0.25">
      <c r="A19" t="s">
        <v>7</v>
      </c>
      <c r="B19" s="4">
        <f t="shared" ref="B19:L19" si="8">1-B9</f>
        <v>6.8217584673280873E-2</v>
      </c>
      <c r="C19" s="4">
        <f t="shared" ca="1" si="8"/>
        <v>7.5020290132646661E-2</v>
      </c>
      <c r="D19" s="4">
        <f t="shared" ca="1" si="8"/>
        <v>8.2731819156143582E-2</v>
      </c>
      <c r="E19" s="4">
        <f t="shared" ca="1" si="8"/>
        <v>0.11776272553116829</v>
      </c>
      <c r="F19" s="4">
        <f t="shared" ca="1" si="8"/>
        <v>9.0811085611418485E-2</v>
      </c>
      <c r="G19" s="4">
        <f t="shared" ca="1" si="8"/>
        <v>7.3161557803073096E-2</v>
      </c>
      <c r="H19" s="4">
        <f t="shared" ca="1" si="8"/>
        <v>0.16560114225258749</v>
      </c>
      <c r="I19" s="4">
        <f t="shared" ca="1" si="8"/>
        <v>0.18436157621008542</v>
      </c>
      <c r="J19" s="4">
        <f t="shared" ca="1" si="8"/>
        <v>0.2022927849119639</v>
      </c>
      <c r="K19" s="4">
        <f t="shared" ca="1" si="8"/>
        <v>0.186650398014088</v>
      </c>
      <c r="L19" s="4">
        <f t="shared" ca="1" si="8"/>
        <v>0.25236440653304359</v>
      </c>
    </row>
    <row r="20" spans="1:14" x14ac:dyDescent="0.25">
      <c r="A20" t="s">
        <v>5</v>
      </c>
      <c r="B20" s="2">
        <f>'Model Assumptions'!C16</f>
        <v>1994</v>
      </c>
      <c r="C20" s="8">
        <f ca="1">B20*(1+C17)*IF(C24&gt;B24,1-'Model Assumptions'!$F$9,1)</f>
        <v>2057.6418798204791</v>
      </c>
      <c r="D20" s="8">
        <f ca="1">C20*(1+D17)*IF(D24&gt;C24,1-'Model Assumptions'!$F$9,1)</f>
        <v>1917.7280609942809</v>
      </c>
      <c r="E20" s="8">
        <f ca="1">D20*(1+E17)*IF(E24&gt;D24,1-'Model Assumptions'!$F$9,1)</f>
        <v>2856.6570859251051</v>
      </c>
      <c r="F20" s="8">
        <f ca="1">E20*(1+F17)*IF(F24&gt;E24,1-'Model Assumptions'!$F$9,1)</f>
        <v>3532.283624054829</v>
      </c>
      <c r="G20" s="8">
        <f ca="1">F20*(1+G17)*IF(G24&gt;F24,1-'Model Assumptions'!$F$9,1)</f>
        <v>4193.4377997529864</v>
      </c>
      <c r="H20" s="8">
        <f ca="1">G20*(1+H17)*IF(H24&gt;G24,1-'Model Assumptions'!$F$9,1)</f>
        <v>7278.56274617086</v>
      </c>
      <c r="I20" s="8">
        <f ca="1">H20*(1+I17)*IF(I24&gt;H24,1-'Model Assumptions'!$F$9,1)</f>
        <v>9960.9662150533695</v>
      </c>
      <c r="J20" s="8">
        <f ca="1">I20*(1+J17)*IF(J24&gt;I24,1-'Model Assumptions'!$F$9,1)</f>
        <v>14672.853356544931</v>
      </c>
      <c r="K20" s="8">
        <f ca="1">J20*(1+K17)*IF(K24&gt;J24,1-'Model Assumptions'!$F$9,1)</f>
        <v>16405.341854190738</v>
      </c>
      <c r="L20" s="8">
        <f ca="1">K20*(1+L17)*IF(L24&gt;K24,1-'Model Assumptions'!$F$9,1)</f>
        <v>29214.788388361583</v>
      </c>
    </row>
    <row r="21" spans="1:14" x14ac:dyDescent="0.25">
      <c r="A21" t="s">
        <v>10</v>
      </c>
      <c r="B21" s="7">
        <f>'Model Assumptions'!C17</f>
        <v>3</v>
      </c>
      <c r="C21">
        <f ca="1">ROUND(B21*(1+C17),2)</f>
        <v>4.09</v>
      </c>
      <c r="D21">
        <f t="shared" ref="D21:L21" ca="1" si="9">ROUND(C21*(1+D17),2)</f>
        <v>5.04</v>
      </c>
      <c r="E21">
        <f t="shared" ca="1" si="9"/>
        <v>7.51</v>
      </c>
      <c r="F21">
        <f t="shared" ca="1" si="9"/>
        <v>12.28</v>
      </c>
      <c r="G21">
        <f t="shared" ca="1" si="9"/>
        <v>19.27</v>
      </c>
      <c r="H21">
        <f t="shared" ca="1" si="9"/>
        <v>33.450000000000003</v>
      </c>
      <c r="I21">
        <f t="shared" ca="1" si="9"/>
        <v>60.51</v>
      </c>
      <c r="J21">
        <f t="shared" ca="1" si="9"/>
        <v>117.82</v>
      </c>
      <c r="K21">
        <f t="shared" ca="1" si="9"/>
        <v>174.13</v>
      </c>
      <c r="L21">
        <f t="shared" ca="1" si="9"/>
        <v>310.08999999999997</v>
      </c>
    </row>
    <row r="22" spans="1:14" x14ac:dyDescent="0.25">
      <c r="A22" t="s">
        <v>16</v>
      </c>
      <c r="B22" s="1">
        <f>'Model Assumptions'!C18</f>
        <v>3</v>
      </c>
      <c r="C22" s="1">
        <f ca="1">B22+C21</f>
        <v>7.09</v>
      </c>
      <c r="D22" s="1">
        <f t="shared" ref="D22" ca="1" si="10">C22+D21</f>
        <v>12.129999999999999</v>
      </c>
      <c r="E22" s="1">
        <f t="shared" ref="E22" ca="1" si="11">D22+E21</f>
        <v>19.64</v>
      </c>
      <c r="F22" s="1">
        <f t="shared" ref="F22" ca="1" si="12">E22+F21</f>
        <v>31.92</v>
      </c>
      <c r="G22" s="1">
        <f t="shared" ref="G22" ca="1" si="13">F22+G21</f>
        <v>51.19</v>
      </c>
      <c r="H22" s="1">
        <f t="shared" ref="H22" ca="1" si="14">G22+H21</f>
        <v>84.64</v>
      </c>
      <c r="I22" s="1">
        <f t="shared" ref="I22" ca="1" si="15">H22+I21</f>
        <v>145.15</v>
      </c>
      <c r="J22" s="1">
        <f t="shared" ref="J22" ca="1" si="16">I22+J21</f>
        <v>262.97000000000003</v>
      </c>
      <c r="K22" s="1">
        <f t="shared" ref="K22" ca="1" si="17">J22+K21</f>
        <v>437.1</v>
      </c>
      <c r="L22" s="1">
        <f t="shared" ref="L22" ca="1" si="18">K22+L21</f>
        <v>747.19</v>
      </c>
    </row>
    <row r="23" spans="1:14" x14ac:dyDescent="0.25">
      <c r="A23" t="str">
        <f ca="1">CONCATENATE("Wright's Law decreases ASP's by ",TEXT('Model Assumptions'!F9,"0.0%"))</f>
        <v>Wright's Law decreases ASP's by 24.3%</v>
      </c>
      <c r="B23" s="1"/>
      <c r="C23" s="6">
        <f ca="1">C22/$B$22</f>
        <v>2.3633333333333333</v>
      </c>
      <c r="D23" s="6">
        <f t="shared" ref="D23:L23" ca="1" si="19">D22/$B$22</f>
        <v>4.043333333333333</v>
      </c>
      <c r="E23" s="6">
        <f t="shared" ca="1" si="19"/>
        <v>6.5466666666666669</v>
      </c>
      <c r="F23" s="6">
        <f t="shared" ca="1" si="19"/>
        <v>10.64</v>
      </c>
      <c r="G23" s="6">
        <f t="shared" ca="1" si="19"/>
        <v>17.063333333333333</v>
      </c>
      <c r="H23" s="6">
        <f t="shared" ca="1" si="19"/>
        <v>28.213333333333335</v>
      </c>
      <c r="I23" s="6">
        <f t="shared" ca="1" si="19"/>
        <v>48.383333333333333</v>
      </c>
      <c r="J23" s="6">
        <f t="shared" ca="1" si="19"/>
        <v>87.65666666666668</v>
      </c>
      <c r="K23" s="6">
        <f t="shared" ca="1" si="19"/>
        <v>145.70000000000002</v>
      </c>
      <c r="L23" s="6">
        <f t="shared" ca="1" si="19"/>
        <v>249.06333333333336</v>
      </c>
    </row>
    <row r="24" spans="1:14" x14ac:dyDescent="0.25">
      <c r="A24" t="s">
        <v>17</v>
      </c>
      <c r="B24" s="1">
        <v>1</v>
      </c>
      <c r="C24" s="6">
        <f t="shared" ref="C24" ca="1" si="20">IF(C23&gt;(2^B24),B24+1,B24)</f>
        <v>2</v>
      </c>
      <c r="D24" s="6">
        <f t="shared" ref="D24" ca="1" si="21">IF(D23&gt;(2^C24),C24+1,C24)</f>
        <v>3</v>
      </c>
      <c r="E24" s="6">
        <f t="shared" ref="E24" ca="1" si="22">IF(E23&gt;(2^D24),D24+1,D24)</f>
        <v>3</v>
      </c>
      <c r="F24" s="6">
        <f t="shared" ref="F24" ca="1" si="23">IF(F23&gt;(2^E24),E24+1,E24)</f>
        <v>4</v>
      </c>
      <c r="G24" s="6">
        <f t="shared" ref="G24" ca="1" si="24">IF(G23&gt;(2^F24),F24+1,F24)</f>
        <v>5</v>
      </c>
      <c r="H24" s="6">
        <f t="shared" ref="H24" ca="1" si="25">IF(H23&gt;(2^G24),G24+1,G24)</f>
        <v>5</v>
      </c>
      <c r="I24" s="6">
        <f t="shared" ref="I24" ca="1" si="26">IF(I23&gt;(2^H24),H24+1,H24)</f>
        <v>6</v>
      </c>
      <c r="J24" s="6">
        <f t="shared" ref="J24" ca="1" si="27">IF(J23&gt;(2^I24),I24+1,I24)</f>
        <v>7</v>
      </c>
      <c r="K24" s="6">
        <f t="shared" ref="K24" ca="1" si="28">IF(K23&gt;(2^J24),J24+1,J24)</f>
        <v>8</v>
      </c>
      <c r="L24" s="6">
        <f t="shared" ref="L24" ca="1" si="29">IF(L23&gt;(2^K24),K24+1,K24)</f>
        <v>8</v>
      </c>
    </row>
    <row r="25" spans="1:14" x14ac:dyDescent="0.25">
      <c r="B25" s="7"/>
    </row>
    <row r="26" spans="1:14" x14ac:dyDescent="0.25">
      <c r="A26" t="s">
        <v>12</v>
      </c>
      <c r="B26" s="2">
        <f t="shared" ref="B26:L26" si="30">B10+B20</f>
        <v>29230</v>
      </c>
      <c r="C26" s="8">
        <f t="shared" ca="1" si="30"/>
        <v>27427.804880283358</v>
      </c>
      <c r="D26" s="8">
        <f t="shared" ca="1" si="30"/>
        <v>23180.054307458915</v>
      </c>
      <c r="E26" s="8">
        <f t="shared" ca="1" si="30"/>
        <v>24257.7358246437</v>
      </c>
      <c r="F26" s="8">
        <f t="shared" ca="1" si="30"/>
        <v>38897.053154606074</v>
      </c>
      <c r="G26" s="8">
        <f t="shared" ca="1" si="30"/>
        <v>57317.502875490231</v>
      </c>
      <c r="H26" s="8">
        <f t="shared" ca="1" si="30"/>
        <v>43952.370419456631</v>
      </c>
      <c r="I26" s="8">
        <f t="shared" ca="1" si="30"/>
        <v>54029.513198035122</v>
      </c>
      <c r="J26" s="8">
        <f t="shared" ca="1" si="30"/>
        <v>72532.756731439687</v>
      </c>
      <c r="K26" s="8">
        <f t="shared" ca="1" si="30"/>
        <v>87893.420152002596</v>
      </c>
      <c r="L26" s="8">
        <f t="shared" ca="1" si="30"/>
        <v>115764.29810253893</v>
      </c>
    </row>
    <row r="28" spans="1:14" x14ac:dyDescent="0.25">
      <c r="A28" t="s">
        <v>11</v>
      </c>
      <c r="C28">
        <f ca="1">RAND()</f>
        <v>0.89304077104514135</v>
      </c>
      <c r="D28">
        <f t="shared" ref="D28:L28" ca="1" si="31">RAND()</f>
        <v>0.90902969579016468</v>
      </c>
      <c r="E28">
        <f t="shared" ca="1" si="31"/>
        <v>1.1890400532242884E-2</v>
      </c>
      <c r="F28">
        <f t="shared" ca="1" si="31"/>
        <v>0.90849994088567732</v>
      </c>
      <c r="G28">
        <f t="shared" ca="1" si="31"/>
        <v>9.5580184763763176E-2</v>
      </c>
      <c r="H28">
        <f t="shared" ca="1" si="31"/>
        <v>0.3129542521814781</v>
      </c>
      <c r="I28">
        <f t="shared" ca="1" si="31"/>
        <v>0.99920859743409673</v>
      </c>
      <c r="J28">
        <f t="shared" ca="1" si="31"/>
        <v>0.63125318801170549</v>
      </c>
      <c r="K28">
        <f t="shared" ca="1" si="31"/>
        <v>0.79393425340176782</v>
      </c>
      <c r="L28">
        <f t="shared" ca="1" si="31"/>
        <v>0.75079832135700308</v>
      </c>
    </row>
    <row r="29" spans="1:14" x14ac:dyDescent="0.25">
      <c r="A29" t="str">
        <f>CONCATENATE("FCF growth rate between ",TEXT('Model Assumptions'!C10,"0.0%")," / ",TEXT('Model Assumptions'!D10,"0.0%"))</f>
        <v>FCF growth rate between -4.8% / 5.0%</v>
      </c>
      <c r="C29" s="5">
        <f ca="1">(1-C28)*-4.8%+(C28)*5%</f>
        <v>3.9517995562423858E-2</v>
      </c>
      <c r="D29" s="5">
        <f t="shared" ref="D29:L29" ca="1" si="32">(1-D28)*-4.8%+(D28)*5%</f>
        <v>4.1084910187436138E-2</v>
      </c>
      <c r="E29" s="5">
        <f t="shared" ca="1" si="32"/>
        <v>-4.6834740747840199E-2</v>
      </c>
      <c r="F29" s="5">
        <f t="shared" ca="1" si="32"/>
        <v>4.1032994206796382E-2</v>
      </c>
      <c r="G29" s="5">
        <f t="shared" ca="1" si="32"/>
        <v>-3.8633141893151209E-2</v>
      </c>
      <c r="H29" s="5">
        <f t="shared" ca="1" si="32"/>
        <v>-1.7330483286215146E-2</v>
      </c>
      <c r="I29" s="5">
        <f t="shared" ca="1" si="32"/>
        <v>4.9922442548541487E-2</v>
      </c>
      <c r="J29" s="5">
        <f t="shared" ca="1" si="32"/>
        <v>1.3862812425147135E-2</v>
      </c>
      <c r="K29" s="5">
        <f t="shared" ca="1" si="32"/>
        <v>2.9805556833373249E-2</v>
      </c>
      <c r="L29" s="5">
        <f t="shared" ca="1" si="32"/>
        <v>2.5578235492986302E-2</v>
      </c>
      <c r="M29" s="5"/>
      <c r="N29" s="5"/>
    </row>
    <row r="30" spans="1:14" x14ac:dyDescent="0.25">
      <c r="A30" t="s">
        <v>8</v>
      </c>
      <c r="B30" s="2">
        <f>'Model Assumptions'!C19</f>
        <v>2786</v>
      </c>
      <c r="C30" s="8">
        <f ca="1">ROUND(C31*C26,0)</f>
        <v>3698</v>
      </c>
      <c r="D30" s="8">
        <f t="shared" ref="D30:L30" ca="1" si="33">ROUND(D31*D26,0)</f>
        <v>4078</v>
      </c>
      <c r="E30" s="8">
        <f t="shared" ca="1" si="33"/>
        <v>3131</v>
      </c>
      <c r="F30" s="8">
        <f t="shared" ca="1" si="33"/>
        <v>6617</v>
      </c>
      <c r="G30" s="8">
        <f t="shared" ca="1" si="33"/>
        <v>7536</v>
      </c>
      <c r="H30" s="8">
        <f t="shared" ca="1" si="33"/>
        <v>5017</v>
      </c>
      <c r="I30" s="8">
        <f t="shared" ca="1" si="33"/>
        <v>8865</v>
      </c>
      <c r="J30" s="8">
        <f t="shared" ca="1" si="33"/>
        <v>12906</v>
      </c>
      <c r="K30" s="8">
        <f t="shared" ca="1" si="33"/>
        <v>18259</v>
      </c>
      <c r="L30" s="8">
        <f t="shared" ca="1" si="33"/>
        <v>27010</v>
      </c>
      <c r="N30" s="11"/>
    </row>
    <row r="31" spans="1:14" x14ac:dyDescent="0.25">
      <c r="A31" t="s">
        <v>9</v>
      </c>
      <c r="B31" s="5">
        <f>B30/(B10+B20)</f>
        <v>9.5313034553540885E-2</v>
      </c>
      <c r="C31" s="5">
        <f ca="1">B31+C29</f>
        <v>0.13483103011596476</v>
      </c>
      <c r="D31" s="5">
        <f t="shared" ref="D31:L31" ca="1" si="34">C31+D29</f>
        <v>0.17591594030340091</v>
      </c>
      <c r="E31" s="5">
        <f t="shared" ca="1" si="34"/>
        <v>0.12908119955556072</v>
      </c>
      <c r="F31" s="5">
        <f t="shared" ca="1" si="34"/>
        <v>0.17011419376235709</v>
      </c>
      <c r="G31" s="5">
        <f t="shared" ca="1" si="34"/>
        <v>0.13148105186920589</v>
      </c>
      <c r="H31" s="5">
        <f t="shared" ca="1" si="34"/>
        <v>0.11415056858299075</v>
      </c>
      <c r="I31" s="5">
        <f t="shared" ca="1" si="34"/>
        <v>0.16407301113153222</v>
      </c>
      <c r="J31" s="5">
        <f t="shared" ca="1" si="34"/>
        <v>0.17793582355667936</v>
      </c>
      <c r="K31" s="5">
        <f t="shared" ca="1" si="34"/>
        <v>0.2077413803900526</v>
      </c>
      <c r="L31" s="5">
        <f t="shared" ca="1" si="34"/>
        <v>0.2333196158830389</v>
      </c>
    </row>
    <row r="33" spans="1:13" x14ac:dyDescent="0.25">
      <c r="A33" t="str">
        <f ca="1">CONCATENATE("Net Present Value of FCF at ",TEXT('Model Assumptions'!F11,"0.0%")," interest rate (millions)")</f>
        <v>Net Present Value of FCF at 3.9% interest rate (millions)</v>
      </c>
      <c r="B33" s="10">
        <f ca="1">NPV('Model Assumptions'!F11,C30:L30)</f>
        <v>73796.909592755881</v>
      </c>
      <c r="M33" s="9">
        <f ca="1">L30/'Model Assumptions'!F11/(1+'Model Assumptions'!F11)^10</f>
        <v>476732.30368457723</v>
      </c>
    </row>
    <row r="34" spans="1:13" x14ac:dyDescent="0.25">
      <c r="B34" s="10">
        <f ca="1">B33+M33</f>
        <v>550529.21327733307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F575-D2BE-410C-B1B8-2E037050B1AA}">
  <sheetPr codeName="Sheet4"/>
  <dimension ref="A1:O5009"/>
  <sheetViews>
    <sheetView tabSelected="1" workbookViewId="0">
      <pane ySplit="1" topLeftCell="A4974" activePane="bottomLeft" state="frozen"/>
      <selection pane="bottomLeft" activeCell="L5009" sqref="L5009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12.42578125" bestFit="1" customWidth="1"/>
    <col min="4" max="4" width="16.140625" bestFit="1" customWidth="1"/>
    <col min="5" max="5" width="12.140625" bestFit="1" customWidth="1"/>
    <col min="6" max="6" width="23.140625" bestFit="1" customWidth="1"/>
    <col min="7" max="7" width="12.5703125" bestFit="1" customWidth="1"/>
    <col min="8" max="8" width="10.42578125" bestFit="1" customWidth="1"/>
    <col min="9" max="9" width="24.140625" bestFit="1" customWidth="1"/>
    <col min="10" max="10" width="13.85546875" bestFit="1" customWidth="1"/>
    <col min="11" max="11" width="16.42578125" bestFit="1" customWidth="1"/>
    <col min="12" max="12" width="14.28515625" bestFit="1" customWidth="1"/>
    <col min="14" max="14" width="14.28515625" bestFit="1" customWidth="1"/>
  </cols>
  <sheetData>
    <row r="1" spans="1:15" x14ac:dyDescent="0.25">
      <c r="A1" t="s">
        <v>39</v>
      </c>
      <c r="B1" t="s">
        <v>43</v>
      </c>
      <c r="C1" t="s">
        <v>44</v>
      </c>
      <c r="D1" t="s">
        <v>38</v>
      </c>
      <c r="E1" t="s">
        <v>3</v>
      </c>
      <c r="F1" t="s">
        <v>4</v>
      </c>
      <c r="G1" t="s">
        <v>40</v>
      </c>
      <c r="H1" t="s">
        <v>10</v>
      </c>
      <c r="I1" t="s">
        <v>16</v>
      </c>
      <c r="J1" t="s">
        <v>12</v>
      </c>
      <c r="K1" t="s">
        <v>41</v>
      </c>
      <c r="L1" t="s">
        <v>42</v>
      </c>
    </row>
    <row r="2" spans="1:15" x14ac:dyDescent="0.25">
      <c r="A2">
        <v>1</v>
      </c>
      <c r="B2" s="3">
        <v>0.11828394753775838</v>
      </c>
      <c r="C2" s="3">
        <v>7.5472942068317561E-2</v>
      </c>
      <c r="D2" s="1">
        <v>168535.99505154608</v>
      </c>
      <c r="E2" s="1">
        <v>5218922</v>
      </c>
      <c r="F2" s="1">
        <v>27066498</v>
      </c>
      <c r="G2" s="16">
        <v>77413.170801045591</v>
      </c>
      <c r="H2">
        <v>281.16000000000003</v>
      </c>
      <c r="I2" s="1">
        <v>748.05</v>
      </c>
      <c r="J2" s="16">
        <v>245949.16585259169</v>
      </c>
      <c r="K2" s="5">
        <v>-4.0211869861896961E-2</v>
      </c>
      <c r="L2" s="10">
        <v>-34739.795100000003</v>
      </c>
      <c r="N2" s="10">
        <f>MIN(L2:L5001)</f>
        <v>-1064735.5688</v>
      </c>
      <c r="O2">
        <f>COUNTIF(L2:L5001,"&lt;0")</f>
        <v>483</v>
      </c>
    </row>
    <row r="3" spans="1:15" x14ac:dyDescent="0.25">
      <c r="A3">
        <v>2</v>
      </c>
      <c r="B3" s="3">
        <v>0.11774252212157058</v>
      </c>
      <c r="C3" s="3">
        <v>3.1616758467705758E-2</v>
      </c>
      <c r="D3" s="1">
        <v>121672.64123180397</v>
      </c>
      <c r="E3" s="1">
        <v>3758499</v>
      </c>
      <c r="F3" s="1">
        <v>31649062</v>
      </c>
      <c r="G3" s="16">
        <v>35314.287539256802</v>
      </c>
      <c r="H3">
        <v>127.61</v>
      </c>
      <c r="I3" s="1">
        <v>399.61</v>
      </c>
      <c r="J3" s="16">
        <v>156986.92877106078</v>
      </c>
      <c r="K3" s="5">
        <v>-1.2751419637618073E-2</v>
      </c>
      <c r="L3" s="10">
        <v>1125.5839000000001</v>
      </c>
      <c r="N3" s="10">
        <f>MAX(L2:L5001)</f>
        <v>5976195.0196000002</v>
      </c>
      <c r="O3">
        <f>COUNTIF(L2:L5001,"&gt;1000000")</f>
        <v>444</v>
      </c>
    </row>
    <row r="4" spans="1:15" x14ac:dyDescent="0.25">
      <c r="A4">
        <v>3</v>
      </c>
      <c r="B4" s="3">
        <v>0.17206597659495315</v>
      </c>
      <c r="C4" s="3">
        <v>5.262914554104213E-2</v>
      </c>
      <c r="D4" s="1">
        <v>244958.93743079482</v>
      </c>
      <c r="E4" s="1">
        <v>11784679</v>
      </c>
      <c r="F4" s="1">
        <v>47943314</v>
      </c>
      <c r="G4" s="16">
        <v>20888.379875861119</v>
      </c>
      <c r="H4">
        <v>117.81</v>
      </c>
      <c r="I4" s="1">
        <v>405.84</v>
      </c>
      <c r="J4" s="16">
        <v>265847.31730665592</v>
      </c>
      <c r="K4" s="5">
        <v>6.4231207685286965E-2</v>
      </c>
      <c r="L4" s="10">
        <v>245314.11809999999</v>
      </c>
      <c r="N4" s="10">
        <f>AVERAGE(L2:L5001)</f>
        <v>395670.66876356048</v>
      </c>
    </row>
    <row r="5" spans="1:15" x14ac:dyDescent="0.25">
      <c r="A5">
        <v>4</v>
      </c>
      <c r="B5" s="3">
        <v>0.17616601826307032</v>
      </c>
      <c r="C5" s="3">
        <v>2.5075118057923177E-2</v>
      </c>
      <c r="D5" s="1">
        <v>153632.0787967121</v>
      </c>
      <c r="E5" s="1">
        <v>5142401</v>
      </c>
      <c r="F5" s="1">
        <v>18682631</v>
      </c>
      <c r="G5" s="16">
        <v>25070.313467342803</v>
      </c>
      <c r="H5">
        <v>146.49</v>
      </c>
      <c r="I5" s="1">
        <v>416.07</v>
      </c>
      <c r="J5" s="16">
        <v>178702.39226405491</v>
      </c>
      <c r="K5" s="5">
        <v>-8.1271720008327636E-2</v>
      </c>
      <c r="L5" s="10">
        <v>-478952.56679999997</v>
      </c>
      <c r="N5">
        <f>STDEV(L2:L5001)</f>
        <v>511487.20491362596</v>
      </c>
    </row>
    <row r="6" spans="1:15" x14ac:dyDescent="0.25">
      <c r="A6">
        <v>5</v>
      </c>
      <c r="B6" s="3">
        <v>0.20229664184487156</v>
      </c>
      <c r="C6" s="3">
        <v>7.2250125746897834E-2</v>
      </c>
      <c r="D6" s="1">
        <v>293619.52610319795</v>
      </c>
      <c r="E6" s="1">
        <v>17012985</v>
      </c>
      <c r="F6" s="1">
        <v>61109106</v>
      </c>
      <c r="G6" s="16">
        <v>11365.454732580094</v>
      </c>
      <c r="H6">
        <v>66.38</v>
      </c>
      <c r="I6" s="1">
        <v>272.92999999999995</v>
      </c>
      <c r="J6" s="16">
        <v>304984.98083577806</v>
      </c>
      <c r="K6" s="5">
        <v>0.21586302751292508</v>
      </c>
      <c r="L6" s="10">
        <v>625880.41040000005</v>
      </c>
    </row>
    <row r="7" spans="1:15" x14ac:dyDescent="0.25">
      <c r="A7">
        <v>6</v>
      </c>
      <c r="B7" s="3">
        <v>0.10211088055149944</v>
      </c>
      <c r="C7" s="3">
        <v>5.0619508623657508E-2</v>
      </c>
      <c r="D7" s="1">
        <v>166637.2472900284</v>
      </c>
      <c r="E7" s="1">
        <v>4798270</v>
      </c>
      <c r="F7" s="1">
        <v>23583996</v>
      </c>
      <c r="G7" s="16">
        <v>69181.611598941716</v>
      </c>
      <c r="H7">
        <v>246.27</v>
      </c>
      <c r="I7" s="1">
        <v>832.45</v>
      </c>
      <c r="J7" s="16">
        <v>235818.85888897011</v>
      </c>
      <c r="K7" s="5">
        <v>-5.8756912982396832E-2</v>
      </c>
      <c r="L7" s="10">
        <v>-169913.00399999999</v>
      </c>
    </row>
    <row r="8" spans="1:15" x14ac:dyDescent="0.25">
      <c r="A8">
        <v>7</v>
      </c>
      <c r="B8" s="3">
        <v>0.10921398463594408</v>
      </c>
      <c r="C8" s="3">
        <v>5.3680588546253072E-2</v>
      </c>
      <c r="D8" s="1">
        <v>302787.32675681013</v>
      </c>
      <c r="E8" s="1">
        <v>10103540</v>
      </c>
      <c r="F8" s="1">
        <v>45016433</v>
      </c>
      <c r="G8" s="16">
        <v>26776.112717026255</v>
      </c>
      <c r="H8">
        <v>90.67</v>
      </c>
      <c r="I8" s="1">
        <v>390.59000000000003</v>
      </c>
      <c r="J8" s="16">
        <v>329563.43947383639</v>
      </c>
      <c r="K8" s="5">
        <v>-6.1813143166619816E-3</v>
      </c>
      <c r="L8" s="10">
        <v>24656.299200000001</v>
      </c>
    </row>
    <row r="9" spans="1:15" x14ac:dyDescent="0.25">
      <c r="A9">
        <v>8</v>
      </c>
      <c r="B9" s="3">
        <v>0.20759371896910508</v>
      </c>
      <c r="C9" s="3">
        <v>6.2764609488734774E-2</v>
      </c>
      <c r="D9" s="1">
        <v>203851.6673883505</v>
      </c>
      <c r="E9" s="1">
        <v>9676664</v>
      </c>
      <c r="F9" s="1">
        <v>35444890</v>
      </c>
      <c r="G9" s="16">
        <v>15189.332429754073</v>
      </c>
      <c r="H9">
        <v>116.55</v>
      </c>
      <c r="I9" s="1">
        <v>432.09999999999997</v>
      </c>
      <c r="J9" s="16">
        <v>219040.99981810458</v>
      </c>
      <c r="K9" s="5">
        <v>0.25399674115977605</v>
      </c>
      <c r="L9" s="10">
        <v>632975.72050000005</v>
      </c>
    </row>
    <row r="10" spans="1:15" x14ac:dyDescent="0.25">
      <c r="A10">
        <v>9</v>
      </c>
      <c r="B10" s="3">
        <v>0.16136242567158857</v>
      </c>
      <c r="C10" s="3">
        <v>3.5566103022299268E-2</v>
      </c>
      <c r="D10" s="1">
        <v>177647.81720723971</v>
      </c>
      <c r="E10" s="1">
        <v>6721484</v>
      </c>
      <c r="F10" s="1">
        <v>27792571</v>
      </c>
      <c r="G10" s="16">
        <v>15619.926495616006</v>
      </c>
      <c r="H10">
        <v>67.53</v>
      </c>
      <c r="I10" s="1">
        <v>282.84000000000003</v>
      </c>
      <c r="J10" s="16">
        <v>193267.74370285572</v>
      </c>
      <c r="K10" s="5">
        <v>0.15739811730952982</v>
      </c>
      <c r="L10" s="10">
        <v>694098.87620000006</v>
      </c>
    </row>
    <row r="11" spans="1:15" x14ac:dyDescent="0.25">
      <c r="A11">
        <v>10</v>
      </c>
      <c r="B11" s="3">
        <v>0.17161674657531903</v>
      </c>
      <c r="C11" s="3">
        <v>7.3595450473807583E-2</v>
      </c>
      <c r="D11" s="1">
        <v>121779.28026212011</v>
      </c>
      <c r="E11" s="1">
        <v>4840063</v>
      </c>
      <c r="F11" s="1">
        <v>26095798</v>
      </c>
      <c r="G11" s="16">
        <v>10028.243535108173</v>
      </c>
      <c r="H11">
        <v>38.659999999999997</v>
      </c>
      <c r="I11" s="1">
        <v>177.7</v>
      </c>
      <c r="J11" s="16">
        <v>131807.52379722829</v>
      </c>
      <c r="K11" s="5">
        <v>0.12434585178207444</v>
      </c>
      <c r="L11" s="10">
        <v>159408.16080000001</v>
      </c>
    </row>
    <row r="12" spans="1:15" x14ac:dyDescent="0.25">
      <c r="A12">
        <v>11</v>
      </c>
      <c r="B12" s="3">
        <v>0.17402886287909236</v>
      </c>
      <c r="C12" s="3">
        <v>7.6562684589551233E-2</v>
      </c>
      <c r="D12" s="1">
        <v>67721.046276747569</v>
      </c>
      <c r="E12" s="1">
        <v>2249220</v>
      </c>
      <c r="F12" s="1">
        <v>19127067</v>
      </c>
      <c r="G12" s="16">
        <v>32365.358055088829</v>
      </c>
      <c r="H12">
        <v>185.8</v>
      </c>
      <c r="I12" s="1">
        <v>718.51</v>
      </c>
      <c r="J12" s="16">
        <v>100086.4043318364</v>
      </c>
      <c r="K12" s="5">
        <v>9.4788081683836678E-2</v>
      </c>
      <c r="L12" s="10">
        <v>82416.174299999999</v>
      </c>
    </row>
    <row r="13" spans="1:15" x14ac:dyDescent="0.25">
      <c r="A13">
        <v>12</v>
      </c>
      <c r="B13" s="3">
        <v>0.12387409424457665</v>
      </c>
      <c r="C13" s="3">
        <v>6.8594311057164611E-2</v>
      </c>
      <c r="D13" s="1">
        <v>431320.92907499988</v>
      </c>
      <c r="E13" s="1">
        <v>13700520</v>
      </c>
      <c r="F13" s="1">
        <v>40108430</v>
      </c>
      <c r="G13" s="16">
        <v>63759.307858128508</v>
      </c>
      <c r="H13">
        <v>276.44</v>
      </c>
      <c r="I13" s="1">
        <v>860.41000000000008</v>
      </c>
      <c r="J13" s="16">
        <v>495080.23693312838</v>
      </c>
      <c r="K13" s="5">
        <v>2.9114518242127289E-2</v>
      </c>
      <c r="L13" s="10">
        <v>154826.932</v>
      </c>
    </row>
    <row r="14" spans="1:15" x14ac:dyDescent="0.25">
      <c r="A14">
        <v>13</v>
      </c>
      <c r="B14" s="3">
        <v>0.13449504276398125</v>
      </c>
      <c r="C14" s="3">
        <v>5.1201630585748656E-2</v>
      </c>
      <c r="D14" s="1">
        <v>95533.14409461063</v>
      </c>
      <c r="E14" s="1">
        <v>2757710</v>
      </c>
      <c r="F14" s="1">
        <v>16577598</v>
      </c>
      <c r="G14" s="16">
        <v>17299.215555374347</v>
      </c>
      <c r="H14">
        <v>53.57</v>
      </c>
      <c r="I14" s="1">
        <v>187.64999999999998</v>
      </c>
      <c r="J14" s="16">
        <v>112832.35964998498</v>
      </c>
      <c r="K14" s="5">
        <v>9.8888226943086577E-2</v>
      </c>
      <c r="L14" s="10">
        <v>176458.43900000001</v>
      </c>
    </row>
    <row r="15" spans="1:15" x14ac:dyDescent="0.25">
      <c r="A15">
        <v>14</v>
      </c>
      <c r="B15" s="3">
        <v>0.18691825222484965</v>
      </c>
      <c r="C15" s="3">
        <v>4.7554114867590425E-2</v>
      </c>
      <c r="D15" s="1">
        <v>162801.54136871936</v>
      </c>
      <c r="E15" s="1">
        <v>6971479</v>
      </c>
      <c r="F15" s="1">
        <v>28279655</v>
      </c>
      <c r="G15" s="16">
        <v>41882.286509712874</v>
      </c>
      <c r="H15">
        <v>268.14999999999998</v>
      </c>
      <c r="I15" s="1">
        <v>756.68</v>
      </c>
      <c r="J15" s="16">
        <v>204683.82787843223</v>
      </c>
      <c r="K15" s="5">
        <v>2.7463369804094535E-2</v>
      </c>
      <c r="L15" s="10">
        <v>96026.872399999993</v>
      </c>
    </row>
    <row r="16" spans="1:15" x14ac:dyDescent="0.25">
      <c r="A16">
        <v>15</v>
      </c>
      <c r="B16" s="3">
        <v>0.16244741001133772</v>
      </c>
      <c r="C16" s="3">
        <v>5.9389947160661177E-2</v>
      </c>
      <c r="D16" s="1">
        <v>236598.53576500149</v>
      </c>
      <c r="E16" s="1">
        <v>8998425</v>
      </c>
      <c r="F16" s="1">
        <v>27524922</v>
      </c>
      <c r="G16" s="16">
        <v>45722.098446521384</v>
      </c>
      <c r="H16">
        <v>237.98</v>
      </c>
      <c r="I16" s="1">
        <v>656.58</v>
      </c>
      <c r="J16" s="16">
        <v>282320.63421152288</v>
      </c>
      <c r="K16" s="5">
        <v>3.2934944374037219E-3</v>
      </c>
      <c r="L16" s="10">
        <v>25301.1037</v>
      </c>
    </row>
    <row r="17" spans="1:12" x14ac:dyDescent="0.25">
      <c r="A17">
        <v>16</v>
      </c>
      <c r="B17" s="3">
        <v>0.23992734265182641</v>
      </c>
      <c r="C17" s="3">
        <v>6.3816037387856239E-2</v>
      </c>
      <c r="D17" s="1">
        <v>45679.31114125788</v>
      </c>
      <c r="E17" s="1">
        <v>1946960</v>
      </c>
      <c r="F17" s="1">
        <v>11612580</v>
      </c>
      <c r="G17" s="16">
        <v>18466.657812349025</v>
      </c>
      <c r="H17">
        <v>144.16999999999999</v>
      </c>
      <c r="I17" s="1">
        <v>381.83</v>
      </c>
      <c r="J17" s="16">
        <v>64145.968953606905</v>
      </c>
      <c r="K17" s="5">
        <v>0.10473809344113859</v>
      </c>
      <c r="L17" s="10">
        <v>82957.680699999997</v>
      </c>
    </row>
    <row r="18" spans="1:12" x14ac:dyDescent="0.25">
      <c r="A18">
        <v>17</v>
      </c>
      <c r="B18" s="3">
        <v>0.15295718030587266</v>
      </c>
      <c r="C18" s="3">
        <v>3.6849765339861965E-2</v>
      </c>
      <c r="D18" s="1">
        <v>208314.21079839708</v>
      </c>
      <c r="E18" s="1">
        <v>7573558</v>
      </c>
      <c r="F18" s="1">
        <v>33656158</v>
      </c>
      <c r="G18" s="16">
        <v>21520.343374462525</v>
      </c>
      <c r="H18">
        <v>87.63</v>
      </c>
      <c r="I18" s="1">
        <v>304.86</v>
      </c>
      <c r="J18" s="16">
        <v>229834.55417285961</v>
      </c>
      <c r="K18" s="5">
        <v>0.19232897094395235</v>
      </c>
      <c r="L18" s="10">
        <v>989798.16130000004</v>
      </c>
    </row>
    <row r="19" spans="1:12" x14ac:dyDescent="0.25">
      <c r="A19">
        <v>18</v>
      </c>
      <c r="B19" s="3">
        <v>0.16874238875840925</v>
      </c>
      <c r="C19" s="3">
        <v>6.2986721406392429E-2</v>
      </c>
      <c r="D19" s="1">
        <v>279817.46301885351</v>
      </c>
      <c r="E19" s="1">
        <v>13194699</v>
      </c>
      <c r="F19" s="1">
        <v>49462504</v>
      </c>
      <c r="G19" s="16">
        <v>32915.833140324496</v>
      </c>
      <c r="H19">
        <v>180.59</v>
      </c>
      <c r="I19" s="1">
        <v>650.16999999999996</v>
      </c>
      <c r="J19" s="16">
        <v>312733.29615917802</v>
      </c>
      <c r="K19" s="5">
        <v>9.9366107816524274E-2</v>
      </c>
      <c r="L19" s="10">
        <v>372774.72810000001</v>
      </c>
    </row>
    <row r="20" spans="1:12" x14ac:dyDescent="0.25">
      <c r="A20">
        <v>19</v>
      </c>
      <c r="B20" s="3">
        <v>0.13642009628936708</v>
      </c>
      <c r="C20" s="3">
        <v>2.257051536966526E-2</v>
      </c>
      <c r="D20" s="1">
        <v>99346.220964471635</v>
      </c>
      <c r="E20" s="1">
        <v>2886996</v>
      </c>
      <c r="F20" s="1">
        <v>16237365</v>
      </c>
      <c r="G20" s="16">
        <v>82688.381640561682</v>
      </c>
      <c r="H20">
        <v>402.07</v>
      </c>
      <c r="I20" s="1">
        <v>970.33999999999992</v>
      </c>
      <c r="J20" s="16">
        <v>182034.60260503332</v>
      </c>
      <c r="K20" s="5">
        <v>5.2370500317847103E-2</v>
      </c>
      <c r="L20" s="10">
        <v>385114.92930000002</v>
      </c>
    </row>
    <row r="21" spans="1:12" x14ac:dyDescent="0.25">
      <c r="A21">
        <v>20</v>
      </c>
      <c r="B21" s="3">
        <v>0.21300823944575892</v>
      </c>
      <c r="C21" s="3">
        <v>2.5033374734773777E-2</v>
      </c>
      <c r="D21" s="1">
        <v>120842.44707310815</v>
      </c>
      <c r="E21" s="1">
        <v>5895786</v>
      </c>
      <c r="F21" s="1">
        <v>27187899</v>
      </c>
      <c r="G21" s="16">
        <v>35710.878668474455</v>
      </c>
      <c r="H21">
        <v>364.91</v>
      </c>
      <c r="I21" s="1">
        <v>1140.1200000000001</v>
      </c>
      <c r="J21" s="16">
        <v>156553.32574158261</v>
      </c>
      <c r="K21" s="5">
        <v>0.12018627230684496</v>
      </c>
      <c r="L21" s="10">
        <v>668003.65870000003</v>
      </c>
    </row>
    <row r="22" spans="1:12" x14ac:dyDescent="0.25">
      <c r="A22">
        <v>21</v>
      </c>
      <c r="B22" s="3">
        <v>0.23408386914686913</v>
      </c>
      <c r="C22" s="3">
        <v>5.4127553607794809E-2</v>
      </c>
      <c r="D22" s="1">
        <v>228286.67664885163</v>
      </c>
      <c r="E22" s="1">
        <v>12415336</v>
      </c>
      <c r="F22" s="1">
        <v>39235904</v>
      </c>
      <c r="G22" s="16">
        <v>11414.388940484001</v>
      </c>
      <c r="H22">
        <v>85.17</v>
      </c>
      <c r="I22" s="1">
        <v>284.79000000000002</v>
      </c>
      <c r="J22" s="16">
        <v>239701.06558933563</v>
      </c>
      <c r="K22" s="5">
        <v>-1.1779501054633566E-2</v>
      </c>
      <c r="L22" s="10">
        <v>-27666.780900000002</v>
      </c>
    </row>
    <row r="23" spans="1:12" x14ac:dyDescent="0.25">
      <c r="A23">
        <v>22</v>
      </c>
      <c r="B23" s="3">
        <v>0.16920112782203089</v>
      </c>
      <c r="C23" s="3">
        <v>6.1848349777886225E-2</v>
      </c>
      <c r="D23" s="1">
        <v>52069.486379452719</v>
      </c>
      <c r="E23" s="1">
        <v>1699410</v>
      </c>
      <c r="F23" s="1">
        <v>13495906</v>
      </c>
      <c r="G23" s="16">
        <v>18871.608337400812</v>
      </c>
      <c r="H23">
        <v>103.84</v>
      </c>
      <c r="I23" s="1">
        <v>423.86</v>
      </c>
      <c r="J23" s="16">
        <v>70941.094716853535</v>
      </c>
      <c r="K23" s="5">
        <v>0.12222271936092001</v>
      </c>
      <c r="L23" s="10">
        <v>113693.0564</v>
      </c>
    </row>
    <row r="24" spans="1:12" x14ac:dyDescent="0.25">
      <c r="A24">
        <v>23</v>
      </c>
      <c r="B24" s="3">
        <v>0.106423995634924</v>
      </c>
      <c r="C24" s="3">
        <v>7.4347510546117213E-2</v>
      </c>
      <c r="D24" s="1">
        <v>107325.93952669918</v>
      </c>
      <c r="E24" s="1">
        <v>2815227</v>
      </c>
      <c r="F24" s="1">
        <v>16525422</v>
      </c>
      <c r="G24" s="16">
        <v>125733.74545609148</v>
      </c>
      <c r="H24">
        <v>465.4</v>
      </c>
      <c r="I24" s="1">
        <v>1343.69</v>
      </c>
      <c r="J24" s="16">
        <v>233059.68498279067</v>
      </c>
      <c r="K24" s="5">
        <v>-2.4335692163298429E-2</v>
      </c>
      <c r="L24" s="10">
        <v>-23365.296999999999</v>
      </c>
    </row>
    <row r="25" spans="1:12" x14ac:dyDescent="0.25">
      <c r="A25">
        <v>24</v>
      </c>
      <c r="B25" s="3">
        <v>0.24387466422681492</v>
      </c>
      <c r="C25" s="3">
        <v>7.0798512711282929E-2</v>
      </c>
      <c r="D25" s="1">
        <v>85520.582156108503</v>
      </c>
      <c r="E25" s="1">
        <v>4896643</v>
      </c>
      <c r="F25" s="1">
        <v>21588618</v>
      </c>
      <c r="G25" s="16">
        <v>16115.795079213885</v>
      </c>
      <c r="H25">
        <v>129.69999999999999</v>
      </c>
      <c r="I25" s="1">
        <v>350.11</v>
      </c>
      <c r="J25" s="16">
        <v>101636.37723532239</v>
      </c>
      <c r="K25" s="5">
        <v>0.17946775842697221</v>
      </c>
      <c r="L25" s="10">
        <v>196337.8259</v>
      </c>
    </row>
    <row r="26" spans="1:12" x14ac:dyDescent="0.25">
      <c r="A26">
        <v>25</v>
      </c>
      <c r="B26" s="3">
        <v>0.11816555465881609</v>
      </c>
      <c r="C26" s="3">
        <v>4.1280862298300275E-2</v>
      </c>
      <c r="D26" s="1">
        <v>206955.4372272256</v>
      </c>
      <c r="E26" s="1">
        <v>6405183</v>
      </c>
      <c r="F26" s="1">
        <v>24839421</v>
      </c>
      <c r="G26" s="16">
        <v>45848.14510021804</v>
      </c>
      <c r="H26">
        <v>146.47</v>
      </c>
      <c r="I26" s="1">
        <v>372.59000000000003</v>
      </c>
      <c r="J26" s="16">
        <v>252803.58232744364</v>
      </c>
      <c r="K26" s="5">
        <v>-0.12085488134448834</v>
      </c>
      <c r="L26" s="10">
        <v>-532427.14670000004</v>
      </c>
    </row>
    <row r="27" spans="1:12" x14ac:dyDescent="0.25">
      <c r="A27">
        <v>26</v>
      </c>
      <c r="B27" s="3">
        <v>0.17126328754866738</v>
      </c>
      <c r="C27" s="3">
        <v>7.3112728063866858E-2</v>
      </c>
      <c r="D27" s="1">
        <v>209594.25171293147</v>
      </c>
      <c r="E27" s="1">
        <v>8316023</v>
      </c>
      <c r="F27" s="1">
        <v>41563774</v>
      </c>
      <c r="G27" s="16">
        <v>63387.569779292637</v>
      </c>
      <c r="H27">
        <v>428.23</v>
      </c>
      <c r="I27" s="1">
        <v>992.75</v>
      </c>
      <c r="J27" s="16">
        <v>272981.82149222412</v>
      </c>
      <c r="K27" s="5">
        <v>0.12728973266984628</v>
      </c>
      <c r="L27" s="10">
        <v>337475.26049999997</v>
      </c>
    </row>
    <row r="28" spans="1:12" x14ac:dyDescent="0.25">
      <c r="A28">
        <v>27</v>
      </c>
      <c r="B28" s="3">
        <v>0.12109125121645054</v>
      </c>
      <c r="C28" s="3">
        <v>2.9780119631804984E-2</v>
      </c>
      <c r="D28" s="1">
        <v>249783.50973265624</v>
      </c>
      <c r="E28" s="1">
        <v>7834145</v>
      </c>
      <c r="F28" s="1">
        <v>24344682</v>
      </c>
      <c r="G28" s="16">
        <v>49834.313230271335</v>
      </c>
      <c r="H28">
        <v>185.5</v>
      </c>
      <c r="I28" s="1">
        <v>543.73</v>
      </c>
      <c r="J28" s="16">
        <v>299617.82296292757</v>
      </c>
      <c r="K28" s="5">
        <v>7.391650233624647E-2</v>
      </c>
      <c r="L28" s="10">
        <v>609255.0246</v>
      </c>
    </row>
    <row r="29" spans="1:12" x14ac:dyDescent="0.25">
      <c r="A29">
        <v>28</v>
      </c>
      <c r="B29" s="3">
        <v>0.19722530880848732</v>
      </c>
      <c r="C29" s="3">
        <v>7.3829651898584606E-2</v>
      </c>
      <c r="D29" s="1">
        <v>263761.15991566691</v>
      </c>
      <c r="E29" s="1">
        <v>11886097</v>
      </c>
      <c r="F29" s="1">
        <v>39217359</v>
      </c>
      <c r="G29" s="16">
        <v>16619.242058097723</v>
      </c>
      <c r="H29">
        <v>93.3</v>
      </c>
      <c r="I29" s="1">
        <v>361.97999999999996</v>
      </c>
      <c r="J29" s="16">
        <v>280380.40197376464</v>
      </c>
      <c r="K29" s="5">
        <v>5.7984985762825882E-2</v>
      </c>
      <c r="L29" s="10">
        <v>165138.00279999999</v>
      </c>
    </row>
    <row r="30" spans="1:12" x14ac:dyDescent="0.25">
      <c r="A30">
        <v>29</v>
      </c>
      <c r="B30" s="3">
        <v>0.18809404117523681</v>
      </c>
      <c r="C30" s="3">
        <v>7.5840587426735245E-2</v>
      </c>
      <c r="D30" s="1">
        <v>153838.99453057934</v>
      </c>
      <c r="E30" s="1">
        <v>6625922</v>
      </c>
      <c r="F30" s="1">
        <v>34973980</v>
      </c>
      <c r="G30" s="16">
        <v>10857.417408601146</v>
      </c>
      <c r="H30">
        <v>57.07</v>
      </c>
      <c r="I30" s="1">
        <v>242.33999999999997</v>
      </c>
      <c r="J30" s="16">
        <v>164696.41193918049</v>
      </c>
      <c r="K30" s="5">
        <v>9.2160507399223018E-2</v>
      </c>
      <c r="L30" s="10">
        <v>157456.6917</v>
      </c>
    </row>
    <row r="31" spans="1:12" x14ac:dyDescent="0.25">
      <c r="A31">
        <v>30</v>
      </c>
      <c r="B31" s="3">
        <v>0.13111511661752548</v>
      </c>
      <c r="C31" s="3">
        <v>6.6380858229151546E-2</v>
      </c>
      <c r="D31" s="1">
        <v>149218.11958537402</v>
      </c>
      <c r="E31" s="1">
        <v>4257342</v>
      </c>
      <c r="F31" s="1">
        <v>19534439</v>
      </c>
      <c r="G31" s="16">
        <v>15651.466877972965</v>
      </c>
      <c r="H31">
        <v>47.64</v>
      </c>
      <c r="I31" s="1">
        <v>174.66000000000003</v>
      </c>
      <c r="J31" s="16">
        <v>164869.58646334699</v>
      </c>
      <c r="K31" s="5">
        <v>0.20906568514353879</v>
      </c>
      <c r="L31" s="10">
        <v>371268.02120000002</v>
      </c>
    </row>
    <row r="32" spans="1:12" x14ac:dyDescent="0.25">
      <c r="A32">
        <v>31</v>
      </c>
      <c r="B32" s="3">
        <v>0.17726813738673131</v>
      </c>
      <c r="C32" s="3">
        <v>3.430768194399219E-2</v>
      </c>
      <c r="D32" s="1">
        <v>169076.50290217111</v>
      </c>
      <c r="E32" s="1">
        <v>6906423</v>
      </c>
      <c r="F32" s="1">
        <v>31148057</v>
      </c>
      <c r="G32" s="16">
        <v>25797.947618722559</v>
      </c>
      <c r="H32">
        <v>152.16</v>
      </c>
      <c r="I32" s="1">
        <v>438.15</v>
      </c>
      <c r="J32" s="16">
        <v>194874.45052089368</v>
      </c>
      <c r="K32" s="5">
        <v>-0.11702449139416973</v>
      </c>
      <c r="L32" s="10">
        <v>-496387.33299999998</v>
      </c>
    </row>
    <row r="33" spans="1:12" x14ac:dyDescent="0.25">
      <c r="A33">
        <v>32</v>
      </c>
      <c r="B33" s="3">
        <v>0.23296577756139958</v>
      </c>
      <c r="C33" s="3">
        <v>4.3688046315480664E-2</v>
      </c>
      <c r="D33" s="1">
        <v>113594.7356503148</v>
      </c>
      <c r="E33" s="1">
        <v>6141890</v>
      </c>
      <c r="F33" s="1">
        <v>25924884</v>
      </c>
      <c r="G33" s="16">
        <v>22581.437170805853</v>
      </c>
      <c r="H33">
        <v>217.69</v>
      </c>
      <c r="I33" s="1">
        <v>710.22</v>
      </c>
      <c r="J33" s="16">
        <v>136176.17282112065</v>
      </c>
      <c r="K33" s="5">
        <v>0.16124752796326405</v>
      </c>
      <c r="L33" s="10">
        <v>419419.28220000002</v>
      </c>
    </row>
    <row r="34" spans="1:12" x14ac:dyDescent="0.25">
      <c r="A34">
        <v>33</v>
      </c>
      <c r="B34" s="3">
        <v>0.1850584662658025</v>
      </c>
      <c r="C34" s="3">
        <v>5.5807025432083809E-2</v>
      </c>
      <c r="D34" s="1">
        <v>236535.5066268277</v>
      </c>
      <c r="E34" s="1">
        <v>12315915</v>
      </c>
      <c r="F34" s="1">
        <v>46833671</v>
      </c>
      <c r="G34" s="16">
        <v>37503.833581442283</v>
      </c>
      <c r="H34">
        <v>236.37</v>
      </c>
      <c r="I34" s="1">
        <v>664.19</v>
      </c>
      <c r="J34" s="16">
        <v>274039.34020827</v>
      </c>
      <c r="K34" s="5">
        <v>0.24096244811380468</v>
      </c>
      <c r="L34" s="10">
        <v>872779.12939999998</v>
      </c>
    </row>
    <row r="35" spans="1:12" x14ac:dyDescent="0.25">
      <c r="A35">
        <v>34</v>
      </c>
      <c r="B35" s="3">
        <v>0.11017237603043993</v>
      </c>
      <c r="C35" s="3">
        <v>4.4255797619327769E-2</v>
      </c>
      <c r="D35" s="1">
        <v>54394.491836161535</v>
      </c>
      <c r="E35" s="1">
        <v>1285714</v>
      </c>
      <c r="F35" s="1">
        <v>10139120</v>
      </c>
      <c r="G35" s="16">
        <v>77116.995853661312</v>
      </c>
      <c r="H35">
        <v>262.45999999999998</v>
      </c>
      <c r="I35" s="1">
        <v>634.61999999999989</v>
      </c>
      <c r="J35" s="16">
        <v>131511.48768982285</v>
      </c>
      <c r="K35" s="5">
        <v>0.20845715939405424</v>
      </c>
      <c r="L35" s="10">
        <v>471427.4178</v>
      </c>
    </row>
    <row r="36" spans="1:12" x14ac:dyDescent="0.25">
      <c r="A36">
        <v>35</v>
      </c>
      <c r="B36" s="3">
        <v>0.18362097682520179</v>
      </c>
      <c r="C36" s="3">
        <v>7.3839509416120913E-2</v>
      </c>
      <c r="D36" s="1">
        <v>190009.93298591569</v>
      </c>
      <c r="E36" s="1">
        <v>8005941</v>
      </c>
      <c r="F36" s="1">
        <v>37234268</v>
      </c>
      <c r="G36" s="16">
        <v>10923.082304555513</v>
      </c>
      <c r="H36">
        <v>55.44</v>
      </c>
      <c r="I36" s="1">
        <v>256.14</v>
      </c>
      <c r="J36" s="16">
        <v>200933.0152904712</v>
      </c>
      <c r="K36" s="5">
        <v>4.8180959799884862E-2</v>
      </c>
      <c r="L36" s="10">
        <v>82989.566699999996</v>
      </c>
    </row>
    <row r="37" spans="1:12" x14ac:dyDescent="0.25">
      <c r="A37">
        <v>36</v>
      </c>
      <c r="B37" s="3">
        <v>0.14521705069408289</v>
      </c>
      <c r="C37" s="3">
        <v>4.7987704866551073E-2</v>
      </c>
      <c r="D37" s="1">
        <v>109992.04940965005</v>
      </c>
      <c r="E37" s="1">
        <v>3856030</v>
      </c>
      <c r="F37" s="1">
        <v>22628282</v>
      </c>
      <c r="G37" s="16">
        <v>35582.327146812604</v>
      </c>
      <c r="H37">
        <v>160.59</v>
      </c>
      <c r="I37" s="1">
        <v>507.90999999999997</v>
      </c>
      <c r="J37" s="16">
        <v>145574.37655646267</v>
      </c>
      <c r="K37" s="5">
        <v>9.7192560719060767E-2</v>
      </c>
      <c r="L37" s="10">
        <v>272679.8909</v>
      </c>
    </row>
    <row r="38" spans="1:12" x14ac:dyDescent="0.25">
      <c r="A38">
        <v>37</v>
      </c>
      <c r="B38" s="3">
        <v>0.23098726654414259</v>
      </c>
      <c r="C38" s="3">
        <v>2.3047143443329907E-2</v>
      </c>
      <c r="D38" s="1">
        <v>103604.63264928892</v>
      </c>
      <c r="E38" s="1">
        <v>5544319</v>
      </c>
      <c r="F38" s="1">
        <v>30937364</v>
      </c>
      <c r="G38" s="16">
        <v>30064.873781676357</v>
      </c>
      <c r="H38">
        <v>284.63</v>
      </c>
      <c r="I38" s="1">
        <v>750.34</v>
      </c>
      <c r="J38" s="16">
        <v>133669.50643096527</v>
      </c>
      <c r="K38" s="5">
        <v>0.1688510038168298</v>
      </c>
      <c r="L38" s="10">
        <v>901053.66729999997</v>
      </c>
    </row>
    <row r="39" spans="1:12" x14ac:dyDescent="0.25">
      <c r="A39">
        <v>38</v>
      </c>
      <c r="B39" s="3">
        <v>0.1709617642723803</v>
      </c>
      <c r="C39" s="3">
        <v>7.7829507419250529E-2</v>
      </c>
      <c r="D39" s="1">
        <v>155218.78307489917</v>
      </c>
      <c r="E39" s="1">
        <v>6149630</v>
      </c>
      <c r="F39" s="1">
        <v>27631987</v>
      </c>
      <c r="G39" s="16">
        <v>36844.94912589778</v>
      </c>
      <c r="H39">
        <v>206.25</v>
      </c>
      <c r="I39" s="1">
        <v>594.25</v>
      </c>
      <c r="J39" s="16">
        <v>192063.73220079695</v>
      </c>
      <c r="K39" s="5">
        <v>0.21215902925073182</v>
      </c>
      <c r="L39" s="10">
        <v>301344.59230000002</v>
      </c>
    </row>
    <row r="40" spans="1:12" x14ac:dyDescent="0.25">
      <c r="A40">
        <v>39</v>
      </c>
      <c r="B40" s="3">
        <v>0.13369994846666941</v>
      </c>
      <c r="C40" s="3">
        <v>6.3605950959973817E-2</v>
      </c>
      <c r="D40" s="1">
        <v>97317.526512855649</v>
      </c>
      <c r="E40" s="1">
        <v>2801493</v>
      </c>
      <c r="F40" s="1">
        <v>20649324</v>
      </c>
      <c r="G40" s="16">
        <v>33270.928530433179</v>
      </c>
      <c r="H40">
        <v>118.59</v>
      </c>
      <c r="I40" s="1">
        <v>339.45</v>
      </c>
      <c r="J40" s="16">
        <v>130588.45504328882</v>
      </c>
      <c r="K40" s="5">
        <v>7.3391238653265106E-2</v>
      </c>
      <c r="L40" s="10">
        <v>132146.4143</v>
      </c>
    </row>
    <row r="41" spans="1:12" x14ac:dyDescent="0.25">
      <c r="A41">
        <v>40</v>
      </c>
      <c r="B41" s="3">
        <v>0.18992924295594127</v>
      </c>
      <c r="C41" s="3">
        <v>3.4263852131138667E-2</v>
      </c>
      <c r="D41" s="1">
        <v>183416.5396464901</v>
      </c>
      <c r="E41" s="1">
        <v>7971676</v>
      </c>
      <c r="F41" s="1">
        <v>28287857</v>
      </c>
      <c r="G41" s="16">
        <v>15535.168047296733</v>
      </c>
      <c r="H41">
        <v>102.18</v>
      </c>
      <c r="I41" s="1">
        <v>403.23</v>
      </c>
      <c r="J41" s="16">
        <v>198951.70769378683</v>
      </c>
      <c r="K41" s="5">
        <v>8.1662196874608572E-2</v>
      </c>
      <c r="L41" s="10">
        <v>401246.7868</v>
      </c>
    </row>
    <row r="42" spans="1:12" x14ac:dyDescent="0.25">
      <c r="A42">
        <v>41</v>
      </c>
      <c r="B42" s="3">
        <v>0.16500204941387089</v>
      </c>
      <c r="C42" s="3">
        <v>3.6583963254830258E-2</v>
      </c>
      <c r="D42" s="1">
        <v>179014.91033569255</v>
      </c>
      <c r="E42" s="1">
        <v>6892094</v>
      </c>
      <c r="F42" s="1">
        <v>25541815</v>
      </c>
      <c r="G42" s="16">
        <v>26301.437350732329</v>
      </c>
      <c r="H42">
        <v>116.55</v>
      </c>
      <c r="I42" s="1">
        <v>356.48</v>
      </c>
      <c r="J42" s="16">
        <v>205316.34768642488</v>
      </c>
      <c r="K42" s="5">
        <v>6.5929230287030571E-2</v>
      </c>
      <c r="L42" s="10">
        <v>333001.40620000003</v>
      </c>
    </row>
    <row r="43" spans="1:12" x14ac:dyDescent="0.25">
      <c r="A43">
        <v>42</v>
      </c>
      <c r="B43" s="3">
        <v>0.1150661940298858</v>
      </c>
      <c r="C43" s="3">
        <v>3.7192690103739767E-2</v>
      </c>
      <c r="D43" s="1">
        <v>49574.383702783336</v>
      </c>
      <c r="E43" s="1">
        <v>1184783</v>
      </c>
      <c r="F43" s="1">
        <v>7940721</v>
      </c>
      <c r="G43" s="16">
        <v>17449.806971183923</v>
      </c>
      <c r="H43">
        <v>48.32</v>
      </c>
      <c r="I43" s="1">
        <v>187.17</v>
      </c>
      <c r="J43" s="16">
        <v>67024.190673967256</v>
      </c>
      <c r="K43" s="5">
        <v>9.467858023083961E-2</v>
      </c>
      <c r="L43" s="10">
        <v>132197.53049999999</v>
      </c>
    </row>
    <row r="44" spans="1:12" x14ac:dyDescent="0.25">
      <c r="A44">
        <v>43</v>
      </c>
      <c r="B44" s="3">
        <v>0.11305492395580988</v>
      </c>
      <c r="C44" s="3">
        <v>3.3506162319055587E-2</v>
      </c>
      <c r="D44" s="1">
        <v>165735.80407090345</v>
      </c>
      <c r="E44" s="1">
        <v>5012241</v>
      </c>
      <c r="F44" s="1">
        <v>26433119</v>
      </c>
      <c r="G44" s="16">
        <v>46616.595738354801</v>
      </c>
      <c r="H44">
        <v>162.38999999999999</v>
      </c>
      <c r="I44" s="1">
        <v>512.43000000000006</v>
      </c>
      <c r="J44" s="16">
        <v>212352.39980925826</v>
      </c>
      <c r="K44" s="5">
        <v>3.2384725435936207E-2</v>
      </c>
      <c r="L44" s="10">
        <v>170990.27160000001</v>
      </c>
    </row>
    <row r="45" spans="1:12" x14ac:dyDescent="0.25">
      <c r="A45">
        <v>44</v>
      </c>
      <c r="B45" s="3">
        <v>0.22144474465360089</v>
      </c>
      <c r="C45" s="3">
        <v>4.020840786316536E-2</v>
      </c>
      <c r="D45" s="1">
        <v>129334.13191209783</v>
      </c>
      <c r="E45" s="1">
        <v>6588068</v>
      </c>
      <c r="F45" s="1">
        <v>34798722</v>
      </c>
      <c r="G45" s="16">
        <v>11201.035952498762</v>
      </c>
      <c r="H45">
        <v>75.67</v>
      </c>
      <c r="I45" s="1">
        <v>278.21999999999997</v>
      </c>
      <c r="J45" s="16">
        <v>140535.16786459659</v>
      </c>
      <c r="K45" s="5">
        <v>0.1465741336660876</v>
      </c>
      <c r="L45" s="10">
        <v>438053.46919999999</v>
      </c>
    </row>
    <row r="46" spans="1:12" x14ac:dyDescent="0.25">
      <c r="A46">
        <v>45</v>
      </c>
      <c r="B46" s="3">
        <v>0.23398751965583495</v>
      </c>
      <c r="C46" s="3">
        <v>4.0040455123029797E-2</v>
      </c>
      <c r="D46" s="1">
        <v>231557.00331349045</v>
      </c>
      <c r="E46" s="1">
        <v>16431665</v>
      </c>
      <c r="F46" s="1">
        <v>53770096</v>
      </c>
      <c r="G46" s="16">
        <v>7298.0984470495978</v>
      </c>
      <c r="H46">
        <v>41.62</v>
      </c>
      <c r="I46" s="1">
        <v>179.45</v>
      </c>
      <c r="J46" s="16">
        <v>238855.10176054004</v>
      </c>
      <c r="K46" s="5">
        <v>1.8709113972049995E-2</v>
      </c>
      <c r="L46" s="10">
        <v>126717.9241</v>
      </c>
    </row>
    <row r="47" spans="1:12" x14ac:dyDescent="0.25">
      <c r="A47">
        <v>46</v>
      </c>
      <c r="B47" s="3">
        <v>0.20647494200366984</v>
      </c>
      <c r="C47" s="3">
        <v>3.4557539781489413E-2</v>
      </c>
      <c r="D47" s="1">
        <v>150538.52240625792</v>
      </c>
      <c r="E47" s="1">
        <v>7105714</v>
      </c>
      <c r="F47" s="1">
        <v>36835819</v>
      </c>
      <c r="G47" s="16">
        <v>20122.29716548631</v>
      </c>
      <c r="H47">
        <v>121.29</v>
      </c>
      <c r="I47" s="1">
        <v>365.07</v>
      </c>
      <c r="J47" s="16">
        <v>170660.81957174424</v>
      </c>
      <c r="K47" s="5">
        <v>0.12910183885052137</v>
      </c>
      <c r="L47" s="10">
        <v>555816.50349999999</v>
      </c>
    </row>
    <row r="48" spans="1:12" x14ac:dyDescent="0.25">
      <c r="A48">
        <v>47</v>
      </c>
      <c r="B48" s="3">
        <v>0.11934498296759521</v>
      </c>
      <c r="C48" s="3">
        <v>5.8998898701342534E-2</v>
      </c>
      <c r="D48" s="1">
        <v>99507.192857400325</v>
      </c>
      <c r="E48" s="1">
        <v>3096237</v>
      </c>
      <c r="F48" s="1">
        <v>22051507</v>
      </c>
      <c r="G48" s="16">
        <v>104989.76789352752</v>
      </c>
      <c r="H48">
        <v>436.7</v>
      </c>
      <c r="I48" s="1">
        <v>1124.98</v>
      </c>
      <c r="J48" s="16">
        <v>204496.96075092786</v>
      </c>
      <c r="K48" s="5">
        <v>0.27956638950831769</v>
      </c>
      <c r="L48" s="10">
        <v>725942.44220000005</v>
      </c>
    </row>
    <row r="49" spans="1:12" x14ac:dyDescent="0.25">
      <c r="A49">
        <v>48</v>
      </c>
      <c r="B49" s="3">
        <v>0.18004692165128991</v>
      </c>
      <c r="C49" s="3">
        <v>6.2242211694054875E-2</v>
      </c>
      <c r="D49" s="1">
        <v>171520.47774289444</v>
      </c>
      <c r="E49" s="1">
        <v>7101703</v>
      </c>
      <c r="F49" s="1">
        <v>34010318</v>
      </c>
      <c r="G49" s="16">
        <v>27309.16033062281</v>
      </c>
      <c r="H49">
        <v>164.93</v>
      </c>
      <c r="I49" s="1">
        <v>490.34</v>
      </c>
      <c r="J49" s="16">
        <v>198829.63807351724</v>
      </c>
      <c r="K49" s="5">
        <v>8.8710337642532139E-2</v>
      </c>
      <c r="L49" s="10">
        <v>199420.77720000001</v>
      </c>
    </row>
    <row r="50" spans="1:12" x14ac:dyDescent="0.25">
      <c r="A50">
        <v>49</v>
      </c>
      <c r="B50" s="3">
        <v>0.22325582995837695</v>
      </c>
      <c r="C50" s="3">
        <v>6.1095042562827925E-2</v>
      </c>
      <c r="D50" s="1">
        <v>188735.52474230912</v>
      </c>
      <c r="E50" s="1">
        <v>9703848</v>
      </c>
      <c r="F50" s="1">
        <v>32272444</v>
      </c>
      <c r="G50" s="16">
        <v>24796.491307012468</v>
      </c>
      <c r="H50">
        <v>218.81</v>
      </c>
      <c r="I50" s="1">
        <v>698.44</v>
      </c>
      <c r="J50" s="16">
        <v>213532.0160493216</v>
      </c>
      <c r="K50" s="5">
        <v>3.170375726483321E-3</v>
      </c>
      <c r="L50" s="10">
        <v>9232.6139000000003</v>
      </c>
    </row>
    <row r="51" spans="1:12" x14ac:dyDescent="0.25">
      <c r="A51">
        <v>50</v>
      </c>
      <c r="B51" s="3">
        <v>0.15290051243018279</v>
      </c>
      <c r="C51" s="3">
        <v>7.1940530014920026E-2</v>
      </c>
      <c r="D51" s="1">
        <v>131588.60517847844</v>
      </c>
      <c r="E51" s="1">
        <v>4051517</v>
      </c>
      <c r="F51" s="1">
        <v>20579639</v>
      </c>
      <c r="G51" s="16">
        <v>8515.6595433898692</v>
      </c>
      <c r="H51">
        <v>34.68</v>
      </c>
      <c r="I51" s="1">
        <v>202.05</v>
      </c>
      <c r="J51" s="16">
        <v>140104.2647218683</v>
      </c>
      <c r="K51" s="5">
        <v>9.6253665608925149E-2</v>
      </c>
      <c r="L51" s="10">
        <v>139377.40890000001</v>
      </c>
    </row>
    <row r="52" spans="1:12" x14ac:dyDescent="0.25">
      <c r="A52">
        <v>51</v>
      </c>
      <c r="B52" s="3">
        <v>0.1014899160479114</v>
      </c>
      <c r="C52" s="3">
        <v>5.5347431964897234E-2</v>
      </c>
      <c r="D52" s="1">
        <v>405744.8328339521</v>
      </c>
      <c r="E52" s="1">
        <v>11651012</v>
      </c>
      <c r="F52" s="1">
        <v>39037143</v>
      </c>
      <c r="G52" s="16">
        <v>72206.303402019679</v>
      </c>
      <c r="H52">
        <v>230.02</v>
      </c>
      <c r="I52" s="1">
        <v>548.48</v>
      </c>
      <c r="J52" s="16">
        <v>477951.13623597176</v>
      </c>
      <c r="K52" s="5">
        <v>0.28527722761542229</v>
      </c>
      <c r="L52" s="10">
        <v>1706572.7718</v>
      </c>
    </row>
    <row r="53" spans="1:12" x14ac:dyDescent="0.25">
      <c r="A53">
        <v>52</v>
      </c>
      <c r="B53" s="3">
        <v>0.20953739770427554</v>
      </c>
      <c r="C53" s="3">
        <v>6.9919057580992164E-2</v>
      </c>
      <c r="D53" s="1">
        <v>34206.065319191031</v>
      </c>
      <c r="E53" s="1">
        <v>1024571</v>
      </c>
      <c r="F53" s="1">
        <v>8027945</v>
      </c>
      <c r="G53" s="16">
        <v>16675.804097419845</v>
      </c>
      <c r="H53">
        <v>103</v>
      </c>
      <c r="I53" s="1">
        <v>305.69</v>
      </c>
      <c r="J53" s="16">
        <v>50881.869416610876</v>
      </c>
      <c r="K53" s="5">
        <v>-2.7059171963478266E-2</v>
      </c>
      <c r="L53" s="10">
        <v>-293.40980000000002</v>
      </c>
    </row>
    <row r="54" spans="1:12" x14ac:dyDescent="0.25">
      <c r="A54">
        <v>53</v>
      </c>
      <c r="B54" s="3">
        <v>0.17464641113224977</v>
      </c>
      <c r="C54" s="3">
        <v>3.663825867728851E-2</v>
      </c>
      <c r="D54" s="1">
        <v>103199.90875280469</v>
      </c>
      <c r="E54" s="1">
        <v>3435280</v>
      </c>
      <c r="F54" s="1">
        <v>18224941</v>
      </c>
      <c r="G54" s="16">
        <v>46117.069407182709</v>
      </c>
      <c r="H54">
        <v>322.52999999999997</v>
      </c>
      <c r="I54" s="1">
        <v>950.9</v>
      </c>
      <c r="J54" s="16">
        <v>149316.9781599874</v>
      </c>
      <c r="K54" s="5">
        <v>0.12144109447447582</v>
      </c>
      <c r="L54" s="10">
        <v>408142.09029999998</v>
      </c>
    </row>
    <row r="55" spans="1:12" x14ac:dyDescent="0.25">
      <c r="A55">
        <v>54</v>
      </c>
      <c r="B55" s="3">
        <v>0.21744505566916711</v>
      </c>
      <c r="C55" s="3">
        <v>6.3975603529894814E-2</v>
      </c>
      <c r="D55" s="1">
        <v>135833.94676084386</v>
      </c>
      <c r="E55" s="1">
        <v>6778787</v>
      </c>
      <c r="F55" s="1">
        <v>38799170</v>
      </c>
      <c r="G55" s="16">
        <v>25508.05518582369</v>
      </c>
      <c r="H55">
        <v>213.63</v>
      </c>
      <c r="I55" s="1">
        <v>585.04999999999995</v>
      </c>
      <c r="J55" s="16">
        <v>161342.00194666756</v>
      </c>
      <c r="K55" s="5">
        <v>-2.1368051901466519E-2</v>
      </c>
      <c r="L55" s="10">
        <v>-17713.3436</v>
      </c>
    </row>
    <row r="56" spans="1:12" x14ac:dyDescent="0.25">
      <c r="A56">
        <v>55</v>
      </c>
      <c r="B56" s="3">
        <v>0.16736928043544111</v>
      </c>
      <c r="C56" s="3">
        <v>6.2869936005830448E-2</v>
      </c>
      <c r="D56" s="1">
        <v>260146.28910708739</v>
      </c>
      <c r="E56" s="1">
        <v>10130033</v>
      </c>
      <c r="F56" s="1">
        <v>29275508</v>
      </c>
      <c r="G56" s="16">
        <v>71925.105365194788</v>
      </c>
      <c r="H56">
        <v>469.17</v>
      </c>
      <c r="I56" s="1">
        <v>1015.4300000000001</v>
      </c>
      <c r="J56" s="16">
        <v>332071.39447228215</v>
      </c>
      <c r="K56" s="5">
        <v>0.12112374522539394</v>
      </c>
      <c r="L56" s="10">
        <v>412468.47639999999</v>
      </c>
    </row>
    <row r="57" spans="1:12" x14ac:dyDescent="0.25">
      <c r="A57">
        <v>56</v>
      </c>
      <c r="B57" s="3">
        <v>0.14004688567795581</v>
      </c>
      <c r="C57" s="3">
        <v>4.9322516071835638E-2</v>
      </c>
      <c r="D57" s="1">
        <v>374287.45204855915</v>
      </c>
      <c r="E57" s="1">
        <v>14894773</v>
      </c>
      <c r="F57" s="1">
        <v>53708347</v>
      </c>
      <c r="G57" s="16">
        <v>71016.447525184063</v>
      </c>
      <c r="H57">
        <v>357.3</v>
      </c>
      <c r="I57" s="1">
        <v>928.22</v>
      </c>
      <c r="J57" s="16">
        <v>445303.89957374323</v>
      </c>
      <c r="K57" s="5">
        <v>2.5696295945946877E-2</v>
      </c>
      <c r="L57" s="10">
        <v>148421.2659</v>
      </c>
    </row>
    <row r="58" spans="1:12" x14ac:dyDescent="0.25">
      <c r="A58">
        <v>57</v>
      </c>
      <c r="B58" s="3">
        <v>0.24256234967006901</v>
      </c>
      <c r="C58" s="3">
        <v>7.9063223035967481E-2</v>
      </c>
      <c r="D58" s="1">
        <v>172638.03341511308</v>
      </c>
      <c r="E58" s="1">
        <v>9816385</v>
      </c>
      <c r="F58" s="1">
        <v>35192775</v>
      </c>
      <c r="G58" s="16">
        <v>28134.009841442865</v>
      </c>
      <c r="H58">
        <v>390.97</v>
      </c>
      <c r="I58" s="1">
        <v>964.6</v>
      </c>
      <c r="J58" s="16">
        <v>200772.04325655595</v>
      </c>
      <c r="K58" s="5">
        <v>6.4225112010174737E-2</v>
      </c>
      <c r="L58" s="10">
        <v>105249.57</v>
      </c>
    </row>
    <row r="59" spans="1:12" x14ac:dyDescent="0.25">
      <c r="A59">
        <v>58</v>
      </c>
      <c r="B59" s="3">
        <v>0.17289591583282271</v>
      </c>
      <c r="C59" s="3">
        <v>6.6532657689005625E-2</v>
      </c>
      <c r="D59" s="1">
        <v>24870.543521200947</v>
      </c>
      <c r="E59" s="1">
        <v>680405</v>
      </c>
      <c r="F59" s="1">
        <v>8764450</v>
      </c>
      <c r="G59" s="16">
        <v>26533.747333325988</v>
      </c>
      <c r="H59">
        <v>150.66999999999999</v>
      </c>
      <c r="I59" s="1">
        <v>470.18999999999994</v>
      </c>
      <c r="J59" s="16">
        <v>51404.290854526931</v>
      </c>
      <c r="K59" s="5">
        <v>0.17714956007022578</v>
      </c>
      <c r="L59" s="10">
        <v>118807.128</v>
      </c>
    </row>
    <row r="60" spans="1:12" x14ac:dyDescent="0.25">
      <c r="A60">
        <v>59</v>
      </c>
      <c r="B60" s="3">
        <v>0.20263135334099625</v>
      </c>
      <c r="C60" s="3">
        <v>5.843676418904499E-2</v>
      </c>
      <c r="D60" s="1">
        <v>82168.041722122231</v>
      </c>
      <c r="E60" s="1">
        <v>3033398</v>
      </c>
      <c r="F60" s="1">
        <v>18429864</v>
      </c>
      <c r="G60" s="16">
        <v>22877.050941626261</v>
      </c>
      <c r="H60">
        <v>167.94</v>
      </c>
      <c r="I60" s="1">
        <v>480.11</v>
      </c>
      <c r="J60" s="16">
        <v>105045.0926637485</v>
      </c>
      <c r="K60" s="5">
        <v>0.1228222341088019</v>
      </c>
      <c r="L60" s="10">
        <v>177783.7133</v>
      </c>
    </row>
    <row r="61" spans="1:12" x14ac:dyDescent="0.25">
      <c r="A61">
        <v>60</v>
      </c>
      <c r="B61" s="3">
        <v>0.1922148428435686</v>
      </c>
      <c r="C61" s="3">
        <v>2.8441222317181408E-2</v>
      </c>
      <c r="D61" s="1">
        <v>109390.46844725839</v>
      </c>
      <c r="E61" s="1">
        <v>3884138</v>
      </c>
      <c r="F61" s="1">
        <v>17484578</v>
      </c>
      <c r="G61" s="16">
        <v>16222.889778552553</v>
      </c>
      <c r="H61">
        <v>87.99</v>
      </c>
      <c r="I61" s="1">
        <v>254.26999999999998</v>
      </c>
      <c r="J61" s="16">
        <v>125613.35822581094</v>
      </c>
      <c r="K61" s="5">
        <v>0.11965721096208418</v>
      </c>
      <c r="L61" s="10">
        <v>441164.13880000002</v>
      </c>
    </row>
    <row r="62" spans="1:12" x14ac:dyDescent="0.25">
      <c r="A62">
        <v>61</v>
      </c>
      <c r="B62" s="3">
        <v>0.11057237195283438</v>
      </c>
      <c r="C62" s="3">
        <v>6.1817848382244481E-2</v>
      </c>
      <c r="D62" s="1">
        <v>445679.37445735978</v>
      </c>
      <c r="E62" s="1">
        <v>14985534</v>
      </c>
      <c r="F62" s="1">
        <v>56292134</v>
      </c>
      <c r="G62" s="16">
        <v>35055.674541786771</v>
      </c>
      <c r="H62">
        <v>106.69</v>
      </c>
      <c r="I62" s="1">
        <v>338.71</v>
      </c>
      <c r="J62" s="16">
        <v>480735.04899914656</v>
      </c>
      <c r="K62" s="5">
        <v>0.18947651420043216</v>
      </c>
      <c r="L62" s="10">
        <v>1008768.0219000001</v>
      </c>
    </row>
    <row r="63" spans="1:12" x14ac:dyDescent="0.25">
      <c r="A63">
        <v>62</v>
      </c>
      <c r="B63" s="3">
        <v>0.21090385403257211</v>
      </c>
      <c r="C63" s="3">
        <v>2.6717476875583457E-2</v>
      </c>
      <c r="D63" s="1">
        <v>128859.47401052788</v>
      </c>
      <c r="E63" s="1">
        <v>6220135</v>
      </c>
      <c r="F63" s="1">
        <v>23843105</v>
      </c>
      <c r="G63" s="16">
        <v>15512.059025649443</v>
      </c>
      <c r="H63">
        <v>122.59</v>
      </c>
      <c r="I63" s="1">
        <v>402.41999999999996</v>
      </c>
      <c r="J63" s="16">
        <v>144371.53303617731</v>
      </c>
      <c r="K63" s="5">
        <v>0.26531342647395534</v>
      </c>
      <c r="L63" s="10">
        <v>1219168.6455000001</v>
      </c>
    </row>
    <row r="64" spans="1:12" x14ac:dyDescent="0.25">
      <c r="A64">
        <v>63</v>
      </c>
      <c r="B64" s="3">
        <v>0.10479740729981507</v>
      </c>
      <c r="C64" s="3">
        <v>4.460815677898898E-2</v>
      </c>
      <c r="D64" s="1">
        <v>538909.16981320595</v>
      </c>
      <c r="E64" s="1">
        <v>17543315</v>
      </c>
      <c r="F64" s="1">
        <v>75250827</v>
      </c>
      <c r="G64" s="16">
        <v>100620.20494934527</v>
      </c>
      <c r="H64">
        <v>328.6</v>
      </c>
      <c r="I64" s="1">
        <v>721.53</v>
      </c>
      <c r="J64" s="16">
        <v>639529.37476255116</v>
      </c>
      <c r="K64" s="5">
        <v>0.10473557898015762</v>
      </c>
      <c r="L64" s="10">
        <v>1179830.476</v>
      </c>
    </row>
    <row r="65" spans="1:12" x14ac:dyDescent="0.25">
      <c r="A65">
        <v>64</v>
      </c>
      <c r="B65" s="3">
        <v>0.13092940492183516</v>
      </c>
      <c r="C65" s="3">
        <v>7.0665304790827235E-2</v>
      </c>
      <c r="D65" s="1">
        <v>73290.637253113862</v>
      </c>
      <c r="E65" s="1">
        <v>2089712</v>
      </c>
      <c r="F65" s="1">
        <v>15485549</v>
      </c>
      <c r="G65" s="16">
        <v>28010.520906456368</v>
      </c>
      <c r="H65">
        <v>97.83</v>
      </c>
      <c r="I65" s="1">
        <v>366.22999999999996</v>
      </c>
      <c r="J65" s="16">
        <v>101301.15815957023</v>
      </c>
      <c r="K65" s="5">
        <v>3.4493804483232735E-2</v>
      </c>
      <c r="L65" s="10">
        <v>39045.748</v>
      </c>
    </row>
    <row r="66" spans="1:12" x14ac:dyDescent="0.25">
      <c r="A66">
        <v>65</v>
      </c>
      <c r="B66" s="3">
        <v>0.17671067023346876</v>
      </c>
      <c r="C66" s="3">
        <v>4.4925327405469201E-2</v>
      </c>
      <c r="D66" s="1">
        <v>175664.1395554195</v>
      </c>
      <c r="E66" s="1">
        <v>8692073</v>
      </c>
      <c r="F66" s="1">
        <v>46859329</v>
      </c>
      <c r="G66" s="16">
        <v>40520.251728438896</v>
      </c>
      <c r="H66">
        <v>237.26</v>
      </c>
      <c r="I66" s="1">
        <v>560.29</v>
      </c>
      <c r="J66" s="16">
        <v>216184.39128385839</v>
      </c>
      <c r="K66" s="5">
        <v>7.6707586620620265E-3</v>
      </c>
      <c r="L66" s="10">
        <v>78995.564899999998</v>
      </c>
    </row>
    <row r="67" spans="1:12" x14ac:dyDescent="0.25">
      <c r="A67">
        <v>66</v>
      </c>
      <c r="B67" s="3">
        <v>0.10464513443040427</v>
      </c>
      <c r="C67" s="3">
        <v>7.9497261442941808E-2</v>
      </c>
      <c r="D67" s="1">
        <v>60119.365708270212</v>
      </c>
      <c r="E67" s="1">
        <v>1567586</v>
      </c>
      <c r="F67" s="1">
        <v>17514209</v>
      </c>
      <c r="G67" s="16">
        <v>109758.86911019789</v>
      </c>
      <c r="H67">
        <v>399.47</v>
      </c>
      <c r="I67" s="1">
        <v>937.62</v>
      </c>
      <c r="J67" s="16">
        <v>169878.2348184681</v>
      </c>
      <c r="K67" s="5">
        <v>1.6906045063196262E-2</v>
      </c>
      <c r="L67" s="10">
        <v>36461.551399999997</v>
      </c>
    </row>
    <row r="68" spans="1:12" x14ac:dyDescent="0.25">
      <c r="A68">
        <v>67</v>
      </c>
      <c r="B68" s="3">
        <v>0.23633853803125307</v>
      </c>
      <c r="C68" s="3">
        <v>6.8186459732165902E-2</v>
      </c>
      <c r="D68" s="1">
        <v>60566.953806792706</v>
      </c>
      <c r="E68" s="1">
        <v>3332999</v>
      </c>
      <c r="F68" s="1">
        <v>21560930</v>
      </c>
      <c r="G68" s="16">
        <v>24203.614977000889</v>
      </c>
      <c r="H68">
        <v>314.75</v>
      </c>
      <c r="I68" s="1">
        <v>844.41</v>
      </c>
      <c r="J68" s="16">
        <v>84770.568783793598</v>
      </c>
      <c r="K68" s="5">
        <v>0.24479104624314577</v>
      </c>
      <c r="L68" s="10">
        <v>235150.26610000001</v>
      </c>
    </row>
    <row r="69" spans="1:12" x14ac:dyDescent="0.25">
      <c r="A69">
        <v>68</v>
      </c>
      <c r="B69" s="3">
        <v>0.1556871418245189</v>
      </c>
      <c r="C69" s="3">
        <v>7.2279323783791607E-2</v>
      </c>
      <c r="D69" s="1">
        <v>143751.18209411507</v>
      </c>
      <c r="E69" s="1">
        <v>4469965</v>
      </c>
      <c r="F69" s="1">
        <v>19655897</v>
      </c>
      <c r="G69" s="16">
        <v>32816.435731476879</v>
      </c>
      <c r="H69">
        <v>161.43</v>
      </c>
      <c r="I69" s="1">
        <v>401.72</v>
      </c>
      <c r="J69" s="16">
        <v>176567.61782559194</v>
      </c>
      <c r="K69" s="5">
        <v>0.13061072765770887</v>
      </c>
      <c r="L69" s="10">
        <v>208175.13709999999</v>
      </c>
    </row>
    <row r="70" spans="1:12" x14ac:dyDescent="0.25">
      <c r="A70">
        <v>69</v>
      </c>
      <c r="B70" s="3">
        <v>0.22383826804946538</v>
      </c>
      <c r="C70" s="3">
        <v>7.6229424754196196E-2</v>
      </c>
      <c r="D70" s="1">
        <v>99652.750403867438</v>
      </c>
      <c r="E70" s="1">
        <v>3988732</v>
      </c>
      <c r="F70" s="1">
        <v>19280435</v>
      </c>
      <c r="G70" s="16">
        <v>19403.157393733138</v>
      </c>
      <c r="H70">
        <v>171.94</v>
      </c>
      <c r="I70" s="1">
        <v>549.31999999999994</v>
      </c>
      <c r="J70" s="16">
        <v>119055.90779760058</v>
      </c>
      <c r="K70" s="5">
        <v>0.10491720773809361</v>
      </c>
      <c r="L70" s="10">
        <v>122691.8991</v>
      </c>
    </row>
    <row r="71" spans="1:12" x14ac:dyDescent="0.25">
      <c r="A71">
        <v>70</v>
      </c>
      <c r="B71" s="3">
        <v>0.16427707138588671</v>
      </c>
      <c r="C71" s="3">
        <v>3.4020195994193252E-2</v>
      </c>
      <c r="D71" s="1">
        <v>57315.00653030954</v>
      </c>
      <c r="E71" s="1">
        <v>1837741</v>
      </c>
      <c r="F71" s="1">
        <v>11592804</v>
      </c>
      <c r="G71" s="16">
        <v>18810.824761411852</v>
      </c>
      <c r="H71">
        <v>83.16</v>
      </c>
      <c r="I71" s="1">
        <v>332.06</v>
      </c>
      <c r="J71" s="16">
        <v>76125.831291721392</v>
      </c>
      <c r="K71" s="5">
        <v>6.1909679010118158E-2</v>
      </c>
      <c r="L71" s="10">
        <v>120256.4857</v>
      </c>
    </row>
    <row r="72" spans="1:12" x14ac:dyDescent="0.25">
      <c r="A72">
        <v>71</v>
      </c>
      <c r="B72" s="3">
        <v>0.24182982889784563</v>
      </c>
      <c r="C72" s="3">
        <v>6.5818544389013828E-2</v>
      </c>
      <c r="D72" s="1">
        <v>85424.63473939753</v>
      </c>
      <c r="E72" s="1">
        <v>3668478</v>
      </c>
      <c r="F72" s="1">
        <v>18400722</v>
      </c>
      <c r="G72" s="16">
        <v>17420.223958229384</v>
      </c>
      <c r="H72">
        <v>137.74</v>
      </c>
      <c r="I72" s="1">
        <v>330.23</v>
      </c>
      <c r="J72" s="16">
        <v>102844.85869762691</v>
      </c>
      <c r="K72" s="5">
        <v>-8.6543942481890276E-2</v>
      </c>
      <c r="L72" s="10">
        <v>-92510.020699999994</v>
      </c>
    </row>
    <row r="73" spans="1:12" x14ac:dyDescent="0.25">
      <c r="A73">
        <v>72</v>
      </c>
      <c r="B73" s="3">
        <v>0.20081062735432653</v>
      </c>
      <c r="C73" s="3">
        <v>5.0477626971125823E-2</v>
      </c>
      <c r="D73" s="1">
        <v>192109.9824188934</v>
      </c>
      <c r="E73" s="1">
        <v>8813611</v>
      </c>
      <c r="F73" s="1">
        <v>39275833</v>
      </c>
      <c r="G73" s="16">
        <v>34007.449485819896</v>
      </c>
      <c r="H73">
        <v>307.39</v>
      </c>
      <c r="I73" s="1">
        <v>1036.02</v>
      </c>
      <c r="J73" s="16">
        <v>226117.4319047133</v>
      </c>
      <c r="K73" s="5">
        <v>7.388693169344876E-2</v>
      </c>
      <c r="L73" s="10">
        <v>265223.77740000002</v>
      </c>
    </row>
    <row r="74" spans="1:12" x14ac:dyDescent="0.25">
      <c r="A74">
        <v>73</v>
      </c>
      <c r="B74" s="3">
        <v>0.12961670171082715</v>
      </c>
      <c r="C74" s="3">
        <v>5.6393346287692908E-2</v>
      </c>
      <c r="D74" s="1">
        <v>302408.23628083983</v>
      </c>
      <c r="E74" s="1">
        <v>9861749</v>
      </c>
      <c r="F74" s="1">
        <v>31448827</v>
      </c>
      <c r="G74" s="16">
        <v>46746.721293471441</v>
      </c>
      <c r="H74">
        <v>186.08</v>
      </c>
      <c r="I74" s="1">
        <v>442.45000000000005</v>
      </c>
      <c r="J74" s="16">
        <v>349154.95757431129</v>
      </c>
      <c r="K74" s="5">
        <v>3.3882302856919247E-2</v>
      </c>
      <c r="L74" s="10">
        <v>140700.54699999999</v>
      </c>
    </row>
    <row r="75" spans="1:12" x14ac:dyDescent="0.25">
      <c r="A75">
        <v>74</v>
      </c>
      <c r="B75" s="3">
        <v>0.22256629499317138</v>
      </c>
      <c r="C75" s="3">
        <v>6.1765124609173605E-2</v>
      </c>
      <c r="D75" s="1">
        <v>149415.88621417148</v>
      </c>
      <c r="E75" s="1">
        <v>7655023</v>
      </c>
      <c r="F75" s="1">
        <v>25909043</v>
      </c>
      <c r="G75" s="16">
        <v>27870.197428161173</v>
      </c>
      <c r="H75">
        <v>243.95</v>
      </c>
      <c r="I75" s="1">
        <v>675.46</v>
      </c>
      <c r="J75" s="16">
        <v>177286.08364233264</v>
      </c>
      <c r="K75" s="5">
        <v>0.10737379086994039</v>
      </c>
      <c r="L75" s="10">
        <v>221949.9921</v>
      </c>
    </row>
    <row r="76" spans="1:12" x14ac:dyDescent="0.25">
      <c r="A76">
        <v>75</v>
      </c>
      <c r="B76" s="3">
        <v>0.10914400141031895</v>
      </c>
      <c r="C76" s="3">
        <v>2.1698822944459784E-2</v>
      </c>
      <c r="D76" s="1">
        <v>139287.36041691614</v>
      </c>
      <c r="E76" s="1">
        <v>3687157</v>
      </c>
      <c r="F76" s="1">
        <v>19555442</v>
      </c>
      <c r="G76" s="16">
        <v>33431.645651043415</v>
      </c>
      <c r="H76">
        <v>113.04</v>
      </c>
      <c r="I76" s="1">
        <v>387.91</v>
      </c>
      <c r="J76" s="16">
        <v>172719.00606795956</v>
      </c>
      <c r="K76" s="5">
        <v>2.9104423657191188E-2</v>
      </c>
      <c r="L76" s="10">
        <v>236523.93359999999</v>
      </c>
    </row>
    <row r="77" spans="1:12" x14ac:dyDescent="0.25">
      <c r="A77">
        <v>76</v>
      </c>
      <c r="B77" s="3">
        <v>0.20760474691936304</v>
      </c>
      <c r="C77" s="3">
        <v>2.9349812667208271E-2</v>
      </c>
      <c r="D77" s="1">
        <v>113651.67683258404</v>
      </c>
      <c r="E77" s="1">
        <v>5395249</v>
      </c>
      <c r="F77" s="1">
        <v>28765500</v>
      </c>
      <c r="G77" s="16">
        <v>28727.249039962142</v>
      </c>
      <c r="H77">
        <v>220.05</v>
      </c>
      <c r="I77" s="1">
        <v>554.42000000000007</v>
      </c>
      <c r="J77" s="16">
        <v>142378.92587254618</v>
      </c>
      <c r="K77" s="5">
        <v>8.6030175175294751E-2</v>
      </c>
      <c r="L77" s="10">
        <v>362341.4608</v>
      </c>
    </row>
    <row r="78" spans="1:12" x14ac:dyDescent="0.25">
      <c r="A78">
        <v>77</v>
      </c>
      <c r="B78" s="3">
        <v>0.18430893634333168</v>
      </c>
      <c r="C78" s="3">
        <v>5.2166301877864973E-2</v>
      </c>
      <c r="D78" s="1">
        <v>256152.65899760541</v>
      </c>
      <c r="E78" s="1">
        <v>10829265</v>
      </c>
      <c r="F78" s="1">
        <v>38389595</v>
      </c>
      <c r="G78" s="16">
        <v>17881.076089092679</v>
      </c>
      <c r="H78">
        <v>91.06</v>
      </c>
      <c r="I78" s="1">
        <v>342.22</v>
      </c>
      <c r="J78" s="16">
        <v>274033.73508669809</v>
      </c>
      <c r="K78" s="5">
        <v>5.4286707648065639E-2</v>
      </c>
      <c r="L78" s="10">
        <v>202122.40839999999</v>
      </c>
    </row>
    <row r="79" spans="1:12" x14ac:dyDescent="0.25">
      <c r="A79">
        <v>78</v>
      </c>
      <c r="B79" s="3">
        <v>0.115167231463481</v>
      </c>
      <c r="C79" s="3">
        <v>5.6793787099191098E-2</v>
      </c>
      <c r="D79" s="1">
        <v>208817.18178234244</v>
      </c>
      <c r="E79" s="1">
        <v>6375655</v>
      </c>
      <c r="F79" s="1">
        <v>30950138</v>
      </c>
      <c r="G79" s="16">
        <v>33808.792507972059</v>
      </c>
      <c r="H79">
        <v>105.88</v>
      </c>
      <c r="I79" s="1">
        <v>334.83</v>
      </c>
      <c r="J79" s="16">
        <v>242625.97429031448</v>
      </c>
      <c r="K79" s="5">
        <v>8.5239223756124999E-2</v>
      </c>
      <c r="L79" s="10">
        <v>272331.55369999999</v>
      </c>
    </row>
    <row r="80" spans="1:12" x14ac:dyDescent="0.25">
      <c r="A80">
        <v>79</v>
      </c>
      <c r="B80" s="3">
        <v>0.18153996253982813</v>
      </c>
      <c r="C80" s="3">
        <v>6.6307795522503377E-2</v>
      </c>
      <c r="D80" s="1">
        <v>155603.3970242971</v>
      </c>
      <c r="E80" s="1">
        <v>6489813</v>
      </c>
      <c r="F80" s="1">
        <v>25353021</v>
      </c>
      <c r="G80" s="16">
        <v>13116.813694684122</v>
      </c>
      <c r="H80">
        <v>53.76</v>
      </c>
      <c r="I80" s="1">
        <v>153.16999999999999</v>
      </c>
      <c r="J80" s="16">
        <v>168720.21071898122</v>
      </c>
      <c r="K80" s="5">
        <v>5.3702342003330988E-2</v>
      </c>
      <c r="L80" s="10">
        <v>112368.5778</v>
      </c>
    </row>
    <row r="81" spans="1:12" x14ac:dyDescent="0.25">
      <c r="A81">
        <v>80</v>
      </c>
      <c r="B81" s="3">
        <v>0.19377412560965715</v>
      </c>
      <c r="C81" s="3">
        <v>6.0633599973042435E-2</v>
      </c>
      <c r="D81" s="1">
        <v>59439.451356812278</v>
      </c>
      <c r="E81" s="1">
        <v>2122793</v>
      </c>
      <c r="F81" s="1">
        <v>11500469</v>
      </c>
      <c r="G81" s="16">
        <v>31193.935347733302</v>
      </c>
      <c r="H81">
        <v>211.77</v>
      </c>
      <c r="I81" s="1">
        <v>569.45000000000005</v>
      </c>
      <c r="J81" s="16">
        <v>90633.386704545585</v>
      </c>
      <c r="K81" s="5">
        <v>0.13303160417257054</v>
      </c>
      <c r="L81" s="10">
        <v>145214.79860000001</v>
      </c>
    </row>
    <row r="82" spans="1:12" x14ac:dyDescent="0.25">
      <c r="A82">
        <v>81</v>
      </c>
      <c r="B82" s="3">
        <v>0.1584345364178287</v>
      </c>
      <c r="C82" s="3">
        <v>7.275806742158103E-2</v>
      </c>
      <c r="D82" s="1">
        <v>141887.78254089283</v>
      </c>
      <c r="E82" s="1">
        <v>5294153</v>
      </c>
      <c r="F82" s="1">
        <v>25009684</v>
      </c>
      <c r="G82" s="16">
        <v>21157.828525792505</v>
      </c>
      <c r="H82">
        <v>89.76</v>
      </c>
      <c r="I82" s="1">
        <v>286.36</v>
      </c>
      <c r="J82" s="16">
        <v>163045.61106668535</v>
      </c>
      <c r="K82" s="5">
        <v>5.5507383246721866E-2</v>
      </c>
      <c r="L82" s="10">
        <v>93113.914399999994</v>
      </c>
    </row>
    <row r="83" spans="1:12" x14ac:dyDescent="0.25">
      <c r="A83">
        <v>82</v>
      </c>
      <c r="B83" s="3">
        <v>0.12995242137573843</v>
      </c>
      <c r="C83" s="3">
        <v>4.1589266053226034E-2</v>
      </c>
      <c r="D83" s="1">
        <v>224202.30271727589</v>
      </c>
      <c r="E83" s="1">
        <v>7322698</v>
      </c>
      <c r="F83" s="1">
        <v>36423680</v>
      </c>
      <c r="G83" s="16">
        <v>54789.727434602806</v>
      </c>
      <c r="H83">
        <v>218.06</v>
      </c>
      <c r="I83" s="1">
        <v>665.04</v>
      </c>
      <c r="J83" s="16">
        <v>278992.03015187872</v>
      </c>
      <c r="K83" s="5">
        <v>-4.3877097768353496E-2</v>
      </c>
      <c r="L83" s="10">
        <v>-186641.44930000001</v>
      </c>
    </row>
    <row r="84" spans="1:12" x14ac:dyDescent="0.25">
      <c r="A84">
        <v>83</v>
      </c>
      <c r="B84" s="3">
        <v>0.21089388388189889</v>
      </c>
      <c r="C84" s="3">
        <v>3.9204768242384065E-2</v>
      </c>
      <c r="D84" s="1">
        <v>125763.64729605711</v>
      </c>
      <c r="E84" s="1">
        <v>4790180</v>
      </c>
      <c r="F84" s="1">
        <v>19790121</v>
      </c>
      <c r="G84" s="16">
        <v>16915.264561735912</v>
      </c>
      <c r="H84">
        <v>105.46</v>
      </c>
      <c r="I84" s="1">
        <v>333.42999999999995</v>
      </c>
      <c r="J84" s="16">
        <v>142678.91185779302</v>
      </c>
      <c r="K84" s="5">
        <v>0.2576799227374843</v>
      </c>
      <c r="L84" s="10">
        <v>740464.41839999997</v>
      </c>
    </row>
    <row r="85" spans="1:12" x14ac:dyDescent="0.25">
      <c r="A85">
        <v>84</v>
      </c>
      <c r="B85" s="3">
        <v>0.23887290657209126</v>
      </c>
      <c r="C85" s="3">
        <v>7.1652372520420629E-2</v>
      </c>
      <c r="D85" s="1">
        <v>164757.62768205348</v>
      </c>
      <c r="E85" s="1">
        <v>15860079</v>
      </c>
      <c r="F85" s="1">
        <v>88977072</v>
      </c>
      <c r="G85" s="16">
        <v>11615.350442578618</v>
      </c>
      <c r="H85">
        <v>89.85</v>
      </c>
      <c r="I85" s="1">
        <v>286.66999999999996</v>
      </c>
      <c r="J85" s="16">
        <v>176372.97812463209</v>
      </c>
      <c r="K85" s="5">
        <v>-8.9441608905202433E-2</v>
      </c>
      <c r="L85" s="10">
        <v>-126478.315</v>
      </c>
    </row>
    <row r="86" spans="1:12" x14ac:dyDescent="0.25">
      <c r="A86">
        <v>85</v>
      </c>
      <c r="B86" s="3">
        <v>0.14305398116721763</v>
      </c>
      <c r="C86" s="3">
        <v>4.9506180301202546E-2</v>
      </c>
      <c r="D86" s="1">
        <v>268922.31112084491</v>
      </c>
      <c r="E86" s="1">
        <v>9332880</v>
      </c>
      <c r="F86" s="1">
        <v>39417266</v>
      </c>
      <c r="G86" s="16">
        <v>18979.84540439679</v>
      </c>
      <c r="H86">
        <v>72.150000000000006</v>
      </c>
      <c r="I86" s="1">
        <v>220.04999999999998</v>
      </c>
      <c r="J86" s="16">
        <v>287902.15652524168</v>
      </c>
      <c r="K86" s="5">
        <v>0.14165119589099373</v>
      </c>
      <c r="L86" s="10">
        <v>661189.23750000005</v>
      </c>
    </row>
    <row r="87" spans="1:12" x14ac:dyDescent="0.25">
      <c r="A87">
        <v>86</v>
      </c>
      <c r="B87" s="3">
        <v>0.16466273245504126</v>
      </c>
      <c r="C87" s="3">
        <v>3.6946972591709717E-2</v>
      </c>
      <c r="D87" s="1">
        <v>306167.82086144196</v>
      </c>
      <c r="E87" s="1">
        <v>11768329</v>
      </c>
      <c r="F87" s="1">
        <v>42766226</v>
      </c>
      <c r="G87" s="16">
        <v>58545.434477070608</v>
      </c>
      <c r="H87">
        <v>310.43</v>
      </c>
      <c r="I87" s="1">
        <v>715.02</v>
      </c>
      <c r="J87" s="16">
        <v>364713.25533851259</v>
      </c>
      <c r="K87" s="5">
        <v>6.8472435544868579E-2</v>
      </c>
      <c r="L87" s="10">
        <v>526506.29139999999</v>
      </c>
    </row>
    <row r="88" spans="1:12" x14ac:dyDescent="0.25">
      <c r="A88">
        <v>87</v>
      </c>
      <c r="B88" s="3">
        <v>0.20199170885521139</v>
      </c>
      <c r="C88" s="3">
        <v>3.774985153260417E-2</v>
      </c>
      <c r="D88" s="1">
        <v>330489.31258888805</v>
      </c>
      <c r="E88" s="1">
        <v>19112774</v>
      </c>
      <c r="F88" s="1">
        <v>56253534</v>
      </c>
      <c r="G88" s="16">
        <v>11978.130760117458</v>
      </c>
      <c r="H88">
        <v>55.69</v>
      </c>
      <c r="I88" s="1">
        <v>183.36</v>
      </c>
      <c r="J88" s="16">
        <v>342467.44334900548</v>
      </c>
      <c r="K88" s="5">
        <v>0.1561623449696542</v>
      </c>
      <c r="L88" s="10">
        <v>1122803.1941</v>
      </c>
    </row>
    <row r="89" spans="1:12" x14ac:dyDescent="0.25">
      <c r="A89">
        <v>88</v>
      </c>
      <c r="B89" s="3">
        <v>0.24990698168514419</v>
      </c>
      <c r="C89" s="3">
        <v>4.6928403973618985E-2</v>
      </c>
      <c r="D89" s="1">
        <v>142434.26952890083</v>
      </c>
      <c r="E89" s="1">
        <v>11226431</v>
      </c>
      <c r="F89" s="1">
        <v>51787020</v>
      </c>
      <c r="G89" s="16">
        <v>24615.763151333162</v>
      </c>
      <c r="H89">
        <v>277.16000000000003</v>
      </c>
      <c r="I89" s="1">
        <v>708.98</v>
      </c>
      <c r="J89" s="16">
        <v>167050.032680234</v>
      </c>
      <c r="K89" s="5">
        <v>5.1510191237861762E-2</v>
      </c>
      <c r="L89" s="10">
        <v>198845.63449999999</v>
      </c>
    </row>
    <row r="90" spans="1:12" x14ac:dyDescent="0.25">
      <c r="A90">
        <v>89</v>
      </c>
      <c r="B90" s="3">
        <v>0.11667796918796358</v>
      </c>
      <c r="C90" s="3">
        <v>6.0817359207667648E-2</v>
      </c>
      <c r="D90" s="1">
        <v>87470.311743371247</v>
      </c>
      <c r="E90" s="1">
        <v>2375233</v>
      </c>
      <c r="F90" s="1">
        <v>12486199</v>
      </c>
      <c r="G90" s="16">
        <v>46395.056999987071</v>
      </c>
      <c r="H90">
        <v>166.46</v>
      </c>
      <c r="I90" s="1">
        <v>580.9</v>
      </c>
      <c r="J90" s="16">
        <v>133865.36874335833</v>
      </c>
      <c r="K90" s="5">
        <v>0.21199201504153642</v>
      </c>
      <c r="L90" s="10">
        <v>345001.77020000003</v>
      </c>
    </row>
    <row r="91" spans="1:12" x14ac:dyDescent="0.25">
      <c r="A91">
        <v>90</v>
      </c>
      <c r="B91" s="3">
        <v>0.16795963211072623</v>
      </c>
      <c r="C91" s="3">
        <v>6.3702475226509986E-2</v>
      </c>
      <c r="D91" s="1">
        <v>126482.63632738043</v>
      </c>
      <c r="E91" s="1">
        <v>4109619</v>
      </c>
      <c r="F91" s="1">
        <v>21221335</v>
      </c>
      <c r="G91" s="16">
        <v>36579.411935317607</v>
      </c>
      <c r="H91">
        <v>239.61</v>
      </c>
      <c r="I91" s="1">
        <v>948.33</v>
      </c>
      <c r="J91" s="16">
        <v>163062.04826269805</v>
      </c>
      <c r="K91" s="5">
        <v>5.2078835380226077E-2</v>
      </c>
      <c r="L91" s="10">
        <v>104213.86470000001</v>
      </c>
    </row>
    <row r="92" spans="1:12" x14ac:dyDescent="0.25">
      <c r="A92">
        <v>91</v>
      </c>
      <c r="B92" s="3">
        <v>0.18555637077241552</v>
      </c>
      <c r="C92" s="3">
        <v>7.5804562616362939E-2</v>
      </c>
      <c r="D92" s="1">
        <v>146253.84551139432</v>
      </c>
      <c r="E92" s="1">
        <v>7638449</v>
      </c>
      <c r="F92" s="1">
        <v>49709032</v>
      </c>
      <c r="G92" s="16">
        <v>18333.324139119835</v>
      </c>
      <c r="H92">
        <v>116.24</v>
      </c>
      <c r="I92" s="1">
        <v>484.42</v>
      </c>
      <c r="J92" s="16">
        <v>164587.16965051414</v>
      </c>
      <c r="K92" s="5">
        <v>-6.1873193065334016E-2</v>
      </c>
      <c r="L92" s="10">
        <v>-26555.113799999999</v>
      </c>
    </row>
    <row r="93" spans="1:12" x14ac:dyDescent="0.25">
      <c r="A93">
        <v>92</v>
      </c>
      <c r="B93" s="3">
        <v>0.20734510023902131</v>
      </c>
      <c r="C93" s="3">
        <v>5.3445704389341514E-2</v>
      </c>
      <c r="D93" s="1">
        <v>107322.86691732187</v>
      </c>
      <c r="E93" s="1">
        <v>5088134</v>
      </c>
      <c r="F93" s="1">
        <v>29772931</v>
      </c>
      <c r="G93" s="16">
        <v>60589.602445820907</v>
      </c>
      <c r="H93">
        <v>585.34</v>
      </c>
      <c r="I93" s="1">
        <v>1435.1599999999999</v>
      </c>
      <c r="J93" s="16">
        <v>167912.46936314277</v>
      </c>
      <c r="K93" s="5">
        <v>2.9613565616111372E-2</v>
      </c>
      <c r="L93" s="10">
        <v>96270.662700000001</v>
      </c>
    </row>
    <row r="94" spans="1:12" x14ac:dyDescent="0.25">
      <c r="A94">
        <v>93</v>
      </c>
      <c r="B94" s="3">
        <v>0.16803686026266468</v>
      </c>
      <c r="C94" s="3">
        <v>4.4985858840317722E-2</v>
      </c>
      <c r="D94" s="1">
        <v>109427.49624304177</v>
      </c>
      <c r="E94" s="1">
        <v>4274769</v>
      </c>
      <c r="F94" s="1">
        <v>24684504</v>
      </c>
      <c r="G94" s="16">
        <v>14491.498865666335</v>
      </c>
      <c r="H94">
        <v>65.84</v>
      </c>
      <c r="I94" s="1">
        <v>280.10000000000002</v>
      </c>
      <c r="J94" s="16">
        <v>123918.9951087081</v>
      </c>
      <c r="K94" s="5">
        <v>-0.11097799343958663</v>
      </c>
      <c r="L94" s="10">
        <v>-228040.9155</v>
      </c>
    </row>
    <row r="95" spans="1:12" x14ac:dyDescent="0.25">
      <c r="A95">
        <v>94</v>
      </c>
      <c r="B95" s="3">
        <v>0.18969096221213222</v>
      </c>
      <c r="C95" s="3">
        <v>6.046077935365031E-2</v>
      </c>
      <c r="D95" s="1">
        <v>116248.65214885058</v>
      </c>
      <c r="E95" s="1">
        <v>4089195</v>
      </c>
      <c r="F95" s="1">
        <v>19580150</v>
      </c>
      <c r="G95" s="16">
        <v>19095.516670223751</v>
      </c>
      <c r="H95">
        <v>125.2</v>
      </c>
      <c r="I95" s="1">
        <v>418.04</v>
      </c>
      <c r="J95" s="16">
        <v>135344.16881907434</v>
      </c>
      <c r="K95" s="5">
        <v>-7.6339644933020694E-3</v>
      </c>
      <c r="L95" s="10">
        <v>-2217.3179</v>
      </c>
    </row>
    <row r="96" spans="1:12" x14ac:dyDescent="0.25">
      <c r="A96">
        <v>95</v>
      </c>
      <c r="B96" s="3">
        <v>0.19722064793211569</v>
      </c>
      <c r="C96" s="3">
        <v>6.4579571739601077E-2</v>
      </c>
      <c r="D96" s="1">
        <v>226391.76884365937</v>
      </c>
      <c r="E96" s="1">
        <v>12708167</v>
      </c>
      <c r="F96" s="1">
        <v>43679985</v>
      </c>
      <c r="G96" s="16">
        <v>22017.012073829803</v>
      </c>
      <c r="H96">
        <v>154.26</v>
      </c>
      <c r="I96" s="1">
        <v>475.51</v>
      </c>
      <c r="J96" s="16">
        <v>248408.78091748917</v>
      </c>
      <c r="K96" s="5">
        <v>3.8633867811398964E-2</v>
      </c>
      <c r="L96" s="10">
        <v>120567.5107</v>
      </c>
    </row>
    <row r="97" spans="1:12" x14ac:dyDescent="0.25">
      <c r="A97">
        <v>96</v>
      </c>
      <c r="B97" s="3">
        <v>0.22948079467653029</v>
      </c>
      <c r="C97" s="3">
        <v>3.5528508802073276E-2</v>
      </c>
      <c r="D97" s="1">
        <v>158563.83728558896</v>
      </c>
      <c r="E97" s="1">
        <v>8419253</v>
      </c>
      <c r="F97" s="1">
        <v>35052039</v>
      </c>
      <c r="G97" s="16">
        <v>23037.812109458184</v>
      </c>
      <c r="H97">
        <v>215.15</v>
      </c>
      <c r="I97" s="1">
        <v>681.33</v>
      </c>
      <c r="J97" s="16">
        <v>181601.64939504713</v>
      </c>
      <c r="K97" s="5">
        <v>-3.8715524079298659E-2</v>
      </c>
      <c r="L97" s="10">
        <v>-126697.8484</v>
      </c>
    </row>
    <row r="98" spans="1:12" x14ac:dyDescent="0.25">
      <c r="A98">
        <v>97</v>
      </c>
      <c r="B98" s="3">
        <v>0.11658130168241383</v>
      </c>
      <c r="C98" s="3">
        <v>2.0258013962812113E-2</v>
      </c>
      <c r="D98" s="1">
        <v>79284.786599463696</v>
      </c>
      <c r="E98" s="1">
        <v>2152251</v>
      </c>
      <c r="F98" s="1">
        <v>11937550</v>
      </c>
      <c r="G98" s="16">
        <v>60771.225229770847</v>
      </c>
      <c r="H98">
        <v>217.84</v>
      </c>
      <c r="I98" s="1">
        <v>581.56000000000006</v>
      </c>
      <c r="J98" s="16">
        <v>140056.01182923454</v>
      </c>
      <c r="K98" s="5">
        <v>8.3710423339474982E-2</v>
      </c>
      <c r="L98" s="10">
        <v>507354.90539999999</v>
      </c>
    </row>
    <row r="99" spans="1:12" x14ac:dyDescent="0.25">
      <c r="A99">
        <v>98</v>
      </c>
      <c r="B99" s="3">
        <v>0.24935377085250945</v>
      </c>
      <c r="C99" s="3">
        <v>5.5614343914311262E-2</v>
      </c>
      <c r="D99" s="1">
        <v>146228.84256631267</v>
      </c>
      <c r="E99" s="1">
        <v>8619755</v>
      </c>
      <c r="F99" s="1">
        <v>41160363</v>
      </c>
      <c r="G99" s="16">
        <v>9310.6295966047419</v>
      </c>
      <c r="H99">
        <v>58.9</v>
      </c>
      <c r="I99" s="1">
        <v>175.66</v>
      </c>
      <c r="J99" s="16">
        <v>155539.4721629174</v>
      </c>
      <c r="K99" s="5">
        <v>-8.742040286115052E-2</v>
      </c>
      <c r="L99" s="10">
        <v>-165827.55859999999</v>
      </c>
    </row>
    <row r="100" spans="1:12" x14ac:dyDescent="0.25">
      <c r="A100">
        <v>99</v>
      </c>
      <c r="B100" s="3">
        <v>0.2059622054284283</v>
      </c>
      <c r="C100" s="3">
        <v>4.2003499057996191E-2</v>
      </c>
      <c r="D100" s="1">
        <v>140672.20141890485</v>
      </c>
      <c r="E100" s="1">
        <v>6622868</v>
      </c>
      <c r="F100" s="1">
        <v>36963501</v>
      </c>
      <c r="G100" s="16">
        <v>15060.829460914521</v>
      </c>
      <c r="H100">
        <v>90.4</v>
      </c>
      <c r="I100" s="1">
        <v>300.77</v>
      </c>
      <c r="J100" s="16">
        <v>155733.03087981936</v>
      </c>
      <c r="K100" s="5">
        <v>7.3319433127137609E-2</v>
      </c>
      <c r="L100" s="10">
        <v>208237.62220000001</v>
      </c>
    </row>
    <row r="101" spans="1:12" x14ac:dyDescent="0.25">
      <c r="A101">
        <v>100</v>
      </c>
      <c r="B101" s="3">
        <v>0.1369770068011894</v>
      </c>
      <c r="C101" s="3">
        <v>3.5342213970105937E-2</v>
      </c>
      <c r="D101" s="1">
        <v>563588.43770109396</v>
      </c>
      <c r="E101" s="1">
        <v>25528811</v>
      </c>
      <c r="F101" s="1">
        <v>101934163</v>
      </c>
      <c r="G101" s="16">
        <v>16260.22582691923</v>
      </c>
      <c r="H101">
        <v>59.22</v>
      </c>
      <c r="I101" s="1">
        <v>264.45000000000005</v>
      </c>
      <c r="J101" s="16">
        <v>579848.66352801316</v>
      </c>
      <c r="K101" s="5">
        <v>0.10574256858885386</v>
      </c>
      <c r="L101" s="10">
        <v>1499575.3548999999</v>
      </c>
    </row>
    <row r="102" spans="1:12" x14ac:dyDescent="0.25">
      <c r="A102">
        <v>101</v>
      </c>
      <c r="B102" s="3">
        <v>0.13885125923666983</v>
      </c>
      <c r="C102" s="3">
        <v>4.9103781608753491E-2</v>
      </c>
      <c r="D102" s="1">
        <v>59663.854260146378</v>
      </c>
      <c r="E102" s="1">
        <v>1748557</v>
      </c>
      <c r="F102" s="1">
        <v>11587626</v>
      </c>
      <c r="G102" s="16">
        <v>34490.503968018471</v>
      </c>
      <c r="H102">
        <v>127.14</v>
      </c>
      <c r="I102" s="1">
        <v>307.08</v>
      </c>
      <c r="J102" s="16">
        <v>94154.358228164841</v>
      </c>
      <c r="K102" s="5">
        <v>0.14230669929425227</v>
      </c>
      <c r="L102" s="10">
        <v>213243.52129999999</v>
      </c>
    </row>
    <row r="103" spans="1:12" x14ac:dyDescent="0.25">
      <c r="A103">
        <v>102</v>
      </c>
      <c r="B103" s="3">
        <v>0.1096149477338384</v>
      </c>
      <c r="C103" s="3">
        <v>2.6298135044253046E-2</v>
      </c>
      <c r="D103" s="1">
        <v>153511.88747293828</v>
      </c>
      <c r="E103" s="1">
        <v>4571237</v>
      </c>
      <c r="F103" s="1">
        <v>30170594</v>
      </c>
      <c r="G103" s="16">
        <v>28608.203222419732</v>
      </c>
      <c r="H103">
        <v>97.07</v>
      </c>
      <c r="I103" s="1">
        <v>419.41999999999996</v>
      </c>
      <c r="J103" s="16">
        <v>182120.090695358</v>
      </c>
      <c r="K103" s="5">
        <v>0.15484067882934288</v>
      </c>
      <c r="L103" s="10">
        <v>954944.45819999999</v>
      </c>
    </row>
    <row r="104" spans="1:12" x14ac:dyDescent="0.25">
      <c r="A104">
        <v>103</v>
      </c>
      <c r="B104" s="3">
        <v>0.16669834937890701</v>
      </c>
      <c r="C104" s="3">
        <v>7.9735205069800391E-2</v>
      </c>
      <c r="D104" s="1">
        <v>30119.495582043306</v>
      </c>
      <c r="E104" s="1">
        <v>974191</v>
      </c>
      <c r="F104" s="1">
        <v>11955492</v>
      </c>
      <c r="G104" s="16">
        <v>30913.563061072542</v>
      </c>
      <c r="H104">
        <v>139.1</v>
      </c>
      <c r="I104" s="1">
        <v>374.98</v>
      </c>
      <c r="J104" s="16">
        <v>61033.058643115844</v>
      </c>
      <c r="K104" s="5">
        <v>0.16955539102520367</v>
      </c>
      <c r="L104" s="10">
        <v>108222.45510000001</v>
      </c>
    </row>
    <row r="105" spans="1:12" x14ac:dyDescent="0.25">
      <c r="A105">
        <v>104</v>
      </c>
      <c r="B105" s="3">
        <v>0.23000463795043685</v>
      </c>
      <c r="C105" s="3">
        <v>4.4216963332196164E-2</v>
      </c>
      <c r="D105" s="1">
        <v>70766.644851250661</v>
      </c>
      <c r="E105" s="1">
        <v>3767721</v>
      </c>
      <c r="F105" s="1">
        <v>27968123</v>
      </c>
      <c r="G105" s="16">
        <v>13554.765004914496</v>
      </c>
      <c r="H105">
        <v>97.97</v>
      </c>
      <c r="I105" s="1">
        <v>284.25</v>
      </c>
      <c r="J105" s="16">
        <v>84321.409856165163</v>
      </c>
      <c r="K105" s="5">
        <v>-3.4023173766336672E-2</v>
      </c>
      <c r="L105" s="10">
        <v>-25004.145100000002</v>
      </c>
    </row>
    <row r="106" spans="1:12" x14ac:dyDescent="0.25">
      <c r="A106">
        <v>105</v>
      </c>
      <c r="B106" s="3">
        <v>0.24559433948710152</v>
      </c>
      <c r="C106" s="3">
        <v>3.0134689483651514E-2</v>
      </c>
      <c r="D106" s="1">
        <v>41050.070269905205</v>
      </c>
      <c r="E106" s="1">
        <v>1789376</v>
      </c>
      <c r="F106" s="1">
        <v>13305821</v>
      </c>
      <c r="G106" s="16">
        <v>15301.33866499607</v>
      </c>
      <c r="H106">
        <v>219.49</v>
      </c>
      <c r="I106" s="1">
        <v>918.32</v>
      </c>
      <c r="J106" s="16">
        <v>56351.408934901279</v>
      </c>
      <c r="K106" s="5">
        <v>5.9671400323751428E-2</v>
      </c>
      <c r="L106" s="10">
        <v>97520.409</v>
      </c>
    </row>
    <row r="107" spans="1:12" x14ac:dyDescent="0.25">
      <c r="A107">
        <v>106</v>
      </c>
      <c r="B107" s="3">
        <v>0.19365113516369459</v>
      </c>
      <c r="C107" s="3">
        <v>2.0493508420228818E-2</v>
      </c>
      <c r="D107" s="1">
        <v>208166.17990907704</v>
      </c>
      <c r="E107" s="1">
        <v>9215543</v>
      </c>
      <c r="F107" s="1">
        <v>33798945</v>
      </c>
      <c r="G107" s="16">
        <v>23647.430291057302</v>
      </c>
      <c r="H107">
        <v>160.32</v>
      </c>
      <c r="I107" s="1">
        <v>474.90999999999997</v>
      </c>
      <c r="J107" s="16">
        <v>231813.61020013434</v>
      </c>
      <c r="K107" s="5">
        <v>0.10603786758546306</v>
      </c>
      <c r="L107" s="10">
        <v>1098196.8245999999</v>
      </c>
    </row>
    <row r="108" spans="1:12" x14ac:dyDescent="0.25">
      <c r="A108">
        <v>107</v>
      </c>
      <c r="B108" s="3">
        <v>0.10937623435373069</v>
      </c>
      <c r="C108" s="3">
        <v>3.4923106822310174E-2</v>
      </c>
      <c r="D108" s="1">
        <v>292529.46216066036</v>
      </c>
      <c r="E108" s="1">
        <v>8701531</v>
      </c>
      <c r="F108" s="1">
        <v>35481308</v>
      </c>
      <c r="G108" s="16">
        <v>42225.439526085895</v>
      </c>
      <c r="H108">
        <v>143.03</v>
      </c>
      <c r="I108" s="1">
        <v>424.83000000000004</v>
      </c>
      <c r="J108" s="16">
        <v>334754.90168674628</v>
      </c>
      <c r="K108" s="5">
        <v>0.14522870729259976</v>
      </c>
      <c r="L108" s="10">
        <v>1128256.8156000001</v>
      </c>
    </row>
    <row r="109" spans="1:12" x14ac:dyDescent="0.25">
      <c r="A109">
        <v>108</v>
      </c>
      <c r="B109" s="3">
        <v>0.18478118798230819</v>
      </c>
      <c r="C109" s="3">
        <v>2.0276588396837155E-2</v>
      </c>
      <c r="D109" s="1">
        <v>110978.23545305831</v>
      </c>
      <c r="E109" s="1">
        <v>4702660</v>
      </c>
      <c r="F109" s="1">
        <v>32531813</v>
      </c>
      <c r="G109" s="16">
        <v>20872.224070436081</v>
      </c>
      <c r="H109">
        <v>131.1</v>
      </c>
      <c r="I109" s="1">
        <v>471.16999999999996</v>
      </c>
      <c r="J109" s="16">
        <v>131850.45952349438</v>
      </c>
      <c r="K109" s="5">
        <v>9.3568008444369993E-2</v>
      </c>
      <c r="L109" s="10">
        <v>583077.36529999995</v>
      </c>
    </row>
    <row r="110" spans="1:12" x14ac:dyDescent="0.25">
      <c r="A110">
        <v>109</v>
      </c>
      <c r="B110" s="3">
        <v>0.18847279298118599</v>
      </c>
      <c r="C110" s="3">
        <v>6.5336378660041827E-2</v>
      </c>
      <c r="D110" s="1">
        <v>67852.76698327504</v>
      </c>
      <c r="E110" s="1">
        <v>2376079</v>
      </c>
      <c r="F110" s="1">
        <v>12469391</v>
      </c>
      <c r="G110" s="16">
        <v>18985.348052369925</v>
      </c>
      <c r="H110">
        <v>123.2</v>
      </c>
      <c r="I110" s="1">
        <v>386.48999999999995</v>
      </c>
      <c r="J110" s="16">
        <v>86838.115035644965</v>
      </c>
      <c r="K110" s="5">
        <v>0.23315024655425315</v>
      </c>
      <c r="L110" s="10">
        <v>207948.429</v>
      </c>
    </row>
    <row r="111" spans="1:12" x14ac:dyDescent="0.25">
      <c r="A111">
        <v>110</v>
      </c>
      <c r="B111" s="3">
        <v>0.22973852855803567</v>
      </c>
      <c r="C111" s="3">
        <v>6.9898985654245224E-2</v>
      </c>
      <c r="D111" s="1">
        <v>96646.793803812368</v>
      </c>
      <c r="E111" s="1">
        <v>3958001</v>
      </c>
      <c r="F111" s="1">
        <v>16607082</v>
      </c>
      <c r="G111" s="16">
        <v>15825.839622196851</v>
      </c>
      <c r="H111">
        <v>148</v>
      </c>
      <c r="I111" s="1">
        <v>412.90000000000003</v>
      </c>
      <c r="J111" s="16">
        <v>112472.63342600921</v>
      </c>
      <c r="K111" s="5">
        <v>0.17371270094883656</v>
      </c>
      <c r="L111" s="10">
        <v>190241.54060000001</v>
      </c>
    </row>
    <row r="112" spans="1:12" x14ac:dyDescent="0.25">
      <c r="A112">
        <v>111</v>
      </c>
      <c r="B112" s="3">
        <v>0.24319707513209363</v>
      </c>
      <c r="C112" s="3">
        <v>6.5135594532941474E-2</v>
      </c>
      <c r="D112" s="1">
        <v>123888.13907957755</v>
      </c>
      <c r="E112" s="1">
        <v>7068080</v>
      </c>
      <c r="F112" s="1">
        <v>38233892</v>
      </c>
      <c r="G112" s="16">
        <v>12071.14517609685</v>
      </c>
      <c r="H112">
        <v>127.84</v>
      </c>
      <c r="I112" s="1">
        <v>562.36</v>
      </c>
      <c r="J112" s="16">
        <v>135959.2842556744</v>
      </c>
      <c r="K112" s="5">
        <v>0.14374379410093416</v>
      </c>
      <c r="L112" s="10">
        <v>264261.0269</v>
      </c>
    </row>
    <row r="113" spans="1:12" x14ac:dyDescent="0.25">
      <c r="A113">
        <v>112</v>
      </c>
      <c r="B113" s="3">
        <v>0.10095183384106154</v>
      </c>
      <c r="C113" s="3">
        <v>2.8528595818468602E-2</v>
      </c>
      <c r="D113" s="1">
        <v>113147.67222923719</v>
      </c>
      <c r="E113" s="1">
        <v>2914071</v>
      </c>
      <c r="F113" s="1">
        <v>18708779</v>
      </c>
      <c r="G113" s="16">
        <v>22577.817592489086</v>
      </c>
      <c r="H113">
        <v>57.83</v>
      </c>
      <c r="I113" s="1">
        <v>170.49</v>
      </c>
      <c r="J113" s="16">
        <v>135725.48982172628</v>
      </c>
      <c r="K113" s="5">
        <v>8.9941647660698204E-2</v>
      </c>
      <c r="L113" s="10">
        <v>364944.02779999998</v>
      </c>
    </row>
    <row r="114" spans="1:12" x14ac:dyDescent="0.25">
      <c r="A114">
        <v>113</v>
      </c>
      <c r="B114" s="3">
        <v>0.1390665177999092</v>
      </c>
      <c r="C114" s="3">
        <v>7.2954520592468666E-2</v>
      </c>
      <c r="D114" s="1">
        <v>91334.937144548501</v>
      </c>
      <c r="E114" s="1">
        <v>3111439</v>
      </c>
      <c r="F114" s="1">
        <v>22080544</v>
      </c>
      <c r="G114" s="16">
        <v>38159.382158201232</v>
      </c>
      <c r="H114">
        <v>163.9</v>
      </c>
      <c r="I114" s="1">
        <v>406.9</v>
      </c>
      <c r="J114" s="16">
        <v>129494.31930274973</v>
      </c>
      <c r="K114" s="5">
        <v>9.5250312735907561E-2</v>
      </c>
      <c r="L114" s="10">
        <v>128905.9492</v>
      </c>
    </row>
    <row r="115" spans="1:12" x14ac:dyDescent="0.25">
      <c r="A115">
        <v>114</v>
      </c>
      <c r="B115" s="3">
        <v>0.11984871661887031</v>
      </c>
      <c r="C115" s="3">
        <v>2.5703030193150851E-2</v>
      </c>
      <c r="D115" s="1">
        <v>418159.04048105271</v>
      </c>
      <c r="E115" s="1">
        <v>14816904</v>
      </c>
      <c r="F115" s="1">
        <v>54928447</v>
      </c>
      <c r="G115" s="16">
        <v>49569.59671807124</v>
      </c>
      <c r="H115">
        <v>182.33</v>
      </c>
      <c r="I115" s="1">
        <v>467.68000000000006</v>
      </c>
      <c r="J115" s="16">
        <v>467728.63719912397</v>
      </c>
      <c r="K115" s="5">
        <v>0.11428619230858884</v>
      </c>
      <c r="L115" s="10">
        <v>1879412.5904000001</v>
      </c>
    </row>
    <row r="116" spans="1:12" x14ac:dyDescent="0.25">
      <c r="A116">
        <v>115</v>
      </c>
      <c r="B116" s="3">
        <v>0.21038073745420471</v>
      </c>
      <c r="C116" s="3">
        <v>3.8365887260745232E-2</v>
      </c>
      <c r="D116" s="1">
        <v>243404.21773261647</v>
      </c>
      <c r="E116" s="1">
        <v>14840273</v>
      </c>
      <c r="F116" s="1">
        <v>67948731</v>
      </c>
      <c r="G116" s="16">
        <v>26183.934539637561</v>
      </c>
      <c r="H116">
        <v>260.83999999999997</v>
      </c>
      <c r="I116" s="1">
        <v>951.3599999999999</v>
      </c>
      <c r="J116" s="16">
        <v>269588.15227225405</v>
      </c>
      <c r="K116" s="5">
        <v>0.12441568097001141</v>
      </c>
      <c r="L116" s="10">
        <v>752637.31019999995</v>
      </c>
    </row>
    <row r="117" spans="1:12" x14ac:dyDescent="0.25">
      <c r="A117">
        <v>116</v>
      </c>
      <c r="B117" s="3">
        <v>0.15185065015029151</v>
      </c>
      <c r="C117" s="3">
        <v>4.404933247421379E-2</v>
      </c>
      <c r="D117" s="1">
        <v>151699.16669823733</v>
      </c>
      <c r="E117" s="1">
        <v>4653382</v>
      </c>
      <c r="F117" s="1">
        <v>19348679</v>
      </c>
      <c r="G117" s="16">
        <v>23069.508278172245</v>
      </c>
      <c r="H117">
        <v>93.27</v>
      </c>
      <c r="I117" s="1">
        <v>230.42000000000002</v>
      </c>
      <c r="J117" s="16">
        <v>174768.67497640959</v>
      </c>
      <c r="K117" s="5">
        <v>6.1747701634814467E-3</v>
      </c>
      <c r="L117" s="10">
        <v>9560.0589</v>
      </c>
    </row>
    <row r="118" spans="1:12" x14ac:dyDescent="0.25">
      <c r="A118">
        <v>117</v>
      </c>
      <c r="B118" s="3">
        <v>0.11168960586806896</v>
      </c>
      <c r="C118" s="3">
        <v>6.4145087274037171E-2</v>
      </c>
      <c r="D118" s="1">
        <v>151362.93625662863</v>
      </c>
      <c r="E118" s="1">
        <v>4549498</v>
      </c>
      <c r="F118" s="1">
        <v>24026524</v>
      </c>
      <c r="G118" s="16">
        <v>24969.688109910072</v>
      </c>
      <c r="H118">
        <v>76.38</v>
      </c>
      <c r="I118" s="1">
        <v>246.48</v>
      </c>
      <c r="J118" s="16">
        <v>176332.62436653872</v>
      </c>
      <c r="K118" s="5">
        <v>1.9801647955535417E-2</v>
      </c>
      <c r="L118" s="10">
        <v>64923.952100000002</v>
      </c>
    </row>
    <row r="119" spans="1:12" x14ac:dyDescent="0.25">
      <c r="A119">
        <v>118</v>
      </c>
      <c r="B119" s="3">
        <v>0.14599508520959509</v>
      </c>
      <c r="C119" s="3">
        <v>5.3468901525774562E-2</v>
      </c>
      <c r="D119" s="1">
        <v>206959.04739702496</v>
      </c>
      <c r="E119" s="1">
        <v>8526786</v>
      </c>
      <c r="F119" s="1">
        <v>43039179</v>
      </c>
      <c r="G119" s="16">
        <v>28272.636171496943</v>
      </c>
      <c r="H119">
        <v>128.27000000000001</v>
      </c>
      <c r="I119" s="1">
        <v>426.9</v>
      </c>
      <c r="J119" s="16">
        <v>235231.6835685219</v>
      </c>
      <c r="K119" s="5">
        <v>0.12416547814804474</v>
      </c>
      <c r="L119" s="10">
        <v>425130.70890000003</v>
      </c>
    </row>
    <row r="120" spans="1:12" x14ac:dyDescent="0.25">
      <c r="A120">
        <v>119</v>
      </c>
      <c r="B120" s="3">
        <v>0.20629448871338241</v>
      </c>
      <c r="C120" s="3">
        <v>3.0693094289384236E-2</v>
      </c>
      <c r="D120" s="1">
        <v>97558.606432048167</v>
      </c>
      <c r="E120" s="1">
        <v>4600773</v>
      </c>
      <c r="F120" s="1">
        <v>26745497</v>
      </c>
      <c r="G120" s="16">
        <v>18487.328531682546</v>
      </c>
      <c r="H120">
        <v>140.19</v>
      </c>
      <c r="I120" s="1">
        <v>561.78</v>
      </c>
      <c r="J120" s="16">
        <v>116045.93496373072</v>
      </c>
      <c r="K120" s="5">
        <v>3.6532310182441283E-2</v>
      </c>
      <c r="L120" s="10">
        <v>135921.84729999999</v>
      </c>
    </row>
    <row r="121" spans="1:12" x14ac:dyDescent="0.25">
      <c r="A121">
        <v>120</v>
      </c>
      <c r="B121" s="3">
        <v>0.18396479687515566</v>
      </c>
      <c r="C121" s="3">
        <v>7.5443437245736017E-2</v>
      </c>
      <c r="D121" s="1">
        <v>89909.531246991304</v>
      </c>
      <c r="E121" s="1">
        <v>3096577</v>
      </c>
      <c r="F121" s="1">
        <v>20780190</v>
      </c>
      <c r="G121" s="16">
        <v>42752.546581723313</v>
      </c>
      <c r="H121">
        <v>266.68</v>
      </c>
      <c r="I121" s="1">
        <v>688.64</v>
      </c>
      <c r="J121" s="16">
        <v>132662.07782871462</v>
      </c>
      <c r="K121" s="5">
        <v>0.31912779132197966</v>
      </c>
      <c r="L121" s="10">
        <v>372420.20370000001</v>
      </c>
    </row>
    <row r="122" spans="1:12" x14ac:dyDescent="0.25">
      <c r="A122">
        <v>121</v>
      </c>
      <c r="B122" s="3">
        <v>0.24871159782170707</v>
      </c>
      <c r="C122" s="3">
        <v>5.6881400082851932E-2</v>
      </c>
      <c r="D122" s="1">
        <v>55422.007671625281</v>
      </c>
      <c r="E122" s="1">
        <v>2446048</v>
      </c>
      <c r="F122" s="1">
        <v>20250194</v>
      </c>
      <c r="G122" s="16">
        <v>8126.7337503223289</v>
      </c>
      <c r="H122">
        <v>67.94</v>
      </c>
      <c r="I122" s="1">
        <v>198.99</v>
      </c>
      <c r="J122" s="16">
        <v>63548.741421947612</v>
      </c>
      <c r="K122" s="5">
        <v>6.1541568625096799E-2</v>
      </c>
      <c r="L122" s="10">
        <v>66777.304799999998</v>
      </c>
    </row>
    <row r="123" spans="1:12" x14ac:dyDescent="0.25">
      <c r="A123">
        <v>122</v>
      </c>
      <c r="B123" s="3">
        <v>0.24873801528345743</v>
      </c>
      <c r="C123" s="3">
        <v>3.914660775889095E-2</v>
      </c>
      <c r="D123" s="1">
        <v>160258.96167239672</v>
      </c>
      <c r="E123" s="1">
        <v>9415855</v>
      </c>
      <c r="F123" s="1">
        <v>35203730</v>
      </c>
      <c r="G123" s="16">
        <v>14675.26353673029</v>
      </c>
      <c r="H123">
        <v>163.21</v>
      </c>
      <c r="I123" s="1">
        <v>506.64</v>
      </c>
      <c r="J123" s="16">
        <v>174934.22520912701</v>
      </c>
      <c r="K123" s="5">
        <v>0.20741857139358186</v>
      </c>
      <c r="L123" s="10">
        <v>753425.34290000005</v>
      </c>
    </row>
    <row r="124" spans="1:12" x14ac:dyDescent="0.25">
      <c r="A124">
        <v>123</v>
      </c>
      <c r="B124" s="3">
        <v>0.10820525110065667</v>
      </c>
      <c r="C124" s="3">
        <v>4.7260532347054247E-2</v>
      </c>
      <c r="D124" s="1">
        <v>68343.622595244393</v>
      </c>
      <c r="E124" s="1">
        <v>1608314</v>
      </c>
      <c r="F124" s="1">
        <v>10601135</v>
      </c>
      <c r="G124" s="16">
        <v>34282.189371401953</v>
      </c>
      <c r="H124">
        <v>102.42</v>
      </c>
      <c r="I124" s="1">
        <v>338.61</v>
      </c>
      <c r="J124" s="16">
        <v>102625.81196664635</v>
      </c>
      <c r="K124" s="5">
        <v>0.23212804454071412</v>
      </c>
      <c r="L124" s="10">
        <v>391064.90350000001</v>
      </c>
    </row>
    <row r="125" spans="1:12" x14ac:dyDescent="0.25">
      <c r="A125">
        <v>124</v>
      </c>
      <c r="B125" s="3">
        <v>0.11508789535526744</v>
      </c>
      <c r="C125" s="3">
        <v>3.4033035067654219E-2</v>
      </c>
      <c r="D125" s="1">
        <v>70998.476562226089</v>
      </c>
      <c r="E125" s="1">
        <v>1696883</v>
      </c>
      <c r="F125" s="1">
        <v>9545272</v>
      </c>
      <c r="G125" s="16">
        <v>61014.237905668015</v>
      </c>
      <c r="H125">
        <v>216.07</v>
      </c>
      <c r="I125" s="1">
        <v>649.55999999999995</v>
      </c>
      <c r="J125" s="16">
        <v>132012.71446789411</v>
      </c>
      <c r="K125" s="5">
        <v>0.34489831685867417</v>
      </c>
      <c r="L125" s="10">
        <v>1074268.9103000001</v>
      </c>
    </row>
    <row r="126" spans="1:12" x14ac:dyDescent="0.25">
      <c r="A126">
        <v>125</v>
      </c>
      <c r="B126" s="3">
        <v>0.16046296214544195</v>
      </c>
      <c r="C126" s="3">
        <v>6.9812364427776122E-2</v>
      </c>
      <c r="D126" s="1">
        <v>371036.04340619541</v>
      </c>
      <c r="E126" s="1">
        <v>13978454</v>
      </c>
      <c r="F126" s="1">
        <v>38947486</v>
      </c>
      <c r="G126" s="16">
        <v>21880.212624083262</v>
      </c>
      <c r="H126">
        <v>93.94</v>
      </c>
      <c r="I126" s="1">
        <v>372.14</v>
      </c>
      <c r="J126" s="16">
        <v>392916.25603027869</v>
      </c>
      <c r="K126" s="5">
        <v>0.12823117035925236</v>
      </c>
      <c r="L126" s="10">
        <v>475081.85200000001</v>
      </c>
    </row>
    <row r="127" spans="1:12" x14ac:dyDescent="0.25">
      <c r="A127">
        <v>126</v>
      </c>
      <c r="B127" s="3">
        <v>0.11007051014366781</v>
      </c>
      <c r="C127" s="3">
        <v>2.6682451038822781E-2</v>
      </c>
      <c r="D127" s="1">
        <v>874738.95021449937</v>
      </c>
      <c r="E127" s="1">
        <v>29329419</v>
      </c>
      <c r="F127" s="1">
        <v>80758933</v>
      </c>
      <c r="G127" s="16">
        <v>99517.356287638075</v>
      </c>
      <c r="H127">
        <v>380.83</v>
      </c>
      <c r="I127" s="1">
        <v>1044.82</v>
      </c>
      <c r="J127" s="16">
        <v>974256.30650213745</v>
      </c>
      <c r="K127" s="5">
        <v>9.833324410865743E-2</v>
      </c>
      <c r="L127" s="10">
        <v>3031066.0282000001</v>
      </c>
    </row>
    <row r="128" spans="1:12" x14ac:dyDescent="0.25">
      <c r="A128">
        <v>127</v>
      </c>
      <c r="B128" s="3">
        <v>0.19561776814337919</v>
      </c>
      <c r="C128" s="3">
        <v>5.1171350149442282E-2</v>
      </c>
      <c r="D128" s="1">
        <v>153897.47884555929</v>
      </c>
      <c r="E128" s="1">
        <v>6879932</v>
      </c>
      <c r="F128" s="1">
        <v>36070594</v>
      </c>
      <c r="G128" s="16">
        <v>15977.366910781537</v>
      </c>
      <c r="H128">
        <v>88.87</v>
      </c>
      <c r="I128" s="1">
        <v>304.52999999999997</v>
      </c>
      <c r="J128" s="16">
        <v>169874.84575634083</v>
      </c>
      <c r="K128" s="5">
        <v>4.603685929467187E-2</v>
      </c>
      <c r="L128" s="10">
        <v>136133.07060000001</v>
      </c>
    </row>
    <row r="129" spans="1:12" x14ac:dyDescent="0.25">
      <c r="A129">
        <v>128</v>
      </c>
      <c r="B129" s="3">
        <v>0.13285240244082183</v>
      </c>
      <c r="C129" s="3">
        <v>3.3164749031470764E-2</v>
      </c>
      <c r="D129" s="1">
        <v>159432.16419430124</v>
      </c>
      <c r="E129" s="1">
        <v>4576141</v>
      </c>
      <c r="F129" s="1">
        <v>20006550</v>
      </c>
      <c r="G129" s="16">
        <v>49190.087251849123</v>
      </c>
      <c r="H129">
        <v>200.9</v>
      </c>
      <c r="I129" s="1">
        <v>622.86</v>
      </c>
      <c r="J129" s="16">
        <v>208622.25144615036</v>
      </c>
      <c r="K129" s="5">
        <v>9.8349145339449301E-2</v>
      </c>
      <c r="L129" s="10">
        <v>507982.32650000002</v>
      </c>
    </row>
    <row r="130" spans="1:12" x14ac:dyDescent="0.25">
      <c r="A130">
        <v>129</v>
      </c>
      <c r="B130" s="3">
        <v>0.24990865927354344</v>
      </c>
      <c r="C130" s="3">
        <v>3.1040755138661599E-2</v>
      </c>
      <c r="D130" s="1">
        <v>209074.82454190627</v>
      </c>
      <c r="E130" s="1">
        <v>12360839</v>
      </c>
      <c r="F130" s="1">
        <v>41454630</v>
      </c>
      <c r="G130" s="16">
        <v>17346.936851370807</v>
      </c>
      <c r="H130">
        <v>195.39</v>
      </c>
      <c r="I130" s="1">
        <v>499.19</v>
      </c>
      <c r="J130" s="16">
        <v>226421.76139327709</v>
      </c>
      <c r="K130" s="5">
        <v>8.2704370447760966E-2</v>
      </c>
      <c r="L130" s="10">
        <v>501151.76699999999</v>
      </c>
    </row>
    <row r="131" spans="1:12" x14ac:dyDescent="0.25">
      <c r="A131">
        <v>130</v>
      </c>
      <c r="B131" s="3">
        <v>0.22075738761876706</v>
      </c>
      <c r="C131" s="3">
        <v>5.3136651275603936E-2</v>
      </c>
      <c r="D131" s="1">
        <v>137941.81167995886</v>
      </c>
      <c r="E131" s="1">
        <v>7001770</v>
      </c>
      <c r="F131" s="1">
        <v>29727230</v>
      </c>
      <c r="G131" s="16">
        <v>14717.894023773953</v>
      </c>
      <c r="H131">
        <v>127.24</v>
      </c>
      <c r="I131" s="1">
        <v>412.24</v>
      </c>
      <c r="J131" s="16">
        <v>152659.70570373282</v>
      </c>
      <c r="K131" s="5">
        <v>0.14372954842114988</v>
      </c>
      <c r="L131" s="10">
        <v>350308.71620000002</v>
      </c>
    </row>
    <row r="132" spans="1:12" x14ac:dyDescent="0.25">
      <c r="A132">
        <v>131</v>
      </c>
      <c r="B132" s="3">
        <v>0.12687816666653862</v>
      </c>
      <c r="C132" s="3">
        <v>7.7389866946800376E-2</v>
      </c>
      <c r="D132" s="1">
        <v>189823.66697318916</v>
      </c>
      <c r="E132" s="1">
        <v>6112994</v>
      </c>
      <c r="F132" s="1">
        <v>29342442</v>
      </c>
      <c r="G132" s="16">
        <v>46438.604826344497</v>
      </c>
      <c r="H132">
        <v>180.76</v>
      </c>
      <c r="I132" s="1">
        <v>576.29</v>
      </c>
      <c r="J132" s="16">
        <v>236262.27179953366</v>
      </c>
      <c r="K132" s="5">
        <v>0.1121825826156853</v>
      </c>
      <c r="L132" s="10">
        <v>254157.01070000001</v>
      </c>
    </row>
    <row r="133" spans="1:12" x14ac:dyDescent="0.25">
      <c r="A133">
        <v>132</v>
      </c>
      <c r="B133" s="3">
        <v>0.23831133297784327</v>
      </c>
      <c r="C133" s="3">
        <v>5.643222605841515E-2</v>
      </c>
      <c r="D133" s="1">
        <v>181855.5444228882</v>
      </c>
      <c r="E133" s="1">
        <v>10111588</v>
      </c>
      <c r="F133" s="1">
        <v>42873841</v>
      </c>
      <c r="G133" s="16">
        <v>31614.414669568625</v>
      </c>
      <c r="H133">
        <v>319.98</v>
      </c>
      <c r="I133" s="1">
        <v>758.90000000000009</v>
      </c>
      <c r="J133" s="16">
        <v>213469.95909245682</v>
      </c>
      <c r="K133" s="5">
        <v>6.2906744872408868E-2</v>
      </c>
      <c r="L133" s="10">
        <v>208750.1992</v>
      </c>
    </row>
    <row r="134" spans="1:12" x14ac:dyDescent="0.25">
      <c r="A134">
        <v>133</v>
      </c>
      <c r="B134" s="3">
        <v>0.21114471947860564</v>
      </c>
      <c r="C134" s="3">
        <v>3.102503740445332E-2</v>
      </c>
      <c r="D134" s="1">
        <v>129243.3916743546</v>
      </c>
      <c r="E134" s="1">
        <v>4927416</v>
      </c>
      <c r="F134" s="1">
        <v>20052702</v>
      </c>
      <c r="G134" s="16">
        <v>32561.243360285796</v>
      </c>
      <c r="H134">
        <v>326.98</v>
      </c>
      <c r="I134" s="1">
        <v>925.08999999999992</v>
      </c>
      <c r="J134" s="16">
        <v>161804.63503464041</v>
      </c>
      <c r="K134" s="5">
        <v>0.11272113246961801</v>
      </c>
      <c r="L134" s="10">
        <v>502565.42450000002</v>
      </c>
    </row>
    <row r="135" spans="1:12" x14ac:dyDescent="0.25">
      <c r="A135">
        <v>134</v>
      </c>
      <c r="B135" s="3">
        <v>0.20630611408519772</v>
      </c>
      <c r="C135" s="3">
        <v>4.0336046680668161E-2</v>
      </c>
      <c r="D135" s="1">
        <v>203613.14324487382</v>
      </c>
      <c r="E135" s="1">
        <v>9602770</v>
      </c>
      <c r="F135" s="1">
        <v>38159706</v>
      </c>
      <c r="G135" s="16">
        <v>14419.485864096629</v>
      </c>
      <c r="H135">
        <v>86.78</v>
      </c>
      <c r="I135" s="1">
        <v>296.88</v>
      </c>
      <c r="J135" s="16">
        <v>218032.62910897046</v>
      </c>
      <c r="K135" s="5">
        <v>-6.1795013100018302E-3</v>
      </c>
      <c r="L135" s="10">
        <v>13705.752399999999</v>
      </c>
    </row>
    <row r="136" spans="1:12" x14ac:dyDescent="0.25">
      <c r="A136">
        <v>135</v>
      </c>
      <c r="B136" s="3">
        <v>0.15528411499510417</v>
      </c>
      <c r="C136" s="3">
        <v>4.4816422300564193E-2</v>
      </c>
      <c r="D136" s="1">
        <v>199777.38524410987</v>
      </c>
      <c r="E136" s="1">
        <v>7343559</v>
      </c>
      <c r="F136" s="1">
        <v>29626489</v>
      </c>
      <c r="G136" s="16">
        <v>32651.510199711473</v>
      </c>
      <c r="H136">
        <v>160.07</v>
      </c>
      <c r="I136" s="1">
        <v>449.46</v>
      </c>
      <c r="J136" s="16">
        <v>232428.89544382136</v>
      </c>
      <c r="K136" s="5">
        <v>0.14124058195550382</v>
      </c>
      <c r="L136" s="10">
        <v>584558.44889999996</v>
      </c>
    </row>
    <row r="137" spans="1:12" x14ac:dyDescent="0.25">
      <c r="A137">
        <v>136</v>
      </c>
      <c r="B137" s="3">
        <v>0.1668331660010659</v>
      </c>
      <c r="C137" s="3">
        <v>3.9072850299543271E-2</v>
      </c>
      <c r="D137" s="1">
        <v>198907.07421689254</v>
      </c>
      <c r="E137" s="1">
        <v>7725484</v>
      </c>
      <c r="F137" s="1">
        <v>32097953</v>
      </c>
      <c r="G137" s="16">
        <v>22984.050276020211</v>
      </c>
      <c r="H137">
        <v>103.51</v>
      </c>
      <c r="I137" s="1">
        <v>313.93</v>
      </c>
      <c r="J137" s="16">
        <v>221891.12449291276</v>
      </c>
      <c r="K137" s="5">
        <v>-2.816197090133956E-2</v>
      </c>
      <c r="L137" s="10">
        <v>-121239.3763</v>
      </c>
    </row>
    <row r="138" spans="1:12" x14ac:dyDescent="0.25">
      <c r="A138">
        <v>137</v>
      </c>
      <c r="B138" s="3">
        <v>0.20395106611743183</v>
      </c>
      <c r="C138" s="3">
        <v>7.4570235153264303E-2</v>
      </c>
      <c r="D138" s="1">
        <v>150163.37495789467</v>
      </c>
      <c r="E138" s="1">
        <v>8791604</v>
      </c>
      <c r="F138" s="1">
        <v>45343663</v>
      </c>
      <c r="G138" s="16">
        <v>14736.092718786558</v>
      </c>
      <c r="H138">
        <v>87.07</v>
      </c>
      <c r="I138" s="1">
        <v>328.9</v>
      </c>
      <c r="J138" s="16">
        <v>164899.46767668123</v>
      </c>
      <c r="K138" s="5">
        <v>0.25652351370803106</v>
      </c>
      <c r="L138" s="10">
        <v>407468.92170000001</v>
      </c>
    </row>
    <row r="139" spans="1:12" x14ac:dyDescent="0.25">
      <c r="A139">
        <v>138</v>
      </c>
      <c r="B139" s="3">
        <v>0.22735249151010475</v>
      </c>
      <c r="C139" s="3">
        <v>7.7723572060139162E-2</v>
      </c>
      <c r="D139" s="1">
        <v>113512.3047078791</v>
      </c>
      <c r="E139" s="1">
        <v>5961014</v>
      </c>
      <c r="F139" s="1">
        <v>30644618</v>
      </c>
      <c r="G139" s="16">
        <v>45625.15501580276</v>
      </c>
      <c r="H139">
        <v>539.97</v>
      </c>
      <c r="I139" s="1">
        <v>1222.6100000000001</v>
      </c>
      <c r="J139" s="16">
        <v>159137.45972368185</v>
      </c>
      <c r="K139" s="5">
        <v>2.0836596819913979E-2</v>
      </c>
      <c r="L139" s="10">
        <v>48896.256399999998</v>
      </c>
    </row>
    <row r="140" spans="1:12" x14ac:dyDescent="0.25">
      <c r="A140">
        <v>139</v>
      </c>
      <c r="B140" s="3">
        <v>0.17590429585493952</v>
      </c>
      <c r="C140" s="3">
        <v>5.9746824703991244E-2</v>
      </c>
      <c r="D140" s="1">
        <v>93405.856594550365</v>
      </c>
      <c r="E140" s="1">
        <v>3123522</v>
      </c>
      <c r="F140" s="1">
        <v>13143505</v>
      </c>
      <c r="G140" s="16">
        <v>13774.579989973887</v>
      </c>
      <c r="H140">
        <v>66</v>
      </c>
      <c r="I140" s="1">
        <v>225.51000000000002</v>
      </c>
      <c r="J140" s="16">
        <v>107180.43658452426</v>
      </c>
      <c r="K140" s="5">
        <v>9.162205377536331E-2</v>
      </c>
      <c r="L140" s="10">
        <v>126116.5306</v>
      </c>
    </row>
    <row r="141" spans="1:12" x14ac:dyDescent="0.25">
      <c r="A141">
        <v>140</v>
      </c>
      <c r="B141" s="3">
        <v>0.23635520158329715</v>
      </c>
      <c r="C141" s="3">
        <v>2.9127084563077013E-2</v>
      </c>
      <c r="D141" s="1">
        <v>115132.36271470413</v>
      </c>
      <c r="E141" s="1">
        <v>6336285</v>
      </c>
      <c r="F141" s="1">
        <v>25866071</v>
      </c>
      <c r="G141" s="16">
        <v>15513.43447826076</v>
      </c>
      <c r="H141">
        <v>154.22</v>
      </c>
      <c r="I141" s="1">
        <v>446.69000000000005</v>
      </c>
      <c r="J141" s="16">
        <v>130645.79719296489</v>
      </c>
      <c r="K141" s="5">
        <v>4.0457294072334532E-4</v>
      </c>
      <c r="L141" s="10">
        <v>22871.085999999999</v>
      </c>
    </row>
    <row r="142" spans="1:12" x14ac:dyDescent="0.25">
      <c r="A142">
        <v>141</v>
      </c>
      <c r="B142" s="3">
        <v>0.18892659617845997</v>
      </c>
      <c r="C142" s="3">
        <v>4.5781345784372429E-2</v>
      </c>
      <c r="D142" s="1">
        <v>95595.567304658092</v>
      </c>
      <c r="E142" s="1">
        <v>3353209</v>
      </c>
      <c r="F142" s="1">
        <v>19953442</v>
      </c>
      <c r="G142" s="16">
        <v>18014.373138867009</v>
      </c>
      <c r="H142">
        <v>95.32</v>
      </c>
      <c r="I142" s="1">
        <v>377.07</v>
      </c>
      <c r="J142" s="16">
        <v>113609.94044352511</v>
      </c>
      <c r="K142" s="5">
        <v>-1.1453917171599687E-2</v>
      </c>
      <c r="L142" s="10">
        <v>8643.3173999999999</v>
      </c>
    </row>
    <row r="143" spans="1:12" x14ac:dyDescent="0.25">
      <c r="A143">
        <v>142</v>
      </c>
      <c r="B143" s="3">
        <v>0.21310373149829875</v>
      </c>
      <c r="C143" s="3">
        <v>4.8937650976877606E-2</v>
      </c>
      <c r="D143" s="1">
        <v>222082.90326513664</v>
      </c>
      <c r="E143" s="1">
        <v>13776230</v>
      </c>
      <c r="F143" s="1">
        <v>48427932</v>
      </c>
      <c r="G143" s="16">
        <v>23391.963213754148</v>
      </c>
      <c r="H143">
        <v>188.2</v>
      </c>
      <c r="I143" s="1">
        <v>732.65000000000009</v>
      </c>
      <c r="J143" s="16">
        <v>245474.86647889079</v>
      </c>
      <c r="K143" s="5">
        <v>0.10193378344339608</v>
      </c>
      <c r="L143" s="10">
        <v>423195.61099999998</v>
      </c>
    </row>
    <row r="144" spans="1:12" x14ac:dyDescent="0.25">
      <c r="A144">
        <v>143</v>
      </c>
      <c r="B144" s="3">
        <v>0.14708598125093217</v>
      </c>
      <c r="C144" s="3">
        <v>2.6497368416611364E-2</v>
      </c>
      <c r="D144" s="1">
        <v>116533.17795450283</v>
      </c>
      <c r="E144" s="1">
        <v>3515090</v>
      </c>
      <c r="F144" s="1">
        <v>20746045</v>
      </c>
      <c r="G144" s="16">
        <v>33430.136562125081</v>
      </c>
      <c r="H144">
        <v>153.09</v>
      </c>
      <c r="I144" s="1">
        <v>454.39</v>
      </c>
      <c r="J144" s="16">
        <v>149963.3145166279</v>
      </c>
      <c r="K144" s="5">
        <v>0.10768132183078846</v>
      </c>
      <c r="L144" s="10">
        <v>537332.55079999997</v>
      </c>
    </row>
    <row r="145" spans="1:12" x14ac:dyDescent="0.25">
      <c r="A145">
        <v>144</v>
      </c>
      <c r="B145" s="3">
        <v>0.24136618391118336</v>
      </c>
      <c r="C145" s="3">
        <v>7.8983162362714188E-2</v>
      </c>
      <c r="D145" s="1">
        <v>86179.208234162157</v>
      </c>
      <c r="E145" s="1">
        <v>4869407</v>
      </c>
      <c r="F145" s="1">
        <v>22528814</v>
      </c>
      <c r="G145" s="16">
        <v>11720.315856546942</v>
      </c>
      <c r="H145">
        <v>92.4</v>
      </c>
      <c r="I145" s="1">
        <v>294.49</v>
      </c>
      <c r="J145" s="16">
        <v>97899.524090709107</v>
      </c>
      <c r="K145" s="5">
        <v>3.2991983085967722E-2</v>
      </c>
      <c r="L145" s="10">
        <v>40218.588300000003</v>
      </c>
    </row>
    <row r="146" spans="1:12" x14ac:dyDescent="0.25">
      <c r="A146">
        <v>145</v>
      </c>
      <c r="B146" s="3">
        <v>0.1268021162695</v>
      </c>
      <c r="C146" s="3">
        <v>6.9689008314682666E-2</v>
      </c>
      <c r="D146" s="1">
        <v>145934.5439347135</v>
      </c>
      <c r="E146" s="1">
        <v>4697969</v>
      </c>
      <c r="F146" s="1">
        <v>25631142</v>
      </c>
      <c r="G146" s="16">
        <v>51072.074625946458</v>
      </c>
      <c r="H146">
        <v>227.32</v>
      </c>
      <c r="I146" s="1">
        <v>782.55</v>
      </c>
      <c r="J146" s="16">
        <v>197006.61856065996</v>
      </c>
      <c r="K146" s="5">
        <v>0.23737568501874201</v>
      </c>
      <c r="L146" s="10">
        <v>463392.74119999999</v>
      </c>
    </row>
    <row r="147" spans="1:12" x14ac:dyDescent="0.25">
      <c r="A147">
        <v>146</v>
      </c>
      <c r="B147" s="3">
        <v>0.16561706932026815</v>
      </c>
      <c r="C147" s="3">
        <v>5.3942627322546469E-2</v>
      </c>
      <c r="D147" s="1">
        <v>165315.37988075314</v>
      </c>
      <c r="E147" s="1">
        <v>6383439</v>
      </c>
      <c r="F147" s="1">
        <v>31468032</v>
      </c>
      <c r="G147" s="16">
        <v>12967.951632007425</v>
      </c>
      <c r="H147">
        <v>57.78</v>
      </c>
      <c r="I147" s="1">
        <v>207.97</v>
      </c>
      <c r="J147" s="16">
        <v>178283.33151276057</v>
      </c>
      <c r="K147" s="5">
        <v>-6.9198151081470705E-3</v>
      </c>
      <c r="L147" s="10">
        <v>-18832.757900000001</v>
      </c>
    </row>
    <row r="148" spans="1:12" x14ac:dyDescent="0.25">
      <c r="A148">
        <v>147</v>
      </c>
      <c r="B148" s="3">
        <v>0.24281171680585298</v>
      </c>
      <c r="C148" s="3">
        <v>2.4861088316448225E-2</v>
      </c>
      <c r="D148" s="1">
        <v>90734.404430527065</v>
      </c>
      <c r="E148" s="1">
        <v>3911676</v>
      </c>
      <c r="F148" s="1">
        <v>18369154</v>
      </c>
      <c r="G148" s="16">
        <v>35589.044785232996</v>
      </c>
      <c r="H148">
        <v>654.16999999999996</v>
      </c>
      <c r="I148" s="1">
        <v>1608.0099999999998</v>
      </c>
      <c r="J148" s="16">
        <v>126323.44921576006</v>
      </c>
      <c r="K148" s="5">
        <v>0.10129576501867921</v>
      </c>
      <c r="L148" s="10">
        <v>461037.92050000001</v>
      </c>
    </row>
    <row r="149" spans="1:12" x14ac:dyDescent="0.25">
      <c r="A149">
        <v>148</v>
      </c>
      <c r="B149" s="3">
        <v>0.10765256268579733</v>
      </c>
      <c r="C149" s="3">
        <v>2.8857496520094068E-2</v>
      </c>
      <c r="D149" s="1">
        <v>143926.77210800527</v>
      </c>
      <c r="E149" s="1">
        <v>4248235</v>
      </c>
      <c r="F149" s="1">
        <v>25213069</v>
      </c>
      <c r="G149" s="16">
        <v>61525.144475927562</v>
      </c>
      <c r="H149">
        <v>205.27</v>
      </c>
      <c r="I149" s="1">
        <v>635.66999999999996</v>
      </c>
      <c r="J149" s="16">
        <v>205451.91658393282</v>
      </c>
      <c r="K149" s="5">
        <v>6.9733294826945805E-2</v>
      </c>
      <c r="L149" s="10">
        <v>448420.87160000001</v>
      </c>
    </row>
    <row r="150" spans="1:12" x14ac:dyDescent="0.25">
      <c r="A150">
        <v>149</v>
      </c>
      <c r="B150" s="3">
        <v>0.18760519001156881</v>
      </c>
      <c r="C150" s="3">
        <v>5.983949346397488E-2</v>
      </c>
      <c r="D150" s="1">
        <v>154378.65962851749</v>
      </c>
      <c r="E150" s="1">
        <v>6633178</v>
      </c>
      <c r="F150" s="1">
        <v>37054741</v>
      </c>
      <c r="G150" s="16">
        <v>16768.236333168923</v>
      </c>
      <c r="H150">
        <v>107.97</v>
      </c>
      <c r="I150" s="1">
        <v>393.62</v>
      </c>
      <c r="J150" s="16">
        <v>171146.89596168642</v>
      </c>
      <c r="K150" s="5">
        <v>-3.9345175497185733E-2</v>
      </c>
      <c r="L150" s="10">
        <v>-27471.151399999999</v>
      </c>
    </row>
    <row r="151" spans="1:12" x14ac:dyDescent="0.25">
      <c r="A151">
        <v>150</v>
      </c>
      <c r="B151" s="3">
        <v>0.13576682085768624</v>
      </c>
      <c r="C151" s="3">
        <v>6.2198119633144422E-2</v>
      </c>
      <c r="D151" s="1">
        <v>288952.21466068662</v>
      </c>
      <c r="E151" s="1">
        <v>9694044</v>
      </c>
      <c r="F151" s="1">
        <v>38606497</v>
      </c>
      <c r="G151" s="16">
        <v>12983.217804013868</v>
      </c>
      <c r="H151">
        <v>40.520000000000003</v>
      </c>
      <c r="I151" s="1">
        <v>149.06</v>
      </c>
      <c r="J151" s="16">
        <v>301935.43246470048</v>
      </c>
      <c r="K151" s="5">
        <v>0.12883705582575089</v>
      </c>
      <c r="L151" s="10">
        <v>439815.6091</v>
      </c>
    </row>
    <row r="152" spans="1:12" x14ac:dyDescent="0.25">
      <c r="A152">
        <v>151</v>
      </c>
      <c r="B152" s="3">
        <v>0.22206942466971988</v>
      </c>
      <c r="C152" s="3">
        <v>2.321605297499333E-2</v>
      </c>
      <c r="D152" s="1">
        <v>165720.11573549011</v>
      </c>
      <c r="E152" s="1">
        <v>8468655</v>
      </c>
      <c r="F152" s="1">
        <v>42351286</v>
      </c>
      <c r="G152" s="16">
        <v>8998.1527354628633</v>
      </c>
      <c r="H152">
        <v>61.11</v>
      </c>
      <c r="I152" s="1">
        <v>225.49</v>
      </c>
      <c r="J152" s="16">
        <v>174718.26847095299</v>
      </c>
      <c r="K152" s="5">
        <v>0.10357169408989261</v>
      </c>
      <c r="L152" s="10">
        <v>706409.99979999999</v>
      </c>
    </row>
    <row r="153" spans="1:12" x14ac:dyDescent="0.25">
      <c r="A153">
        <v>152</v>
      </c>
      <c r="B153" s="3">
        <v>0.15707251561731569</v>
      </c>
      <c r="C153" s="3">
        <v>6.9551414901042011E-2</v>
      </c>
      <c r="D153" s="1">
        <v>181908.45139468255</v>
      </c>
      <c r="E153" s="1">
        <v>6743650</v>
      </c>
      <c r="F153" s="1">
        <v>25380823</v>
      </c>
      <c r="G153" s="16">
        <v>19979.935644825451</v>
      </c>
      <c r="H153">
        <v>83.74</v>
      </c>
      <c r="I153" s="1">
        <v>341.7</v>
      </c>
      <c r="J153" s="16">
        <v>201888.387039508</v>
      </c>
      <c r="K153" s="5">
        <v>9.8406277800620667E-2</v>
      </c>
      <c r="L153" s="10">
        <v>217314.67499999999</v>
      </c>
    </row>
    <row r="154" spans="1:12" x14ac:dyDescent="0.25">
      <c r="A154">
        <v>153</v>
      </c>
      <c r="B154" s="3">
        <v>0.14020037706891292</v>
      </c>
      <c r="C154" s="3">
        <v>3.311710005377428E-2</v>
      </c>
      <c r="D154" s="1">
        <v>68466.748340068065</v>
      </c>
      <c r="E154" s="1">
        <v>2016002</v>
      </c>
      <c r="F154" s="1">
        <v>15063347</v>
      </c>
      <c r="G154" s="16">
        <v>29316.173849057872</v>
      </c>
      <c r="H154">
        <v>109.14</v>
      </c>
      <c r="I154" s="1">
        <v>346.4</v>
      </c>
      <c r="J154" s="16">
        <v>97782.922189125937</v>
      </c>
      <c r="K154" s="5">
        <v>0.25424813907092858</v>
      </c>
      <c r="L154" s="10">
        <v>661840.24690000003</v>
      </c>
    </row>
    <row r="155" spans="1:12" x14ac:dyDescent="0.25">
      <c r="A155">
        <v>154</v>
      </c>
      <c r="B155" s="3">
        <v>0.24474055847988405</v>
      </c>
      <c r="C155" s="3">
        <v>4.5780437751063247E-2</v>
      </c>
      <c r="D155" s="1">
        <v>84457.081808661213</v>
      </c>
      <c r="E155" s="1">
        <v>4857965</v>
      </c>
      <c r="F155" s="1">
        <v>28459994</v>
      </c>
      <c r="G155" s="16">
        <v>16325.840693349612</v>
      </c>
      <c r="H155">
        <v>175.16</v>
      </c>
      <c r="I155" s="1">
        <v>406.84</v>
      </c>
      <c r="J155" s="16">
        <v>100782.92250201083</v>
      </c>
      <c r="K155" s="5">
        <v>0.10767273926955279</v>
      </c>
      <c r="L155" s="10">
        <v>199709.73269999999</v>
      </c>
    </row>
    <row r="156" spans="1:12" x14ac:dyDescent="0.25">
      <c r="A156">
        <v>155</v>
      </c>
      <c r="B156" s="3">
        <v>0.24006024934555317</v>
      </c>
      <c r="C156" s="3">
        <v>5.2317901644534051E-2</v>
      </c>
      <c r="D156" s="1">
        <v>216869.68378862343</v>
      </c>
      <c r="E156" s="1">
        <v>12169861</v>
      </c>
      <c r="F156" s="1">
        <v>42285494</v>
      </c>
      <c r="G156" s="16">
        <v>12692.853491955279</v>
      </c>
      <c r="H156">
        <v>130.49</v>
      </c>
      <c r="I156" s="1">
        <v>449.15000000000003</v>
      </c>
      <c r="J156" s="16">
        <v>229562.53728057872</v>
      </c>
      <c r="K156" s="5">
        <v>0.12600510063310091</v>
      </c>
      <c r="L156" s="10">
        <v>426400.83909999998</v>
      </c>
    </row>
    <row r="157" spans="1:12" x14ac:dyDescent="0.25">
      <c r="A157">
        <v>156</v>
      </c>
      <c r="B157" s="3">
        <v>0.14045035046090082</v>
      </c>
      <c r="C157" s="3">
        <v>4.3833297315706933E-2</v>
      </c>
      <c r="D157" s="1">
        <v>133490.86966698762</v>
      </c>
      <c r="E157" s="1">
        <v>3934074</v>
      </c>
      <c r="F157" s="1">
        <v>16480434</v>
      </c>
      <c r="G157" s="16">
        <v>39552.366835028348</v>
      </c>
      <c r="H157">
        <v>171.77</v>
      </c>
      <c r="I157" s="1">
        <v>595.22</v>
      </c>
      <c r="J157" s="16">
        <v>173043.23650201596</v>
      </c>
      <c r="K157" s="5">
        <v>5.9991126389668338E-2</v>
      </c>
      <c r="L157" s="10">
        <v>196693.55110000001</v>
      </c>
    </row>
    <row r="158" spans="1:12" x14ac:dyDescent="0.25">
      <c r="A158">
        <v>157</v>
      </c>
      <c r="B158" s="3">
        <v>0.2337870242523358</v>
      </c>
      <c r="C158" s="3">
        <v>6.8842780355931762E-2</v>
      </c>
      <c r="D158" s="1">
        <v>106772.91102877706</v>
      </c>
      <c r="E158" s="1">
        <v>5797831</v>
      </c>
      <c r="F158" s="1">
        <v>21674094</v>
      </c>
      <c r="G158" s="16">
        <v>9369.0210229957229</v>
      </c>
      <c r="H158">
        <v>69.58</v>
      </c>
      <c r="I158" s="1">
        <v>288.89</v>
      </c>
      <c r="J158" s="16">
        <v>116141.93205177278</v>
      </c>
      <c r="K158" s="5">
        <v>0.1299960869779761</v>
      </c>
      <c r="L158" s="10">
        <v>159379.8933</v>
      </c>
    </row>
    <row r="159" spans="1:12" x14ac:dyDescent="0.25">
      <c r="A159">
        <v>158</v>
      </c>
      <c r="B159" s="3">
        <v>0.23334357677729553</v>
      </c>
      <c r="C159" s="3">
        <v>5.9350137930689523E-2</v>
      </c>
      <c r="D159" s="1">
        <v>143814.36533272985</v>
      </c>
      <c r="E159" s="1">
        <v>7791158</v>
      </c>
      <c r="F159" s="1">
        <v>35591607</v>
      </c>
      <c r="G159" s="16">
        <v>48004.888785775103</v>
      </c>
      <c r="H159">
        <v>604.83000000000004</v>
      </c>
      <c r="I159" s="1">
        <v>1492.3000000000002</v>
      </c>
      <c r="J159" s="16">
        <v>191819.25411850496</v>
      </c>
      <c r="K159" s="5">
        <v>2.9395334092415612E-2</v>
      </c>
      <c r="L159" s="10">
        <v>96423.860400000005</v>
      </c>
    </row>
    <row r="160" spans="1:12" x14ac:dyDescent="0.25">
      <c r="A160">
        <v>159</v>
      </c>
      <c r="B160" s="3">
        <v>0.15851907722080824</v>
      </c>
      <c r="C160" s="3">
        <v>2.9993977394847264E-2</v>
      </c>
      <c r="D160" s="1">
        <v>177874.57603607967</v>
      </c>
      <c r="E160" s="1">
        <v>6639566</v>
      </c>
      <c r="F160" s="1">
        <v>34536786</v>
      </c>
      <c r="G160" s="16">
        <v>52492.286610710376</v>
      </c>
      <c r="H160">
        <v>314.08</v>
      </c>
      <c r="I160" s="1">
        <v>941.01</v>
      </c>
      <c r="J160" s="16">
        <v>230366.86264679005</v>
      </c>
      <c r="K160" s="5">
        <v>-2.3368351691628805E-2</v>
      </c>
      <c r="L160" s="10">
        <v>-116434.7558</v>
      </c>
    </row>
    <row r="161" spans="1:12" x14ac:dyDescent="0.25">
      <c r="A161">
        <v>160</v>
      </c>
      <c r="B161" s="3">
        <v>0.13253371295496233</v>
      </c>
      <c r="C161" s="3">
        <v>5.1289291226779915E-2</v>
      </c>
      <c r="D161" s="1">
        <v>273296.09261762013</v>
      </c>
      <c r="E161" s="1">
        <v>9032865</v>
      </c>
      <c r="F161" s="1">
        <v>30351366</v>
      </c>
      <c r="G161" s="16">
        <v>31933.338584396548</v>
      </c>
      <c r="H161">
        <v>130.07</v>
      </c>
      <c r="I161" s="1">
        <v>492.34000000000003</v>
      </c>
      <c r="J161" s="16">
        <v>305229.43120201665</v>
      </c>
      <c r="K161" s="5">
        <v>-6.9667324365560349E-2</v>
      </c>
      <c r="L161" s="10">
        <v>-292348.98749999999</v>
      </c>
    </row>
    <row r="162" spans="1:12" x14ac:dyDescent="0.25">
      <c r="A162">
        <v>161</v>
      </c>
      <c r="B162" s="3">
        <v>0.23073622814395134</v>
      </c>
      <c r="C162" s="3">
        <v>7.4553060484126604E-2</v>
      </c>
      <c r="D162" s="1">
        <v>106733.59484182512</v>
      </c>
      <c r="E162" s="1">
        <v>4388119</v>
      </c>
      <c r="F162" s="1">
        <v>17322744</v>
      </c>
      <c r="G162" s="16">
        <v>34382.970914946578</v>
      </c>
      <c r="H162">
        <v>421.82</v>
      </c>
      <c r="I162" s="1">
        <v>1171.01</v>
      </c>
      <c r="J162" s="16">
        <v>141116.56575677171</v>
      </c>
      <c r="K162" s="5">
        <v>0.24900494788697883</v>
      </c>
      <c r="L162" s="10">
        <v>320990.86979999999</v>
      </c>
    </row>
    <row r="163" spans="1:12" x14ac:dyDescent="0.25">
      <c r="A163">
        <v>162</v>
      </c>
      <c r="B163" s="3">
        <v>0.14127329872233041</v>
      </c>
      <c r="C163" s="3">
        <v>2.4203692876416598E-2</v>
      </c>
      <c r="D163" s="1">
        <v>362644.33168664336</v>
      </c>
      <c r="E163" s="1">
        <v>12481407</v>
      </c>
      <c r="F163" s="1">
        <v>42050480</v>
      </c>
      <c r="G163" s="16">
        <v>20409.854297225997</v>
      </c>
      <c r="H163">
        <v>76.680000000000007</v>
      </c>
      <c r="I163" s="1">
        <v>315.99</v>
      </c>
      <c r="J163" s="16">
        <v>383054.18598386936</v>
      </c>
      <c r="K163" s="5">
        <v>0.19860502158192367</v>
      </c>
      <c r="L163" s="10">
        <v>2700861.2607999998</v>
      </c>
    </row>
    <row r="164" spans="1:12" x14ac:dyDescent="0.25">
      <c r="A164">
        <v>163</v>
      </c>
      <c r="B164" s="3">
        <v>0.21943926951450599</v>
      </c>
      <c r="C164" s="3">
        <v>7.9349740654332285E-2</v>
      </c>
      <c r="D164" s="1">
        <v>44912.996959923657</v>
      </c>
      <c r="E164" s="1">
        <v>1767480</v>
      </c>
      <c r="F164" s="1">
        <v>15467443</v>
      </c>
      <c r="G164" s="16">
        <v>26285.100948726664</v>
      </c>
      <c r="H164">
        <v>224.12</v>
      </c>
      <c r="I164" s="1">
        <v>522.66</v>
      </c>
      <c r="J164" s="16">
        <v>71198.097908650321</v>
      </c>
      <c r="K164" s="5">
        <v>7.5586885241553464E-2</v>
      </c>
      <c r="L164" s="10">
        <v>58598.9323</v>
      </c>
    </row>
    <row r="165" spans="1:12" x14ac:dyDescent="0.25">
      <c r="A165">
        <v>164</v>
      </c>
      <c r="B165" s="3">
        <v>0.12038121350099415</v>
      </c>
      <c r="C165" s="3">
        <v>5.1894533739657092E-2</v>
      </c>
      <c r="D165" s="1">
        <v>306739.08823104517</v>
      </c>
      <c r="E165" s="1">
        <v>9589450</v>
      </c>
      <c r="F165" s="1">
        <v>38721905</v>
      </c>
      <c r="G165" s="16">
        <v>43312.536872291545</v>
      </c>
      <c r="H165">
        <v>159.75</v>
      </c>
      <c r="I165" s="1">
        <v>498.68</v>
      </c>
      <c r="J165" s="16">
        <v>350051.6251033367</v>
      </c>
      <c r="K165" s="5">
        <v>0.16214468785821431</v>
      </c>
      <c r="L165" s="10">
        <v>837236.10270000005</v>
      </c>
    </row>
    <row r="166" spans="1:12" x14ac:dyDescent="0.25">
      <c r="A166">
        <v>165</v>
      </c>
      <c r="B166" s="3">
        <v>0.2334670560150853</v>
      </c>
      <c r="C166" s="3">
        <v>4.5066309916509548E-2</v>
      </c>
      <c r="D166" s="1">
        <v>223856.54295203037</v>
      </c>
      <c r="E166" s="1">
        <v>15831364</v>
      </c>
      <c r="F166" s="1">
        <v>49751866</v>
      </c>
      <c r="G166" s="16">
        <v>19618.84837276339</v>
      </c>
      <c r="H166">
        <v>247.3</v>
      </c>
      <c r="I166" s="1">
        <v>873.79</v>
      </c>
      <c r="J166" s="16">
        <v>243475.39132479377</v>
      </c>
      <c r="K166" s="5">
        <v>0.17168160722316533</v>
      </c>
      <c r="L166" s="10">
        <v>703287.02800000005</v>
      </c>
    </row>
    <row r="167" spans="1:12" x14ac:dyDescent="0.25">
      <c r="A167">
        <v>166</v>
      </c>
      <c r="B167" s="3">
        <v>0.21688502330870607</v>
      </c>
      <c r="C167" s="3">
        <v>4.2441934911710444E-2</v>
      </c>
      <c r="D167" s="1">
        <v>63022.437652234243</v>
      </c>
      <c r="E167" s="1">
        <v>1923296</v>
      </c>
      <c r="F167" s="1">
        <v>8670832</v>
      </c>
      <c r="G167" s="16">
        <v>32059.933652944357</v>
      </c>
      <c r="H167">
        <v>266.86</v>
      </c>
      <c r="I167" s="1">
        <v>663.27</v>
      </c>
      <c r="J167" s="16">
        <v>95082.371305178604</v>
      </c>
      <c r="K167" s="5">
        <v>9.073339526544745E-3</v>
      </c>
      <c r="L167" s="10">
        <v>13442.263999999999</v>
      </c>
    </row>
    <row r="168" spans="1:12" x14ac:dyDescent="0.25">
      <c r="A168">
        <v>167</v>
      </c>
      <c r="B168" s="3">
        <v>0.13530262673719226</v>
      </c>
      <c r="C168" s="3">
        <v>7.352500283589436E-2</v>
      </c>
      <c r="D168" s="1">
        <v>163995.44236946458</v>
      </c>
      <c r="E168" s="1">
        <v>5490074</v>
      </c>
      <c r="F168" s="1">
        <v>24841373</v>
      </c>
      <c r="G168" s="16">
        <v>35857.40769915095</v>
      </c>
      <c r="H168">
        <v>149.31</v>
      </c>
      <c r="I168" s="1">
        <v>468.65</v>
      </c>
      <c r="J168" s="16">
        <v>199852.85006861552</v>
      </c>
      <c r="K168" s="5">
        <v>3.7856765647771469E-2</v>
      </c>
      <c r="L168" s="10">
        <v>99859.003700000001</v>
      </c>
    </row>
    <row r="169" spans="1:12" x14ac:dyDescent="0.25">
      <c r="A169">
        <v>168</v>
      </c>
      <c r="B169" s="3">
        <v>0.24578842270986651</v>
      </c>
      <c r="C169" s="3">
        <v>4.6960488036747378E-2</v>
      </c>
      <c r="D169" s="1">
        <v>199245.20482751905</v>
      </c>
      <c r="E169" s="1">
        <v>11524388</v>
      </c>
      <c r="F169" s="1">
        <v>39691774</v>
      </c>
      <c r="G169" s="16">
        <v>12983.326914576044</v>
      </c>
      <c r="H169">
        <v>106.12</v>
      </c>
      <c r="I169" s="1">
        <v>364.71000000000004</v>
      </c>
      <c r="J169" s="16">
        <v>212228.5317420951</v>
      </c>
      <c r="K169" s="5">
        <v>0.12316723002756472</v>
      </c>
      <c r="L169" s="10">
        <v>425665.8749</v>
      </c>
    </row>
    <row r="170" spans="1:12" x14ac:dyDescent="0.25">
      <c r="A170">
        <v>169</v>
      </c>
      <c r="B170" s="3">
        <v>0.19343321097130856</v>
      </c>
      <c r="C170" s="3">
        <v>5.9331725636549315E-2</v>
      </c>
      <c r="D170" s="1">
        <v>142278.4780220378</v>
      </c>
      <c r="E170" s="1">
        <v>6291884</v>
      </c>
      <c r="F170" s="1">
        <v>38537015</v>
      </c>
      <c r="G170" s="16">
        <v>33283.963598941642</v>
      </c>
      <c r="H170">
        <v>225.41</v>
      </c>
      <c r="I170" s="1">
        <v>560.66999999999996</v>
      </c>
      <c r="J170" s="16">
        <v>175562.44162097946</v>
      </c>
      <c r="K170" s="5">
        <v>0.17847339561482639</v>
      </c>
      <c r="L170" s="10">
        <v>451282.11090000003</v>
      </c>
    </row>
    <row r="171" spans="1:12" x14ac:dyDescent="0.25">
      <c r="A171">
        <v>170</v>
      </c>
      <c r="B171" s="3">
        <v>0.22262271180101217</v>
      </c>
      <c r="C171" s="3">
        <v>7.7537354795962396E-2</v>
      </c>
      <c r="D171" s="1">
        <v>310651.64967316203</v>
      </c>
      <c r="E171" s="1">
        <v>20479398</v>
      </c>
      <c r="F171" s="1">
        <v>73005367</v>
      </c>
      <c r="G171" s="16">
        <v>11728.724211743747</v>
      </c>
      <c r="H171">
        <v>102.93</v>
      </c>
      <c r="I171" s="1">
        <v>396.61</v>
      </c>
      <c r="J171" s="16">
        <v>322380.37388490577</v>
      </c>
      <c r="K171" s="5">
        <v>0.21294411557214812</v>
      </c>
      <c r="L171" s="10">
        <v>615989.36970000004</v>
      </c>
    </row>
    <row r="172" spans="1:12" x14ac:dyDescent="0.25">
      <c r="A172">
        <v>171</v>
      </c>
      <c r="B172" s="3">
        <v>0.17851353898202471</v>
      </c>
      <c r="C172" s="3">
        <v>7.7131847332575762E-2</v>
      </c>
      <c r="D172" s="1">
        <v>122028.7558317598</v>
      </c>
      <c r="E172" s="1">
        <v>5014908</v>
      </c>
      <c r="F172" s="1">
        <v>22167692</v>
      </c>
      <c r="G172" s="16">
        <v>26740.646766226862</v>
      </c>
      <c r="H172">
        <v>159</v>
      </c>
      <c r="I172" s="1">
        <v>469.57</v>
      </c>
      <c r="J172" s="16">
        <v>148769.40259798666</v>
      </c>
      <c r="K172" s="5">
        <v>0.14144966151096364</v>
      </c>
      <c r="L172" s="10">
        <v>179579.33040000001</v>
      </c>
    </row>
    <row r="173" spans="1:12" x14ac:dyDescent="0.25">
      <c r="A173">
        <v>172</v>
      </c>
      <c r="B173" s="3">
        <v>0.21461513078295857</v>
      </c>
      <c r="C173" s="3">
        <v>5.6152672421201449E-2</v>
      </c>
      <c r="D173" s="1">
        <v>160975.68275239915</v>
      </c>
      <c r="E173" s="1">
        <v>7918326</v>
      </c>
      <c r="F173" s="1">
        <v>25176620</v>
      </c>
      <c r="G173" s="16">
        <v>31340.102439607494</v>
      </c>
      <c r="H173">
        <v>255.72</v>
      </c>
      <c r="I173" s="1">
        <v>688.69</v>
      </c>
      <c r="J173" s="16">
        <v>192315.78519200665</v>
      </c>
      <c r="K173" s="5">
        <v>0.18290833501273021</v>
      </c>
      <c r="L173" s="10">
        <v>446914.0245</v>
      </c>
    </row>
    <row r="174" spans="1:12" x14ac:dyDescent="0.25">
      <c r="A174">
        <v>173</v>
      </c>
      <c r="B174" s="3">
        <v>0.16908330039483627</v>
      </c>
      <c r="C174" s="3">
        <v>5.6853876548063023E-2</v>
      </c>
      <c r="D174" s="1">
        <v>114944.23669307795</v>
      </c>
      <c r="E174" s="1">
        <v>4512952</v>
      </c>
      <c r="F174" s="1">
        <v>23821061</v>
      </c>
      <c r="G174" s="16">
        <v>17563.571238806704</v>
      </c>
      <c r="H174">
        <v>80.27</v>
      </c>
      <c r="I174" s="1">
        <v>342.39</v>
      </c>
      <c r="J174" s="16">
        <v>132507.80793188466</v>
      </c>
      <c r="K174" s="5">
        <v>7.0620453337787548E-2</v>
      </c>
      <c r="L174" s="10">
        <v>163448.73819999999</v>
      </c>
    </row>
    <row r="175" spans="1:12" x14ac:dyDescent="0.25">
      <c r="A175">
        <v>174</v>
      </c>
      <c r="B175" s="3">
        <v>0.19590497488849559</v>
      </c>
      <c r="C175" s="3">
        <v>2.3013304049375946E-2</v>
      </c>
      <c r="D175" s="1">
        <v>60731.860233391686</v>
      </c>
      <c r="E175" s="1">
        <v>2186239</v>
      </c>
      <c r="F175" s="1">
        <v>16748284</v>
      </c>
      <c r="G175" s="16">
        <v>16435.588524730265</v>
      </c>
      <c r="H175">
        <v>91.37</v>
      </c>
      <c r="I175" s="1">
        <v>352.20000000000005</v>
      </c>
      <c r="J175" s="16">
        <v>77167.448758121958</v>
      </c>
      <c r="K175" s="5">
        <v>0.16023940039531925</v>
      </c>
      <c r="L175" s="10">
        <v>509393.26530000003</v>
      </c>
    </row>
    <row r="176" spans="1:12" x14ac:dyDescent="0.25">
      <c r="A176">
        <v>175</v>
      </c>
      <c r="B176" s="3">
        <v>0.10430800876854678</v>
      </c>
      <c r="C176" s="3">
        <v>7.7588628440179622E-2</v>
      </c>
      <c r="D176" s="1">
        <v>114263.87524522351</v>
      </c>
      <c r="E176" s="1">
        <v>2976020</v>
      </c>
      <c r="F176" s="1">
        <v>14104344</v>
      </c>
      <c r="G176" s="16">
        <v>42858.956322734783</v>
      </c>
      <c r="H176">
        <v>139.31</v>
      </c>
      <c r="I176" s="1">
        <v>435.28000000000003</v>
      </c>
      <c r="J176" s="16">
        <v>157122.83156795829</v>
      </c>
      <c r="K176" s="5">
        <v>0.18011189591071697</v>
      </c>
      <c r="L176" s="10">
        <v>229608.9595</v>
      </c>
    </row>
    <row r="177" spans="1:12" x14ac:dyDescent="0.25">
      <c r="A177">
        <v>176</v>
      </c>
      <c r="B177" s="3">
        <v>0.20231225807520981</v>
      </c>
      <c r="C177" s="3">
        <v>6.5829318476923276E-2</v>
      </c>
      <c r="D177" s="1">
        <v>182160.40742743318</v>
      </c>
      <c r="E177" s="1">
        <v>8420257</v>
      </c>
      <c r="F177" s="1">
        <v>35758255</v>
      </c>
      <c r="G177" s="16">
        <v>6664.3466151317043</v>
      </c>
      <c r="H177">
        <v>31.08</v>
      </c>
      <c r="I177" s="1">
        <v>150.41000000000003</v>
      </c>
      <c r="J177" s="16">
        <v>188824.75404256489</v>
      </c>
      <c r="K177" s="5">
        <v>4.0371170519532318E-2</v>
      </c>
      <c r="L177" s="10">
        <v>98978.28</v>
      </c>
    </row>
    <row r="178" spans="1:12" x14ac:dyDescent="0.25">
      <c r="A178">
        <v>177</v>
      </c>
      <c r="B178" s="3">
        <v>0.19496870665552662</v>
      </c>
      <c r="C178" s="3">
        <v>3.2894906338818836E-2</v>
      </c>
      <c r="D178" s="1">
        <v>98918.365509854455</v>
      </c>
      <c r="E178" s="1">
        <v>3548476</v>
      </c>
      <c r="F178" s="1">
        <v>15664531</v>
      </c>
      <c r="G178" s="16">
        <v>18094.614373127191</v>
      </c>
      <c r="H178">
        <v>100.08</v>
      </c>
      <c r="I178" s="1">
        <v>319.45</v>
      </c>
      <c r="J178" s="16">
        <v>117012.97988298164</v>
      </c>
      <c r="K178" s="5">
        <v>0.1491974413002389</v>
      </c>
      <c r="L178" s="10">
        <v>449665.85550000001</v>
      </c>
    </row>
    <row r="179" spans="1:12" x14ac:dyDescent="0.25">
      <c r="A179">
        <v>178</v>
      </c>
      <c r="B179" s="3">
        <v>0.16871862800444493</v>
      </c>
      <c r="C179" s="3">
        <v>6.6824660037087258E-2</v>
      </c>
      <c r="D179" s="1">
        <v>124189.67765437886</v>
      </c>
      <c r="E179" s="1">
        <v>4867389</v>
      </c>
      <c r="F179" s="1">
        <v>27316973</v>
      </c>
      <c r="G179" s="16">
        <v>23064.610361818286</v>
      </c>
      <c r="H179">
        <v>105.14</v>
      </c>
      <c r="I179" s="1">
        <v>352.55</v>
      </c>
      <c r="J179" s="16">
        <v>147254.28801619716</v>
      </c>
      <c r="K179" s="5">
        <v>0.22499138255169604</v>
      </c>
      <c r="L179" s="10">
        <v>378121.95079999999</v>
      </c>
    </row>
    <row r="180" spans="1:12" x14ac:dyDescent="0.25">
      <c r="A180">
        <v>179</v>
      </c>
      <c r="B180" s="3">
        <v>0.2132684398332674</v>
      </c>
      <c r="C180" s="3">
        <v>5.47020959934469E-2</v>
      </c>
      <c r="D180" s="1">
        <v>197012.06529336469</v>
      </c>
      <c r="E180" s="1">
        <v>12233835</v>
      </c>
      <c r="F180" s="1">
        <v>48435545</v>
      </c>
      <c r="G180" s="16">
        <v>50790.716595958773</v>
      </c>
      <c r="H180">
        <v>520.72</v>
      </c>
      <c r="I180" s="1">
        <v>1205.8899999999999</v>
      </c>
      <c r="J180" s="16">
        <v>247802.78188932347</v>
      </c>
      <c r="K180" s="5">
        <v>9.4417973014948434E-2</v>
      </c>
      <c r="L180" s="10">
        <v>336228.00949999999</v>
      </c>
    </row>
    <row r="181" spans="1:12" x14ac:dyDescent="0.25">
      <c r="A181">
        <v>180</v>
      </c>
      <c r="B181" s="3">
        <v>0.10220706576271492</v>
      </c>
      <c r="C181" s="3">
        <v>3.032714924355032E-2</v>
      </c>
      <c r="D181" s="1">
        <v>45049.576756485716</v>
      </c>
      <c r="E181" s="1">
        <v>1046022</v>
      </c>
      <c r="F181" s="1">
        <v>10289263</v>
      </c>
      <c r="G181" s="16">
        <v>73938.100103560922</v>
      </c>
      <c r="H181">
        <v>236.56</v>
      </c>
      <c r="I181" s="1">
        <v>708.32999999999993</v>
      </c>
      <c r="J181" s="16">
        <v>118987.67686004663</v>
      </c>
      <c r="K181" s="5">
        <v>-5.5295140309654496E-2</v>
      </c>
      <c r="L181" s="10">
        <v>-167207.5784</v>
      </c>
    </row>
    <row r="182" spans="1:12" x14ac:dyDescent="0.25">
      <c r="A182">
        <v>181</v>
      </c>
      <c r="B182" s="3">
        <v>0.13370888851188831</v>
      </c>
      <c r="C182" s="3">
        <v>7.5745014213320597E-2</v>
      </c>
      <c r="D182" s="1">
        <v>87586.244938113305</v>
      </c>
      <c r="E182" s="1">
        <v>2910604</v>
      </c>
      <c r="F182" s="1">
        <v>21888819</v>
      </c>
      <c r="G182" s="16">
        <v>77451.403379924872</v>
      </c>
      <c r="H182">
        <v>367.17</v>
      </c>
      <c r="I182" s="1">
        <v>1021.27</v>
      </c>
      <c r="J182" s="16">
        <v>165037.64831803818</v>
      </c>
      <c r="K182" s="5">
        <v>0.15241967837565404</v>
      </c>
      <c r="L182" s="10">
        <v>266130.55940000003</v>
      </c>
    </row>
    <row r="183" spans="1:12" x14ac:dyDescent="0.25">
      <c r="A183">
        <v>182</v>
      </c>
      <c r="B183" s="3">
        <v>0.13435375120738957</v>
      </c>
      <c r="C183" s="3">
        <v>4.921986500456179E-2</v>
      </c>
      <c r="D183" s="1">
        <v>79975.012872124702</v>
      </c>
      <c r="E183" s="1">
        <v>2307469</v>
      </c>
      <c r="F183" s="1">
        <v>17614622</v>
      </c>
      <c r="G183" s="16">
        <v>105825.77293172928</v>
      </c>
      <c r="H183">
        <v>505.16</v>
      </c>
      <c r="I183" s="1">
        <v>1289.33</v>
      </c>
      <c r="J183" s="16">
        <v>185800.785803854</v>
      </c>
      <c r="K183" s="5">
        <v>4.1753934651544644E-2</v>
      </c>
      <c r="L183" s="10">
        <v>121993.91379999999</v>
      </c>
    </row>
    <row r="184" spans="1:12" x14ac:dyDescent="0.25">
      <c r="A184">
        <v>183</v>
      </c>
      <c r="B184" s="3">
        <v>0.11143247841997156</v>
      </c>
      <c r="C184" s="3">
        <v>6.9108263405657219E-2</v>
      </c>
      <c r="D184" s="1">
        <v>316180.67617596104</v>
      </c>
      <c r="E184" s="1">
        <v>9492403</v>
      </c>
      <c r="F184" s="1">
        <v>33600884</v>
      </c>
      <c r="G184" s="16">
        <v>37233.151727834651</v>
      </c>
      <c r="H184">
        <v>128.03</v>
      </c>
      <c r="I184" s="1">
        <v>407.62</v>
      </c>
      <c r="J184" s="16">
        <v>353413.8279037957</v>
      </c>
      <c r="K184" s="5">
        <v>7.7121986007516241E-2</v>
      </c>
      <c r="L184" s="10">
        <v>238949.06899999999</v>
      </c>
    </row>
    <row r="185" spans="1:12" x14ac:dyDescent="0.25">
      <c r="A185">
        <v>184</v>
      </c>
      <c r="B185" s="3">
        <v>0.16999712647885018</v>
      </c>
      <c r="C185" s="3">
        <v>4.4374346492305282E-2</v>
      </c>
      <c r="D185" s="1">
        <v>224361.90035174077</v>
      </c>
      <c r="E185" s="1">
        <v>8847767</v>
      </c>
      <c r="F185" s="1">
        <v>33789859</v>
      </c>
      <c r="G185" s="16">
        <v>39541.512056852618</v>
      </c>
      <c r="H185">
        <v>219.48</v>
      </c>
      <c r="I185" s="1">
        <v>639.9</v>
      </c>
      <c r="J185" s="16">
        <v>263903.4124085934</v>
      </c>
      <c r="K185" s="5">
        <v>0.10090953107594094</v>
      </c>
      <c r="L185" s="10">
        <v>498552.70870000002</v>
      </c>
    </row>
    <row r="186" spans="1:12" x14ac:dyDescent="0.25">
      <c r="A186">
        <v>185</v>
      </c>
      <c r="B186" s="3">
        <v>0.11192640138011446</v>
      </c>
      <c r="C186" s="3">
        <v>6.9989817163291376E-2</v>
      </c>
      <c r="D186" s="1">
        <v>138567.62796455339</v>
      </c>
      <c r="E186" s="1">
        <v>4169353</v>
      </c>
      <c r="F186" s="1">
        <v>26103281</v>
      </c>
      <c r="G186" s="16">
        <v>50597.398748174979</v>
      </c>
      <c r="H186">
        <v>174.7</v>
      </c>
      <c r="I186" s="1">
        <v>520.79</v>
      </c>
      <c r="J186" s="16">
        <v>189165.02671272837</v>
      </c>
      <c r="K186" s="5">
        <v>5.614531728898952E-2</v>
      </c>
      <c r="L186" s="10">
        <v>166068.78330000001</v>
      </c>
    </row>
    <row r="187" spans="1:12" x14ac:dyDescent="0.25">
      <c r="A187">
        <v>186</v>
      </c>
      <c r="B187" s="3">
        <v>0.2260749102956493</v>
      </c>
      <c r="C187" s="3">
        <v>6.8259480248648904E-2</v>
      </c>
      <c r="D187" s="1">
        <v>76924.738630280801</v>
      </c>
      <c r="E187" s="1">
        <v>3105790</v>
      </c>
      <c r="F187" s="1">
        <v>18349296</v>
      </c>
      <c r="G187" s="16">
        <v>6640.2877387568233</v>
      </c>
      <c r="H187">
        <v>35.97</v>
      </c>
      <c r="I187" s="1">
        <v>138.99</v>
      </c>
      <c r="J187" s="16">
        <v>83565.026369037631</v>
      </c>
      <c r="K187" s="5">
        <v>6.1915513916610598E-2</v>
      </c>
      <c r="L187" s="10">
        <v>59960.753100000002</v>
      </c>
    </row>
    <row r="188" spans="1:12" x14ac:dyDescent="0.25">
      <c r="A188">
        <v>187</v>
      </c>
      <c r="B188" s="3">
        <v>0.23757070554053664</v>
      </c>
      <c r="C188" s="3">
        <v>3.1549926578175097E-2</v>
      </c>
      <c r="D188" s="1">
        <v>68486.012488054679</v>
      </c>
      <c r="E188" s="1">
        <v>3793203</v>
      </c>
      <c r="F188" s="1">
        <v>23203373</v>
      </c>
      <c r="G188" s="16">
        <v>22398.545362502431</v>
      </c>
      <c r="H188">
        <v>225.04</v>
      </c>
      <c r="I188" s="1">
        <v>678.9799999999999</v>
      </c>
      <c r="J188" s="16">
        <v>90884.557850557117</v>
      </c>
      <c r="K188" s="5">
        <v>9.6254383750558808E-2</v>
      </c>
      <c r="L188" s="10">
        <v>255753.73300000001</v>
      </c>
    </row>
    <row r="189" spans="1:12" x14ac:dyDescent="0.25">
      <c r="A189">
        <v>188</v>
      </c>
      <c r="B189" s="3">
        <v>0.20900260047075167</v>
      </c>
      <c r="C189" s="3">
        <v>5.4331398886452179E-2</v>
      </c>
      <c r="D189" s="1">
        <v>99515.258653338155</v>
      </c>
      <c r="E189" s="1">
        <v>3763282</v>
      </c>
      <c r="F189" s="1">
        <v>19843776</v>
      </c>
      <c r="G189" s="16">
        <v>23040.580460998059</v>
      </c>
      <c r="H189">
        <v>141.46</v>
      </c>
      <c r="I189" s="1">
        <v>373.9</v>
      </c>
      <c r="J189" s="16">
        <v>122555.83911433621</v>
      </c>
      <c r="K189" s="5">
        <v>0.11881488081509903</v>
      </c>
      <c r="L189" s="10">
        <v>214707.24679999999</v>
      </c>
    </row>
    <row r="190" spans="1:12" x14ac:dyDescent="0.25">
      <c r="A190">
        <v>189</v>
      </c>
      <c r="B190" s="3">
        <v>0.19030035524556996</v>
      </c>
      <c r="C190" s="3">
        <v>5.3968056963600963E-2</v>
      </c>
      <c r="D190" s="1">
        <v>90762.016086464209</v>
      </c>
      <c r="E190" s="1">
        <v>3199892</v>
      </c>
      <c r="F190" s="1">
        <v>17786771</v>
      </c>
      <c r="G190" s="16">
        <v>22093.376278135973</v>
      </c>
      <c r="H190">
        <v>117.78</v>
      </c>
      <c r="I190" s="1">
        <v>353.21000000000004</v>
      </c>
      <c r="J190" s="16">
        <v>112855.39236460018</v>
      </c>
      <c r="K190" s="5">
        <v>0.10681876943064426</v>
      </c>
      <c r="L190" s="10">
        <v>186931.28529999999</v>
      </c>
    </row>
    <row r="191" spans="1:12" x14ac:dyDescent="0.25">
      <c r="A191">
        <v>190</v>
      </c>
      <c r="B191" s="3">
        <v>0.22409446983028547</v>
      </c>
      <c r="C191" s="3">
        <v>5.0387173715760812E-2</v>
      </c>
      <c r="D191" s="1">
        <v>128862.36801075867</v>
      </c>
      <c r="E191" s="1">
        <v>6654164</v>
      </c>
      <c r="F191" s="1">
        <v>35411387</v>
      </c>
      <c r="G191" s="16">
        <v>33603.442085665491</v>
      </c>
      <c r="H191">
        <v>298.67</v>
      </c>
      <c r="I191" s="1">
        <v>734.34999999999991</v>
      </c>
      <c r="J191" s="16">
        <v>162465.81009642416</v>
      </c>
      <c r="K191" s="5">
        <v>-2.3793790290324569E-2</v>
      </c>
      <c r="L191" s="10">
        <v>-26410.5023</v>
      </c>
    </row>
    <row r="192" spans="1:12" x14ac:dyDescent="0.25">
      <c r="A192">
        <v>191</v>
      </c>
      <c r="B192" s="3">
        <v>0.24089080030612445</v>
      </c>
      <c r="C192" s="3">
        <v>2.1291389148066747E-2</v>
      </c>
      <c r="D192" s="1">
        <v>28019.062269051898</v>
      </c>
      <c r="E192" s="1">
        <v>1198791</v>
      </c>
      <c r="F192" s="1">
        <v>13250305</v>
      </c>
      <c r="G192" s="16">
        <v>16656.097711952192</v>
      </c>
      <c r="H192">
        <v>172.56</v>
      </c>
      <c r="I192" s="1">
        <v>446.58</v>
      </c>
      <c r="J192" s="16">
        <v>44675.159981004093</v>
      </c>
      <c r="K192" s="5">
        <v>0.1555091826370904</v>
      </c>
      <c r="L192" s="10">
        <v>333682.7672</v>
      </c>
    </row>
    <row r="193" spans="1:12" x14ac:dyDescent="0.25">
      <c r="A193">
        <v>192</v>
      </c>
      <c r="B193" s="3">
        <v>0.23676314301793575</v>
      </c>
      <c r="C193" s="3">
        <v>5.3830727040319465E-2</v>
      </c>
      <c r="D193" s="1">
        <v>154037.945625263</v>
      </c>
      <c r="E193" s="1">
        <v>8495578</v>
      </c>
      <c r="F193" s="1">
        <v>28216680</v>
      </c>
      <c r="G193" s="16">
        <v>5642.7764133707287</v>
      </c>
      <c r="H193">
        <v>32.78</v>
      </c>
      <c r="I193" s="1">
        <v>164.3</v>
      </c>
      <c r="J193" s="16">
        <v>159680.72203863374</v>
      </c>
      <c r="K193" s="5">
        <v>7.7812896749379329E-2</v>
      </c>
      <c r="L193" s="10">
        <v>178667.1557</v>
      </c>
    </row>
    <row r="194" spans="1:12" x14ac:dyDescent="0.25">
      <c r="A194">
        <v>193</v>
      </c>
      <c r="B194" s="3">
        <v>0.19052304750473592</v>
      </c>
      <c r="C194" s="3">
        <v>6.7305493073310865E-2</v>
      </c>
      <c r="D194" s="1">
        <v>248768.92327126095</v>
      </c>
      <c r="E194" s="1">
        <v>13396044</v>
      </c>
      <c r="F194" s="1">
        <v>43123287</v>
      </c>
      <c r="G194" s="16">
        <v>20116.870889096284</v>
      </c>
      <c r="H194">
        <v>132.51</v>
      </c>
      <c r="I194" s="1">
        <v>448.52</v>
      </c>
      <c r="J194" s="16">
        <v>268885.79416035721</v>
      </c>
      <c r="K194" s="5">
        <v>0.19055771768869167</v>
      </c>
      <c r="L194" s="10">
        <v>524298.80149999994</v>
      </c>
    </row>
    <row r="195" spans="1:12" x14ac:dyDescent="0.25">
      <c r="A195">
        <v>194</v>
      </c>
      <c r="B195" s="3">
        <v>0.11634374339592304</v>
      </c>
      <c r="C195" s="3">
        <v>5.0026104246693348E-2</v>
      </c>
      <c r="D195" s="1">
        <v>98142.187204376518</v>
      </c>
      <c r="E195" s="1">
        <v>2662006</v>
      </c>
      <c r="F195" s="1">
        <v>11193657</v>
      </c>
      <c r="G195" s="16">
        <v>77285.34500523044</v>
      </c>
      <c r="H195">
        <v>312.63</v>
      </c>
      <c r="I195" s="1">
        <v>871.01</v>
      </c>
      <c r="J195" s="16">
        <v>175427.53220960696</v>
      </c>
      <c r="K195" s="5">
        <v>0.292440121071603</v>
      </c>
      <c r="L195" s="10">
        <v>750194.13430000003</v>
      </c>
    </row>
    <row r="196" spans="1:12" x14ac:dyDescent="0.25">
      <c r="A196">
        <v>195</v>
      </c>
      <c r="B196" s="3">
        <v>0.12975913490563068</v>
      </c>
      <c r="C196" s="3">
        <v>5.476386746191661E-2</v>
      </c>
      <c r="D196" s="1">
        <v>324300.05310743151</v>
      </c>
      <c r="E196" s="1">
        <v>10582588</v>
      </c>
      <c r="F196" s="1">
        <v>37064540</v>
      </c>
      <c r="G196" s="16">
        <v>30639.060230974246</v>
      </c>
      <c r="H196">
        <v>121.84</v>
      </c>
      <c r="I196" s="1">
        <v>445.27</v>
      </c>
      <c r="J196" s="16">
        <v>354939.11333840573</v>
      </c>
      <c r="K196" s="5">
        <v>-1.0235909571802381E-2</v>
      </c>
      <c r="L196" s="10">
        <v>-6553.9807000000001</v>
      </c>
    </row>
    <row r="197" spans="1:12" x14ac:dyDescent="0.25">
      <c r="A197">
        <v>196</v>
      </c>
      <c r="B197" s="3">
        <v>0.1297574009736614</v>
      </c>
      <c r="C197" s="3">
        <v>7.7175857061687059E-2</v>
      </c>
      <c r="D197" s="1">
        <v>179258.62826254679</v>
      </c>
      <c r="E197" s="1">
        <v>5849541</v>
      </c>
      <c r="F197" s="1">
        <v>23339137</v>
      </c>
      <c r="G197" s="16">
        <v>21732.519587582781</v>
      </c>
      <c r="H197">
        <v>75.319999999999993</v>
      </c>
      <c r="I197" s="1">
        <v>275.02999999999997</v>
      </c>
      <c r="J197" s="16">
        <v>200991.14785012958</v>
      </c>
      <c r="K197" s="5">
        <v>6.2287117330483713E-2</v>
      </c>
      <c r="L197" s="10">
        <v>131677.80230000001</v>
      </c>
    </row>
    <row r="198" spans="1:12" x14ac:dyDescent="0.25">
      <c r="A198">
        <v>197</v>
      </c>
      <c r="B198" s="3">
        <v>0.10868180021571974</v>
      </c>
      <c r="C198" s="3">
        <v>4.9567541086558808E-2</v>
      </c>
      <c r="D198" s="1">
        <v>263380.91133687907</v>
      </c>
      <c r="E198" s="1">
        <v>7810086</v>
      </c>
      <c r="F198" s="1">
        <v>34802549</v>
      </c>
      <c r="G198" s="16">
        <v>41577.581739806345</v>
      </c>
      <c r="H198">
        <v>139.91</v>
      </c>
      <c r="I198" s="1">
        <v>390.66999999999996</v>
      </c>
      <c r="J198" s="16">
        <v>304958.49307668541</v>
      </c>
      <c r="K198" s="5">
        <v>7.3884399967952416E-2</v>
      </c>
      <c r="L198" s="10">
        <v>349919.00550000003</v>
      </c>
    </row>
    <row r="199" spans="1:12" x14ac:dyDescent="0.25">
      <c r="A199">
        <v>198</v>
      </c>
      <c r="B199" s="3">
        <v>0.14019402565861402</v>
      </c>
      <c r="C199" s="3">
        <v>2.58085579165571E-2</v>
      </c>
      <c r="D199" s="1">
        <v>303310.23532188765</v>
      </c>
      <c r="E199" s="1">
        <v>10386943</v>
      </c>
      <c r="F199" s="1">
        <v>32408070</v>
      </c>
      <c r="G199" s="16">
        <v>68716.518695348379</v>
      </c>
      <c r="H199">
        <v>345.88</v>
      </c>
      <c r="I199" s="1">
        <v>1137.79</v>
      </c>
      <c r="J199" s="16">
        <v>372026.75401723606</v>
      </c>
      <c r="K199" s="5">
        <v>0.23133215065823204</v>
      </c>
      <c r="L199" s="10">
        <v>2778629.1105999998</v>
      </c>
    </row>
    <row r="200" spans="1:12" x14ac:dyDescent="0.25">
      <c r="A200">
        <v>199</v>
      </c>
      <c r="B200" s="3">
        <v>0.18743706191033249</v>
      </c>
      <c r="C200" s="3">
        <v>4.5946874556077946E-2</v>
      </c>
      <c r="D200" s="1">
        <v>96202.135559710761</v>
      </c>
      <c r="E200" s="1">
        <v>4130094</v>
      </c>
      <c r="F200" s="1">
        <v>22708770</v>
      </c>
      <c r="G200" s="16">
        <v>21453.437745528707</v>
      </c>
      <c r="H200">
        <v>112.19</v>
      </c>
      <c r="I200" s="1">
        <v>327.63</v>
      </c>
      <c r="J200" s="16">
        <v>117655.57330523946</v>
      </c>
      <c r="K200" s="5">
        <v>0.15229227204506399</v>
      </c>
      <c r="L200" s="10">
        <v>361758.03629999998</v>
      </c>
    </row>
    <row r="201" spans="1:12" x14ac:dyDescent="0.25">
      <c r="A201">
        <v>200</v>
      </c>
      <c r="B201" s="3">
        <v>0.14670314872052756</v>
      </c>
      <c r="C201" s="3">
        <v>3.3131929849424625E-2</v>
      </c>
      <c r="D201" s="1">
        <v>462838.74422376056</v>
      </c>
      <c r="E201" s="1">
        <v>19148366</v>
      </c>
      <c r="F201" s="1">
        <v>65657246</v>
      </c>
      <c r="G201" s="16">
        <v>24155.32541966686</v>
      </c>
      <c r="H201">
        <v>94.15</v>
      </c>
      <c r="I201" s="1">
        <v>286.79999999999995</v>
      </c>
      <c r="J201" s="16">
        <v>486994.06964342744</v>
      </c>
      <c r="K201" s="5">
        <v>0.2537340267251309</v>
      </c>
      <c r="L201" s="10">
        <v>2986523.7771999999</v>
      </c>
    </row>
    <row r="202" spans="1:12" x14ac:dyDescent="0.25">
      <c r="A202">
        <v>201</v>
      </c>
      <c r="B202" s="3">
        <v>0.24642984446409322</v>
      </c>
      <c r="C202" s="3">
        <v>2.2629725422908881E-2</v>
      </c>
      <c r="D202" s="1">
        <v>48378.267009262927</v>
      </c>
      <c r="E202" s="1">
        <v>2115838</v>
      </c>
      <c r="F202" s="1">
        <v>15871958</v>
      </c>
      <c r="G202" s="16">
        <v>31751.87940678891</v>
      </c>
      <c r="H202">
        <v>459.13</v>
      </c>
      <c r="I202" s="1">
        <v>1080.1100000000001</v>
      </c>
      <c r="J202" s="16">
        <v>80130.146416051837</v>
      </c>
      <c r="K202" s="5">
        <v>-1.7430046871655377E-2</v>
      </c>
      <c r="L202" s="10">
        <v>-26681.445</v>
      </c>
    </row>
    <row r="203" spans="1:12" x14ac:dyDescent="0.25">
      <c r="A203">
        <v>202</v>
      </c>
      <c r="B203" s="3">
        <v>0.2280037558684474</v>
      </c>
      <c r="C203" s="3">
        <v>5.5885160590241192E-2</v>
      </c>
      <c r="D203" s="1">
        <v>224761.10418430285</v>
      </c>
      <c r="E203" s="1">
        <v>15340791</v>
      </c>
      <c r="F203" s="1">
        <v>66102072</v>
      </c>
      <c r="G203" s="16">
        <v>13495.127204578201</v>
      </c>
      <c r="H203">
        <v>95.87</v>
      </c>
      <c r="I203" s="1">
        <v>345.06000000000006</v>
      </c>
      <c r="J203" s="16">
        <v>238256.23138888105</v>
      </c>
      <c r="K203" s="5">
        <v>7.8410414661748556E-3</v>
      </c>
      <c r="L203" s="10">
        <v>58222.592100000002</v>
      </c>
    </row>
    <row r="204" spans="1:12" x14ac:dyDescent="0.25">
      <c r="A204">
        <v>203</v>
      </c>
      <c r="B204" s="3">
        <v>0.14072723936359777</v>
      </c>
      <c r="C204" s="3">
        <v>7.5215821400147473E-2</v>
      </c>
      <c r="D204" s="1">
        <v>155870.2658456802</v>
      </c>
      <c r="E204" s="1">
        <v>6227457</v>
      </c>
      <c r="F204" s="1">
        <v>44552799</v>
      </c>
      <c r="G204" s="16">
        <v>48820.040485366335</v>
      </c>
      <c r="H204">
        <v>212.39</v>
      </c>
      <c r="I204" s="1">
        <v>552.16999999999996</v>
      </c>
      <c r="J204" s="16">
        <v>204690.30633104654</v>
      </c>
      <c r="K204" s="5">
        <v>6.8925332271220496E-4</v>
      </c>
      <c r="L204" s="10">
        <v>23831.944899999999</v>
      </c>
    </row>
    <row r="205" spans="1:12" x14ac:dyDescent="0.25">
      <c r="A205">
        <v>204</v>
      </c>
      <c r="B205" s="3">
        <v>0.10777252733676855</v>
      </c>
      <c r="C205" s="3">
        <v>2.4657658312737037E-2</v>
      </c>
      <c r="D205" s="1">
        <v>173058.10862805971</v>
      </c>
      <c r="E205" s="1">
        <v>5110838</v>
      </c>
      <c r="F205" s="1">
        <v>26319381</v>
      </c>
      <c r="G205" s="16">
        <v>101118.82638933649</v>
      </c>
      <c r="H205">
        <v>378.64</v>
      </c>
      <c r="I205" s="1">
        <v>933.36</v>
      </c>
      <c r="J205" s="16">
        <v>274176.93501739623</v>
      </c>
      <c r="K205" s="5">
        <v>0.116323592559439</v>
      </c>
      <c r="L205" s="10">
        <v>1144420.1296000001</v>
      </c>
    </row>
    <row r="206" spans="1:12" x14ac:dyDescent="0.25">
      <c r="A206">
        <v>205</v>
      </c>
      <c r="B206" s="3">
        <v>0.1036856117950001</v>
      </c>
      <c r="C206" s="3">
        <v>5.0869050108472771E-2</v>
      </c>
      <c r="D206" s="1">
        <v>150723.41943786014</v>
      </c>
      <c r="E206" s="1">
        <v>4370609</v>
      </c>
      <c r="F206" s="1">
        <v>23309289</v>
      </c>
      <c r="G206" s="16">
        <v>10813.794469087556</v>
      </c>
      <c r="H206">
        <v>28.13</v>
      </c>
      <c r="I206" s="1">
        <v>128.66999999999999</v>
      </c>
      <c r="J206" s="16">
        <v>161537.2139069477</v>
      </c>
      <c r="K206" s="5">
        <v>0.1408783287651548</v>
      </c>
      <c r="L206" s="10">
        <v>331820.13040000002</v>
      </c>
    </row>
    <row r="207" spans="1:12" x14ac:dyDescent="0.25">
      <c r="A207">
        <v>206</v>
      </c>
      <c r="B207" s="3">
        <v>0.21158991825541307</v>
      </c>
      <c r="C207" s="3">
        <v>6.86364574747024E-2</v>
      </c>
      <c r="D207" s="1">
        <v>71396.447221800554</v>
      </c>
      <c r="E207" s="1">
        <v>3458365</v>
      </c>
      <c r="F207" s="1">
        <v>25988853</v>
      </c>
      <c r="G207" s="16">
        <v>18173.227933778304</v>
      </c>
      <c r="H207">
        <v>113.66</v>
      </c>
      <c r="I207" s="1">
        <v>357.84000000000003</v>
      </c>
      <c r="J207" s="16">
        <v>89569.675155578851</v>
      </c>
      <c r="K207" s="5">
        <v>0.19869637506991275</v>
      </c>
      <c r="L207" s="10">
        <v>196932.35920000001</v>
      </c>
    </row>
    <row r="208" spans="1:12" x14ac:dyDescent="0.25">
      <c r="A208">
        <v>207</v>
      </c>
      <c r="B208" s="3">
        <v>0.21339419068533066</v>
      </c>
      <c r="C208" s="3">
        <v>2.8088330659347613E-2</v>
      </c>
      <c r="D208" s="1">
        <v>82057.864223736906</v>
      </c>
      <c r="E208" s="1">
        <v>3155379</v>
      </c>
      <c r="F208" s="1">
        <v>15590037</v>
      </c>
      <c r="G208" s="16">
        <v>15955.638588012682</v>
      </c>
      <c r="H208">
        <v>128.69999999999999</v>
      </c>
      <c r="I208" s="1">
        <v>394.44</v>
      </c>
      <c r="J208" s="16">
        <v>98013.502811749582</v>
      </c>
      <c r="K208" s="5">
        <v>0.17482659565982797</v>
      </c>
      <c r="L208" s="10">
        <v>531516.37760000001</v>
      </c>
    </row>
    <row r="209" spans="1:12" x14ac:dyDescent="0.25">
      <c r="A209">
        <v>208</v>
      </c>
      <c r="B209" s="3">
        <v>0.12453836432950641</v>
      </c>
      <c r="C209" s="3">
        <v>5.8665450407985598E-2</v>
      </c>
      <c r="D209" s="1">
        <v>184584.71811530861</v>
      </c>
      <c r="E209" s="1">
        <v>5148579</v>
      </c>
      <c r="F209" s="1">
        <v>20612488</v>
      </c>
      <c r="G209" s="16">
        <v>75457.927542376347</v>
      </c>
      <c r="H209">
        <v>328.95</v>
      </c>
      <c r="I209" s="1">
        <v>862.06</v>
      </c>
      <c r="J209" s="16">
        <v>260042.64565768495</v>
      </c>
      <c r="K209" s="5">
        <v>0.1314506097229558</v>
      </c>
      <c r="L209" s="10">
        <v>411252.85279999999</v>
      </c>
    </row>
    <row r="210" spans="1:12" x14ac:dyDescent="0.25">
      <c r="A210">
        <v>209</v>
      </c>
      <c r="B210" s="3">
        <v>0.15695225526610868</v>
      </c>
      <c r="C210" s="3">
        <v>3.0065555153923215E-2</v>
      </c>
      <c r="D210" s="1">
        <v>138556.62570605002</v>
      </c>
      <c r="E210" s="1">
        <v>4327862</v>
      </c>
      <c r="F210" s="1">
        <v>18063199</v>
      </c>
      <c r="G210" s="16">
        <v>20381.731422052755</v>
      </c>
      <c r="H210">
        <v>85.49</v>
      </c>
      <c r="I210" s="1">
        <v>308.48</v>
      </c>
      <c r="J210" s="16">
        <v>158938.35712810277</v>
      </c>
      <c r="K210" s="5">
        <v>0.1502146829473224</v>
      </c>
      <c r="L210" s="10">
        <v>678696.8186</v>
      </c>
    </row>
    <row r="211" spans="1:12" x14ac:dyDescent="0.25">
      <c r="A211">
        <v>210</v>
      </c>
      <c r="B211" s="3">
        <v>0.20205650854742224</v>
      </c>
      <c r="C211" s="3">
        <v>7.2272442421864785E-2</v>
      </c>
      <c r="D211" s="1">
        <v>224373.29749693282</v>
      </c>
      <c r="E211" s="1">
        <v>10358230</v>
      </c>
      <c r="F211" s="1">
        <v>34391094</v>
      </c>
      <c r="G211" s="16">
        <v>26817.309477418396</v>
      </c>
      <c r="H211">
        <v>195.92</v>
      </c>
      <c r="I211" s="1">
        <v>635.14</v>
      </c>
      <c r="J211" s="16">
        <v>251190.60697435122</v>
      </c>
      <c r="K211" s="5">
        <v>0.20227164417373861</v>
      </c>
      <c r="L211" s="10">
        <v>452270.2108</v>
      </c>
    </row>
    <row r="212" spans="1:12" x14ac:dyDescent="0.25">
      <c r="A212">
        <v>211</v>
      </c>
      <c r="B212" s="3">
        <v>0.18402874722021928</v>
      </c>
      <c r="C212" s="3">
        <v>2.0488833361244591E-2</v>
      </c>
      <c r="D212" s="1">
        <v>193846.07594939994</v>
      </c>
      <c r="E212" s="1">
        <v>8183912</v>
      </c>
      <c r="F212" s="1">
        <v>34422710</v>
      </c>
      <c r="G212" s="16">
        <v>30780.794833379172</v>
      </c>
      <c r="H212">
        <v>235.66</v>
      </c>
      <c r="I212" s="1">
        <v>936.06</v>
      </c>
      <c r="J212" s="16">
        <v>224626.87078277912</v>
      </c>
      <c r="K212" s="5">
        <v>5.1610850409307386E-2</v>
      </c>
      <c r="L212" s="10">
        <v>560826.36439999996</v>
      </c>
    </row>
    <row r="213" spans="1:12" x14ac:dyDescent="0.25">
      <c r="A213">
        <v>212</v>
      </c>
      <c r="B213" s="3">
        <v>0.18303233914381584</v>
      </c>
      <c r="C213" s="3">
        <v>6.4794138456955488E-2</v>
      </c>
      <c r="D213" s="1">
        <v>89953.371730890212</v>
      </c>
      <c r="E213" s="1">
        <v>3779213</v>
      </c>
      <c r="F213" s="1">
        <v>25422381</v>
      </c>
      <c r="G213" s="16">
        <v>21199.035482352552</v>
      </c>
      <c r="H213">
        <v>107.31</v>
      </c>
      <c r="I213" s="1">
        <v>330.70000000000005</v>
      </c>
      <c r="J213" s="16">
        <v>111152.40721324277</v>
      </c>
      <c r="K213" s="5">
        <v>1.6437723746476309E-2</v>
      </c>
      <c r="L213" s="10">
        <v>43710.563900000001</v>
      </c>
    </row>
    <row r="214" spans="1:12" x14ac:dyDescent="0.25">
      <c r="A214">
        <v>213</v>
      </c>
      <c r="B214" s="3">
        <v>0.24275219984148397</v>
      </c>
      <c r="C214" s="3">
        <v>2.7426366171281649E-2</v>
      </c>
      <c r="D214" s="1">
        <v>42583.360062604326</v>
      </c>
      <c r="E214" s="1">
        <v>1835392</v>
      </c>
      <c r="F214" s="1">
        <v>11519820</v>
      </c>
      <c r="G214" s="16">
        <v>12985.005908015915</v>
      </c>
      <c r="H214">
        <v>103.72</v>
      </c>
      <c r="I214" s="1">
        <v>382.96000000000004</v>
      </c>
      <c r="J214" s="16">
        <v>55568.365970620245</v>
      </c>
      <c r="K214" s="5">
        <v>0.25723110192705173</v>
      </c>
      <c r="L214" s="10">
        <v>453308.33620000002</v>
      </c>
    </row>
    <row r="215" spans="1:12" x14ac:dyDescent="0.25">
      <c r="A215">
        <v>214</v>
      </c>
      <c r="B215" s="3">
        <v>0.24940189676147909</v>
      </c>
      <c r="C215" s="3">
        <v>2.1201886552756042E-2</v>
      </c>
      <c r="D215" s="1">
        <v>83733.290593185186</v>
      </c>
      <c r="E215" s="1">
        <v>4937083</v>
      </c>
      <c r="F215" s="1">
        <v>23962454</v>
      </c>
      <c r="G215" s="16">
        <v>10511.169093864621</v>
      </c>
      <c r="H215">
        <v>88.46</v>
      </c>
      <c r="I215" s="1">
        <v>243.96999999999997</v>
      </c>
      <c r="J215" s="16">
        <v>94244.459687049806</v>
      </c>
      <c r="K215" s="5">
        <v>-2.6133601118658457E-2</v>
      </c>
      <c r="L215" s="10">
        <v>-81338.840200000006</v>
      </c>
    </row>
    <row r="216" spans="1:12" x14ac:dyDescent="0.25">
      <c r="A216">
        <v>215</v>
      </c>
      <c r="B216" s="3">
        <v>0.10752994124598728</v>
      </c>
      <c r="C216" s="3">
        <v>5.112093393848547E-2</v>
      </c>
      <c r="D216" s="1">
        <v>199310.88207980411</v>
      </c>
      <c r="E216" s="1">
        <v>5879765</v>
      </c>
      <c r="F216" s="1">
        <v>31561554</v>
      </c>
      <c r="G216" s="16">
        <v>31606.643741252687</v>
      </c>
      <c r="H216">
        <v>94.09</v>
      </c>
      <c r="I216" s="1">
        <v>339.49</v>
      </c>
      <c r="J216" s="16">
        <v>230917.5258210568</v>
      </c>
      <c r="K216" s="5">
        <v>0.25133852991805655</v>
      </c>
      <c r="L216" s="10">
        <v>865073.11430000002</v>
      </c>
    </row>
    <row r="217" spans="1:12" x14ac:dyDescent="0.25">
      <c r="A217">
        <v>216</v>
      </c>
      <c r="B217" s="3">
        <v>0.19583735795613089</v>
      </c>
      <c r="C217" s="3">
        <v>3.9156771794536915E-2</v>
      </c>
      <c r="D217" s="1">
        <v>32940.686930360338</v>
      </c>
      <c r="E217" s="1">
        <v>953338</v>
      </c>
      <c r="F217" s="1">
        <v>8828292</v>
      </c>
      <c r="G217" s="16">
        <v>15677.291725065035</v>
      </c>
      <c r="H217">
        <v>108.38</v>
      </c>
      <c r="I217" s="1">
        <v>399.9</v>
      </c>
      <c r="J217" s="16">
        <v>48617.978655425373</v>
      </c>
      <c r="K217" s="5">
        <v>7.0561588803848913E-2</v>
      </c>
      <c r="L217" s="10">
        <v>93585.836800000005</v>
      </c>
    </row>
    <row r="218" spans="1:12" x14ac:dyDescent="0.25">
      <c r="A218">
        <v>217</v>
      </c>
      <c r="B218" s="3">
        <v>0.24376607780016346</v>
      </c>
      <c r="C218" s="3">
        <v>6.7112077294263842E-2</v>
      </c>
      <c r="D218" s="1">
        <v>184182.37287602288</v>
      </c>
      <c r="E218" s="1">
        <v>13937052</v>
      </c>
      <c r="F218" s="1">
        <v>61486203</v>
      </c>
      <c r="G218" s="16">
        <v>11855.290293431757</v>
      </c>
      <c r="H218">
        <v>95.32</v>
      </c>
      <c r="I218" s="1">
        <v>258.82</v>
      </c>
      <c r="J218" s="16">
        <v>196037.66316945464</v>
      </c>
      <c r="K218" s="5">
        <v>6.6836654502884202E-2</v>
      </c>
      <c r="L218" s="10">
        <v>157094.46410000001</v>
      </c>
    </row>
    <row r="219" spans="1:12" x14ac:dyDescent="0.25">
      <c r="A219">
        <v>218</v>
      </c>
      <c r="B219" s="3">
        <v>0.14714136462937799</v>
      </c>
      <c r="C219" s="3">
        <v>3.1265617322517467E-2</v>
      </c>
      <c r="D219" s="1">
        <v>197329.15836497978</v>
      </c>
      <c r="E219" s="1">
        <v>6980488</v>
      </c>
      <c r="F219" s="1">
        <v>30816186</v>
      </c>
      <c r="G219" s="16">
        <v>19820.675172226296</v>
      </c>
      <c r="H219">
        <v>77.459999999999994</v>
      </c>
      <c r="I219" s="1">
        <v>338.9</v>
      </c>
      <c r="J219" s="16">
        <v>217149.83353720608</v>
      </c>
      <c r="K219" s="5">
        <v>0.16971608289267498</v>
      </c>
      <c r="L219" s="10">
        <v>986725.46779999998</v>
      </c>
    </row>
    <row r="220" spans="1:12" x14ac:dyDescent="0.25">
      <c r="A220">
        <v>219</v>
      </c>
      <c r="B220" s="3">
        <v>0.17356838090461468</v>
      </c>
      <c r="C220" s="3">
        <v>5.1652932266765594E-2</v>
      </c>
      <c r="D220" s="1">
        <v>171924.24478703691</v>
      </c>
      <c r="E220" s="1">
        <v>6897827</v>
      </c>
      <c r="F220" s="1">
        <v>30413992</v>
      </c>
      <c r="G220" s="16">
        <v>25699.540453512895</v>
      </c>
      <c r="H220">
        <v>121.2</v>
      </c>
      <c r="I220" s="1">
        <v>367.59</v>
      </c>
      <c r="J220" s="16">
        <v>197623.7852405498</v>
      </c>
      <c r="K220" s="5">
        <v>0.1761459536883016</v>
      </c>
      <c r="L220" s="10">
        <v>513400.81300000002</v>
      </c>
    </row>
    <row r="221" spans="1:12" x14ac:dyDescent="0.25">
      <c r="A221">
        <v>220</v>
      </c>
      <c r="B221" s="3">
        <v>0.12103348946558022</v>
      </c>
      <c r="C221" s="3">
        <v>4.7126766491016409E-2</v>
      </c>
      <c r="D221" s="1">
        <v>64904.479410847554</v>
      </c>
      <c r="E221" s="1">
        <v>2035111</v>
      </c>
      <c r="F221" s="1">
        <v>21820926</v>
      </c>
      <c r="G221" s="16">
        <v>19182.509887979537</v>
      </c>
      <c r="H221">
        <v>55.19</v>
      </c>
      <c r="I221" s="1">
        <v>159.08000000000001</v>
      </c>
      <c r="J221" s="16">
        <v>84086.989298827088</v>
      </c>
      <c r="K221" s="5">
        <v>0.18135052029953783</v>
      </c>
      <c r="L221" s="10">
        <v>266956.40330000001</v>
      </c>
    </row>
    <row r="222" spans="1:12" x14ac:dyDescent="0.25">
      <c r="A222">
        <v>221</v>
      </c>
      <c r="B222" s="3">
        <v>0.16630343012209214</v>
      </c>
      <c r="C222" s="3">
        <v>2.1194181412950965E-2</v>
      </c>
      <c r="D222" s="1">
        <v>217615.18837194351</v>
      </c>
      <c r="E222" s="1">
        <v>8430634</v>
      </c>
      <c r="F222" s="1">
        <v>38519361</v>
      </c>
      <c r="G222" s="16">
        <v>25429.080060540287</v>
      </c>
      <c r="H222">
        <v>113.91</v>
      </c>
      <c r="I222" s="1">
        <v>322.49</v>
      </c>
      <c r="J222" s="16">
        <v>243044.2684324838</v>
      </c>
      <c r="K222" s="5">
        <v>6.8182593197931976E-2</v>
      </c>
      <c r="L222" s="10">
        <v>727699.16949999996</v>
      </c>
    </row>
    <row r="223" spans="1:12" x14ac:dyDescent="0.25">
      <c r="A223">
        <v>222</v>
      </c>
      <c r="B223" s="3">
        <v>0.13384286471066478</v>
      </c>
      <c r="C223" s="3">
        <v>4.7951991363111471E-2</v>
      </c>
      <c r="D223" s="1">
        <v>123711.18302671264</v>
      </c>
      <c r="E223" s="1">
        <v>4113627</v>
      </c>
      <c r="F223" s="1">
        <v>24272498</v>
      </c>
      <c r="G223" s="16">
        <v>14770.258042604321</v>
      </c>
      <c r="H223">
        <v>45.61</v>
      </c>
      <c r="I223" s="1">
        <v>132.66</v>
      </c>
      <c r="J223" s="16">
        <v>138481.44106931696</v>
      </c>
      <c r="K223" s="5">
        <v>0.28990467998218694</v>
      </c>
      <c r="L223" s="10">
        <v>667642.65049999999</v>
      </c>
    </row>
    <row r="224" spans="1:12" x14ac:dyDescent="0.25">
      <c r="A224">
        <v>223</v>
      </c>
      <c r="B224" s="3">
        <v>0.16754854360313681</v>
      </c>
      <c r="C224" s="3">
        <v>6.7791666342851067E-2</v>
      </c>
      <c r="D224" s="1">
        <v>281714.85886716418</v>
      </c>
      <c r="E224" s="1">
        <v>10979355</v>
      </c>
      <c r="F224" s="1">
        <v>39621596</v>
      </c>
      <c r="G224" s="16">
        <v>23960.701584279526</v>
      </c>
      <c r="H224">
        <v>130</v>
      </c>
      <c r="I224" s="1">
        <v>584</v>
      </c>
      <c r="J224" s="16">
        <v>305675.56045144371</v>
      </c>
      <c r="K224" s="5">
        <v>9.206883308142888E-2</v>
      </c>
      <c r="L224" s="10">
        <v>290147.3126</v>
      </c>
    </row>
    <row r="225" spans="1:12" x14ac:dyDescent="0.25">
      <c r="A225">
        <v>224</v>
      </c>
      <c r="B225" s="3">
        <v>0.18287535962037726</v>
      </c>
      <c r="C225" s="3">
        <v>6.4893036765018647E-2</v>
      </c>
      <c r="D225" s="1">
        <v>182775.04447436487</v>
      </c>
      <c r="E225" s="1">
        <v>7673022</v>
      </c>
      <c r="F225" s="1">
        <v>32076204</v>
      </c>
      <c r="G225" s="16">
        <v>42644.202745768162</v>
      </c>
      <c r="H225">
        <v>323.13</v>
      </c>
      <c r="I225" s="1">
        <v>951.03</v>
      </c>
      <c r="J225" s="16">
        <v>225419.24722013302</v>
      </c>
      <c r="K225" s="5">
        <v>-0.12058031890511541</v>
      </c>
      <c r="L225" s="10">
        <v>-247276.73509999999</v>
      </c>
    </row>
    <row r="226" spans="1:12" x14ac:dyDescent="0.25">
      <c r="A226">
        <v>225</v>
      </c>
      <c r="B226" s="3">
        <v>0.10722034186473142</v>
      </c>
      <c r="C226" s="3">
        <v>4.2579929958553045E-2</v>
      </c>
      <c r="D226" s="1">
        <v>118169.50353039187</v>
      </c>
      <c r="E226" s="1">
        <v>3107958</v>
      </c>
      <c r="F226" s="1">
        <v>14214058</v>
      </c>
      <c r="G226" s="16">
        <v>90226.212681719408</v>
      </c>
      <c r="H226">
        <v>336.68</v>
      </c>
      <c r="I226" s="1">
        <v>847.61999999999989</v>
      </c>
      <c r="J226" s="16">
        <v>208395.71621211129</v>
      </c>
      <c r="K226" s="5">
        <v>0.32038305779425669</v>
      </c>
      <c r="L226" s="10">
        <v>1180423.0593999999</v>
      </c>
    </row>
    <row r="227" spans="1:12" x14ac:dyDescent="0.25">
      <c r="A227">
        <v>226</v>
      </c>
      <c r="B227" s="3">
        <v>0.18202410689944976</v>
      </c>
      <c r="C227" s="3">
        <v>2.4959576357220185E-2</v>
      </c>
      <c r="D227" s="1">
        <v>65718.893224537765</v>
      </c>
      <c r="E227" s="1">
        <v>2247354</v>
      </c>
      <c r="F227" s="1">
        <v>14229091</v>
      </c>
      <c r="G227" s="16">
        <v>47846.450132734244</v>
      </c>
      <c r="H227">
        <v>359</v>
      </c>
      <c r="I227" s="1">
        <v>843</v>
      </c>
      <c r="J227" s="16">
        <v>113565.34335727201</v>
      </c>
      <c r="K227" s="5">
        <v>1.2340217155174207E-2</v>
      </c>
      <c r="L227" s="10">
        <v>57645.310799999999</v>
      </c>
    </row>
    <row r="228" spans="1:12" x14ac:dyDescent="0.25">
      <c r="A228">
        <v>227</v>
      </c>
      <c r="B228" s="3">
        <v>0.15493442978622085</v>
      </c>
      <c r="C228" s="3">
        <v>4.1594130937154486E-2</v>
      </c>
      <c r="D228" s="1">
        <v>684201.31158330722</v>
      </c>
      <c r="E228" s="1">
        <v>35159624</v>
      </c>
      <c r="F228" s="1">
        <v>102436096</v>
      </c>
      <c r="G228" s="16">
        <v>31488.374688943484</v>
      </c>
      <c r="H228">
        <v>153.91999999999999</v>
      </c>
      <c r="I228" s="1">
        <v>465.5</v>
      </c>
      <c r="J228" s="16">
        <v>715689.68627225072</v>
      </c>
      <c r="K228" s="5">
        <v>4.8674858245277744E-2</v>
      </c>
      <c r="L228" s="10">
        <v>616298.33330000006</v>
      </c>
    </row>
    <row r="229" spans="1:12" x14ac:dyDescent="0.25">
      <c r="A229">
        <v>228</v>
      </c>
      <c r="B229" s="3">
        <v>0.18886188939219689</v>
      </c>
      <c r="C229" s="3">
        <v>5.2492060904305193E-2</v>
      </c>
      <c r="D229" s="1">
        <v>210971.92807964314</v>
      </c>
      <c r="E229" s="1">
        <v>9121131</v>
      </c>
      <c r="F229" s="1">
        <v>35985623</v>
      </c>
      <c r="G229" s="16">
        <v>17411.769041648953</v>
      </c>
      <c r="H229">
        <v>91.81</v>
      </c>
      <c r="I229" s="1">
        <v>256.39999999999998</v>
      </c>
      <c r="J229" s="16">
        <v>228383.69712129209</v>
      </c>
      <c r="K229" s="5">
        <v>8.0533978487662389E-2</v>
      </c>
      <c r="L229" s="10">
        <v>283061.27269999997</v>
      </c>
    </row>
    <row r="230" spans="1:12" x14ac:dyDescent="0.25">
      <c r="A230">
        <v>229</v>
      </c>
      <c r="B230" s="3">
        <v>0.21194813071869834</v>
      </c>
      <c r="C230" s="3">
        <v>6.9059322904832354E-2</v>
      </c>
      <c r="D230" s="1">
        <v>120140.63747329591</v>
      </c>
      <c r="E230" s="1">
        <v>5830067</v>
      </c>
      <c r="F230" s="1">
        <v>32767351</v>
      </c>
      <c r="G230" s="16">
        <v>28581.055718938926</v>
      </c>
      <c r="H230">
        <v>227.87</v>
      </c>
      <c r="I230" s="1">
        <v>611.65000000000009</v>
      </c>
      <c r="J230" s="16">
        <v>148721.69319223484</v>
      </c>
      <c r="K230" s="5">
        <v>0.18202783050993895</v>
      </c>
      <c r="L230" s="10">
        <v>286821.67719999998</v>
      </c>
    </row>
    <row r="231" spans="1:12" x14ac:dyDescent="0.25">
      <c r="A231">
        <v>230</v>
      </c>
      <c r="B231" s="3">
        <v>0.1740128845447555</v>
      </c>
      <c r="C231" s="3">
        <v>2.764890509705652E-2</v>
      </c>
      <c r="D231" s="1">
        <v>65600.558993146129</v>
      </c>
      <c r="E231" s="1">
        <v>2178669</v>
      </c>
      <c r="F231" s="1">
        <v>12787493</v>
      </c>
      <c r="G231" s="16">
        <v>24649.26560029131</v>
      </c>
      <c r="H231">
        <v>141.36000000000001</v>
      </c>
      <c r="I231" s="1">
        <v>401.91</v>
      </c>
      <c r="J231" s="16">
        <v>90249.824593437443</v>
      </c>
      <c r="K231" s="5">
        <v>8.3046993340796293E-2</v>
      </c>
      <c r="L231" s="10">
        <v>247579.15150000001</v>
      </c>
    </row>
    <row r="232" spans="1:12" x14ac:dyDescent="0.25">
      <c r="A232">
        <v>231</v>
      </c>
      <c r="B232" s="3">
        <v>0.16056138479682039</v>
      </c>
      <c r="C232" s="3">
        <v>2.2888824956781108E-2</v>
      </c>
      <c r="D232" s="1">
        <v>155165.0027798354</v>
      </c>
      <c r="E232" s="1">
        <v>4909416</v>
      </c>
      <c r="F232" s="1">
        <v>20262892</v>
      </c>
      <c r="G232" s="16">
        <v>52520.031282252588</v>
      </c>
      <c r="H232">
        <v>269.14999999999998</v>
      </c>
      <c r="I232" s="1">
        <v>628.9</v>
      </c>
      <c r="J232" s="16">
        <v>207685.034062088</v>
      </c>
      <c r="K232" s="5">
        <v>0.10572932633478785</v>
      </c>
      <c r="L232" s="10">
        <v>846958.17220000003</v>
      </c>
    </row>
    <row r="233" spans="1:12" x14ac:dyDescent="0.25">
      <c r="A233">
        <v>232</v>
      </c>
      <c r="B233" s="3">
        <v>0.19650601922779559</v>
      </c>
      <c r="C233" s="3">
        <v>6.6017397044534437E-2</v>
      </c>
      <c r="D233" s="1">
        <v>248172.73716457066</v>
      </c>
      <c r="E233" s="1">
        <v>13868967</v>
      </c>
      <c r="F233" s="1">
        <v>47439422</v>
      </c>
      <c r="G233" s="16">
        <v>39666.419254962428</v>
      </c>
      <c r="H233">
        <v>344.05</v>
      </c>
      <c r="I233" s="1">
        <v>966.78</v>
      </c>
      <c r="J233" s="16">
        <v>287839.15641953307</v>
      </c>
      <c r="K233" s="5">
        <v>8.8514184062635615E-2</v>
      </c>
      <c r="L233" s="10">
        <v>266252.6434</v>
      </c>
    </row>
    <row r="234" spans="1:12" x14ac:dyDescent="0.25">
      <c r="A234">
        <v>233</v>
      </c>
      <c r="B234" s="3">
        <v>0.13709365741369445</v>
      </c>
      <c r="C234" s="3">
        <v>7.6339336507786584E-2</v>
      </c>
      <c r="D234" s="1">
        <v>1124460.2047045182</v>
      </c>
      <c r="E234" s="1">
        <v>50975958</v>
      </c>
      <c r="F234" s="1">
        <v>131149210</v>
      </c>
      <c r="G234" s="16">
        <v>35653.509426198529</v>
      </c>
      <c r="H234">
        <v>150.47999999999999</v>
      </c>
      <c r="I234" s="1">
        <v>447.16999999999996</v>
      </c>
      <c r="J234" s="16">
        <v>1160113.7141307166</v>
      </c>
      <c r="K234" s="5">
        <v>1.6664906489307754E-2</v>
      </c>
      <c r="L234" s="10">
        <v>195892.34710000001</v>
      </c>
    </row>
    <row r="235" spans="1:12" x14ac:dyDescent="0.25">
      <c r="A235">
        <v>234</v>
      </c>
      <c r="B235" s="3">
        <v>0.13228601700034576</v>
      </c>
      <c r="C235" s="3">
        <v>5.3358632080009155E-2</v>
      </c>
      <c r="D235" s="1">
        <v>66546.306884739475</v>
      </c>
      <c r="E235" s="1">
        <v>1906326</v>
      </c>
      <c r="F235" s="1">
        <v>16459802</v>
      </c>
      <c r="G235" s="16">
        <v>28213.773877517902</v>
      </c>
      <c r="H235">
        <v>114.83</v>
      </c>
      <c r="I235" s="1">
        <v>385.34</v>
      </c>
      <c r="J235" s="16">
        <v>94760.080762257378</v>
      </c>
      <c r="K235" s="5">
        <v>0.11618303313876169</v>
      </c>
      <c r="L235" s="10">
        <v>177229.92420000001</v>
      </c>
    </row>
    <row r="236" spans="1:12" x14ac:dyDescent="0.25">
      <c r="A236">
        <v>235</v>
      </c>
      <c r="B236" s="3">
        <v>0.2354113869781975</v>
      </c>
      <c r="C236" s="3">
        <v>4.6429414638482477E-2</v>
      </c>
      <c r="D236" s="1">
        <v>131153.80583961873</v>
      </c>
      <c r="E236" s="1">
        <v>9393878</v>
      </c>
      <c r="F236" s="1">
        <v>45862750</v>
      </c>
      <c r="G236" s="16">
        <v>6126.9290620767924</v>
      </c>
      <c r="H236">
        <v>46.14</v>
      </c>
      <c r="I236" s="1">
        <v>223.95999999999998</v>
      </c>
      <c r="J236" s="16">
        <v>137280.73490169551</v>
      </c>
      <c r="K236" s="5">
        <v>0.12895735355308249</v>
      </c>
      <c r="L236" s="10">
        <v>361518.48479999998</v>
      </c>
    </row>
    <row r="237" spans="1:12" x14ac:dyDescent="0.25">
      <c r="A237">
        <v>236</v>
      </c>
      <c r="B237" s="3">
        <v>0.12100053004338987</v>
      </c>
      <c r="C237" s="3">
        <v>6.842155487422974E-2</v>
      </c>
      <c r="D237" s="1">
        <v>78136.264776163676</v>
      </c>
      <c r="E237" s="1">
        <v>2153225</v>
      </c>
      <c r="F237" s="1">
        <v>13384688</v>
      </c>
      <c r="G237" s="16">
        <v>27245.416987672892</v>
      </c>
      <c r="H237">
        <v>88.9</v>
      </c>
      <c r="I237" s="1">
        <v>336.73</v>
      </c>
      <c r="J237" s="16">
        <v>105381.68176383656</v>
      </c>
      <c r="K237" s="5">
        <v>8.8819483707657923E-2</v>
      </c>
      <c r="L237" s="10">
        <v>119992.6492</v>
      </c>
    </row>
    <row r="238" spans="1:12" x14ac:dyDescent="0.25">
      <c r="A238">
        <v>237</v>
      </c>
      <c r="B238" s="3">
        <v>0.16381679723176368</v>
      </c>
      <c r="C238" s="3">
        <v>2.0044808932046198E-2</v>
      </c>
      <c r="D238" s="1">
        <v>403864.83086432621</v>
      </c>
      <c r="E238" s="1">
        <v>15460853</v>
      </c>
      <c r="F238" s="1">
        <v>42128790</v>
      </c>
      <c r="G238" s="16">
        <v>58760.91285407103</v>
      </c>
      <c r="H238">
        <v>309.56</v>
      </c>
      <c r="I238" s="1">
        <v>725.37</v>
      </c>
      <c r="J238" s="16">
        <v>462625.74371839722</v>
      </c>
      <c r="K238" s="5">
        <v>0.17917051028324316</v>
      </c>
      <c r="L238" s="10">
        <v>3589506.4487000001</v>
      </c>
    </row>
    <row r="239" spans="1:12" x14ac:dyDescent="0.25">
      <c r="A239">
        <v>238</v>
      </c>
      <c r="B239" s="3">
        <v>0.18688023391970249</v>
      </c>
      <c r="C239" s="3">
        <v>5.7774206349428564E-2</v>
      </c>
      <c r="D239" s="1">
        <v>118180.73659047822</v>
      </c>
      <c r="E239" s="1">
        <v>4114200</v>
      </c>
      <c r="F239" s="1">
        <v>20731099</v>
      </c>
      <c r="G239" s="16">
        <v>27275.955953850887</v>
      </c>
      <c r="H239">
        <v>174.72</v>
      </c>
      <c r="I239" s="1">
        <v>473.13</v>
      </c>
      <c r="J239" s="16">
        <v>145456.6925443291</v>
      </c>
      <c r="K239" s="5">
        <v>0.1229414837488729</v>
      </c>
      <c r="L239" s="10">
        <v>262062.31969999999</v>
      </c>
    </row>
    <row r="240" spans="1:12" x14ac:dyDescent="0.25">
      <c r="A240">
        <v>239</v>
      </c>
      <c r="B240" s="3">
        <v>0.16588947015618613</v>
      </c>
      <c r="C240" s="3">
        <v>6.1069130009941991E-2</v>
      </c>
      <c r="D240" s="1">
        <v>291163.09059488575</v>
      </c>
      <c r="E240" s="1">
        <v>11257568</v>
      </c>
      <c r="F240" s="1">
        <v>41930012</v>
      </c>
      <c r="G240" s="16">
        <v>38696.166485795133</v>
      </c>
      <c r="H240">
        <v>207.28</v>
      </c>
      <c r="I240" s="1">
        <v>510.65999999999997</v>
      </c>
      <c r="J240" s="16">
        <v>329859.25708068087</v>
      </c>
      <c r="K240" s="5">
        <v>0.1867720651553085</v>
      </c>
      <c r="L240" s="10">
        <v>680249.36450000003</v>
      </c>
    </row>
    <row r="241" spans="1:12" x14ac:dyDescent="0.25">
      <c r="A241">
        <v>240</v>
      </c>
      <c r="B241" s="3">
        <v>0.1396792424826751</v>
      </c>
      <c r="C241" s="3">
        <v>2.3924734076056151E-2</v>
      </c>
      <c r="D241" s="1">
        <v>166118.85370386019</v>
      </c>
      <c r="E241" s="1">
        <v>5675185</v>
      </c>
      <c r="F241" s="1">
        <v>23394437</v>
      </c>
      <c r="G241" s="16">
        <v>19227.433641721818</v>
      </c>
      <c r="H241">
        <v>71.2</v>
      </c>
      <c r="I241" s="1">
        <v>252.45999999999998</v>
      </c>
      <c r="J241" s="16">
        <v>185346.28734558201</v>
      </c>
      <c r="K241" s="5">
        <v>-9.9033632044002909E-2</v>
      </c>
      <c r="L241" s="10">
        <v>-643841.022</v>
      </c>
    </row>
    <row r="242" spans="1:12" x14ac:dyDescent="0.25">
      <c r="A242">
        <v>241</v>
      </c>
      <c r="B242" s="3">
        <v>0.23541816557706557</v>
      </c>
      <c r="C242" s="3">
        <v>6.2311623319378895E-2</v>
      </c>
      <c r="D242" s="1">
        <v>86617.367489948447</v>
      </c>
      <c r="E242" s="1">
        <v>3626898</v>
      </c>
      <c r="F242" s="1">
        <v>17802991</v>
      </c>
      <c r="G242" s="16">
        <v>17364.015380368968</v>
      </c>
      <c r="H242">
        <v>170.8</v>
      </c>
      <c r="I242" s="1">
        <v>530.95000000000005</v>
      </c>
      <c r="J242" s="16">
        <v>103981.38287031741</v>
      </c>
      <c r="K242" s="5">
        <v>-7.7934321744461743E-2</v>
      </c>
      <c r="L242" s="10">
        <v>-67770.099700000006</v>
      </c>
    </row>
    <row r="243" spans="1:12" x14ac:dyDescent="0.25">
      <c r="A243">
        <v>242</v>
      </c>
      <c r="B243" s="3">
        <v>0.16225539563291766</v>
      </c>
      <c r="C243" s="3">
        <v>3.6085519818537706E-2</v>
      </c>
      <c r="D243" s="1">
        <v>198200.79719980975</v>
      </c>
      <c r="E243" s="1">
        <v>8989797</v>
      </c>
      <c r="F243" s="1">
        <v>52021094</v>
      </c>
      <c r="G243" s="16">
        <v>42464.77062090797</v>
      </c>
      <c r="H243">
        <v>220.55</v>
      </c>
      <c r="I243" s="1">
        <v>568.75</v>
      </c>
      <c r="J243" s="16">
        <v>240665.56782071773</v>
      </c>
      <c r="K243" s="5">
        <v>5.6521448484078404E-2</v>
      </c>
      <c r="L243" s="10">
        <v>306993.45699999999</v>
      </c>
    </row>
    <row r="244" spans="1:12" x14ac:dyDescent="0.25">
      <c r="A244">
        <v>243</v>
      </c>
      <c r="B244" s="3">
        <v>0.24515966766930833</v>
      </c>
      <c r="C244" s="3">
        <v>4.0917038687523305E-2</v>
      </c>
      <c r="D244" s="1">
        <v>289794.3816841048</v>
      </c>
      <c r="E244" s="1">
        <v>29319897</v>
      </c>
      <c r="F244" s="1">
        <v>95199990</v>
      </c>
      <c r="G244" s="16">
        <v>10814.41611115126</v>
      </c>
      <c r="H244">
        <v>87.93</v>
      </c>
      <c r="I244" s="1">
        <v>338.4</v>
      </c>
      <c r="J244" s="16">
        <v>300608.79779525608</v>
      </c>
      <c r="K244" s="5">
        <v>1.6677639349202966E-2</v>
      </c>
      <c r="L244" s="10">
        <v>159397.62479999999</v>
      </c>
    </row>
    <row r="245" spans="1:12" x14ac:dyDescent="0.25">
      <c r="A245">
        <v>244</v>
      </c>
      <c r="B245" s="3">
        <v>0.12121740373915567</v>
      </c>
      <c r="C245" s="3">
        <v>3.3122002803134251E-2</v>
      </c>
      <c r="D245" s="1">
        <v>279735.89345395047</v>
      </c>
      <c r="E245" s="1">
        <v>8778598</v>
      </c>
      <c r="F245" s="1">
        <v>38890326</v>
      </c>
      <c r="G245" s="16">
        <v>24704.796617830823</v>
      </c>
      <c r="H245">
        <v>91.8</v>
      </c>
      <c r="I245" s="1">
        <v>389.29</v>
      </c>
      <c r="J245" s="16">
        <v>304440.69007178128</v>
      </c>
      <c r="K245" s="5">
        <v>9.8156656502744299E-2</v>
      </c>
      <c r="L245" s="10">
        <v>820989.96829999995</v>
      </c>
    </row>
    <row r="246" spans="1:12" x14ac:dyDescent="0.25">
      <c r="A246">
        <v>245</v>
      </c>
      <c r="B246" s="3">
        <v>0.19908310686114267</v>
      </c>
      <c r="C246" s="3">
        <v>6.5744688940840373E-2</v>
      </c>
      <c r="D246" s="1">
        <v>142152.13419936644</v>
      </c>
      <c r="E246" s="1">
        <v>6465560</v>
      </c>
      <c r="F246" s="1">
        <v>31854104</v>
      </c>
      <c r="G246" s="16">
        <v>5525.8989603224218</v>
      </c>
      <c r="H246">
        <v>25.23</v>
      </c>
      <c r="I246" s="1">
        <v>112.19</v>
      </c>
      <c r="J246" s="16">
        <v>147678.03315968887</v>
      </c>
      <c r="K246" s="5">
        <v>2.8808942855764186E-2</v>
      </c>
      <c r="L246" s="10">
        <v>54817.399700000002</v>
      </c>
    </row>
    <row r="247" spans="1:12" x14ac:dyDescent="0.25">
      <c r="A247">
        <v>246</v>
      </c>
      <c r="B247" s="3">
        <v>0.11017358642134389</v>
      </c>
      <c r="C247" s="3">
        <v>5.8453137589965704E-2</v>
      </c>
      <c r="D247" s="1">
        <v>409983.62862206623</v>
      </c>
      <c r="E247" s="1">
        <v>13754449</v>
      </c>
      <c r="F247" s="1">
        <v>52891841</v>
      </c>
      <c r="G247" s="16">
        <v>32195.628556157033</v>
      </c>
      <c r="H247">
        <v>97.36</v>
      </c>
      <c r="I247" s="1">
        <v>290.23</v>
      </c>
      <c r="J247" s="16">
        <v>442179.25717822328</v>
      </c>
      <c r="K247" s="5">
        <v>5.6122206262990103E-2</v>
      </c>
      <c r="L247" s="10">
        <v>317282.73239999998</v>
      </c>
    </row>
    <row r="248" spans="1:12" x14ac:dyDescent="0.25">
      <c r="A248">
        <v>247</v>
      </c>
      <c r="B248" s="3">
        <v>0.24969971566940841</v>
      </c>
      <c r="C248" s="3">
        <v>3.7426557769483781E-2</v>
      </c>
      <c r="D248" s="1">
        <v>97736.984193880271</v>
      </c>
      <c r="E248" s="1">
        <v>4330684</v>
      </c>
      <c r="F248" s="1">
        <v>20105048</v>
      </c>
      <c r="G248" s="16">
        <v>12979.347458793261</v>
      </c>
      <c r="H248">
        <v>145.91999999999999</v>
      </c>
      <c r="I248" s="1">
        <v>410.65</v>
      </c>
      <c r="J248" s="16">
        <v>110716.33165267353</v>
      </c>
      <c r="K248" s="5">
        <v>0.2042876947382859</v>
      </c>
      <c r="L248" s="10">
        <v>504189.78509999998</v>
      </c>
    </row>
    <row r="249" spans="1:12" x14ac:dyDescent="0.25">
      <c r="A249">
        <v>248</v>
      </c>
      <c r="B249" s="3">
        <v>0.22243394949293491</v>
      </c>
      <c r="C249" s="3">
        <v>6.374144214936131E-2</v>
      </c>
      <c r="D249" s="1">
        <v>125668.09468115239</v>
      </c>
      <c r="E249" s="1">
        <v>6433961</v>
      </c>
      <c r="F249" s="1">
        <v>33943863</v>
      </c>
      <c r="G249" s="16">
        <v>29287.672540382977</v>
      </c>
      <c r="H249">
        <v>256.52</v>
      </c>
      <c r="I249" s="1">
        <v>622.57999999999993</v>
      </c>
      <c r="J249" s="16">
        <v>154955.76722153538</v>
      </c>
      <c r="K249" s="5">
        <v>9.3192345820881692E-2</v>
      </c>
      <c r="L249" s="10">
        <v>180563.76869999999</v>
      </c>
    </row>
    <row r="250" spans="1:12" x14ac:dyDescent="0.25">
      <c r="A250">
        <v>249</v>
      </c>
      <c r="B250" s="3">
        <v>0.13951540406249274</v>
      </c>
      <c r="C250" s="3">
        <v>5.648208534648097E-2</v>
      </c>
      <c r="D250" s="1">
        <v>112270.85290474619</v>
      </c>
      <c r="E250" s="1">
        <v>3832638</v>
      </c>
      <c r="F250" s="1">
        <v>22953909</v>
      </c>
      <c r="G250" s="16">
        <v>29264.476692372937</v>
      </c>
      <c r="H250">
        <v>108.44</v>
      </c>
      <c r="I250" s="1">
        <v>378.14</v>
      </c>
      <c r="J250" s="16">
        <v>141535.32959711913</v>
      </c>
      <c r="K250" s="5">
        <v>-8.8812248298622554E-3</v>
      </c>
      <c r="L250" s="10">
        <v>10658.202499999999</v>
      </c>
    </row>
    <row r="251" spans="1:12" x14ac:dyDescent="0.25">
      <c r="A251">
        <v>250</v>
      </c>
      <c r="B251" s="3">
        <v>0.11684529446728928</v>
      </c>
      <c r="C251" s="3">
        <v>2.4083178928900332E-2</v>
      </c>
      <c r="D251" s="1">
        <v>291232.22952747275</v>
      </c>
      <c r="E251" s="1">
        <v>8959738</v>
      </c>
      <c r="F251" s="1">
        <v>38002042</v>
      </c>
      <c r="G251" s="16">
        <v>49785.06115349957</v>
      </c>
      <c r="H251">
        <v>178.73</v>
      </c>
      <c r="I251" s="1">
        <v>476.13</v>
      </c>
      <c r="J251" s="16">
        <v>341017.29068097234</v>
      </c>
      <c r="K251" s="5">
        <v>0.14887528596623484</v>
      </c>
      <c r="L251" s="10">
        <v>1812406.2074</v>
      </c>
    </row>
    <row r="252" spans="1:12" x14ac:dyDescent="0.25">
      <c r="A252">
        <v>251</v>
      </c>
      <c r="B252" s="3">
        <v>0.19469397405949318</v>
      </c>
      <c r="C252" s="3">
        <v>5.2851641646115652E-2</v>
      </c>
      <c r="D252" s="1">
        <v>43120.292194834139</v>
      </c>
      <c r="E252" s="1">
        <v>1545260</v>
      </c>
      <c r="F252" s="1">
        <v>12418933</v>
      </c>
      <c r="G252" s="16">
        <v>14010.848619458517</v>
      </c>
      <c r="H252">
        <v>77.17</v>
      </c>
      <c r="I252" s="1">
        <v>225.14000000000004</v>
      </c>
      <c r="J252" s="16">
        <v>57131.140814292652</v>
      </c>
      <c r="K252" s="5">
        <v>3.7107974923382511E-2</v>
      </c>
      <c r="L252" s="10">
        <v>39730.550999999999</v>
      </c>
    </row>
    <row r="253" spans="1:12" x14ac:dyDescent="0.25">
      <c r="A253">
        <v>252</v>
      </c>
      <c r="B253" s="3">
        <v>0.14437216675962444</v>
      </c>
      <c r="C253" s="3">
        <v>6.8139045134203394E-2</v>
      </c>
      <c r="D253" s="1">
        <v>255726.19552027617</v>
      </c>
      <c r="E253" s="1">
        <v>8929739</v>
      </c>
      <c r="F253" s="1">
        <v>31497401</v>
      </c>
      <c r="G253" s="16">
        <v>53612.970099363651</v>
      </c>
      <c r="H253">
        <v>280.86</v>
      </c>
      <c r="I253" s="1">
        <v>795.0200000000001</v>
      </c>
      <c r="J253" s="16">
        <v>309339.1656196398</v>
      </c>
      <c r="K253" s="5">
        <v>0.11027194770573134</v>
      </c>
      <c r="L253" s="10">
        <v>341175.13059999997</v>
      </c>
    </row>
    <row r="254" spans="1:12" x14ac:dyDescent="0.25">
      <c r="A254">
        <v>253</v>
      </c>
      <c r="B254" s="3">
        <v>0.23191032253100127</v>
      </c>
      <c r="C254" s="3">
        <v>5.37779266349971E-2</v>
      </c>
      <c r="D254" s="1">
        <v>45914.116385045636</v>
      </c>
      <c r="E254" s="1">
        <v>1896326</v>
      </c>
      <c r="F254" s="1">
        <v>11936720</v>
      </c>
      <c r="G254" s="16">
        <v>22019.469580467037</v>
      </c>
      <c r="H254">
        <v>209.82</v>
      </c>
      <c r="I254" s="1">
        <v>532.24</v>
      </c>
      <c r="J254" s="16">
        <v>67933.58596551267</v>
      </c>
      <c r="K254" s="5">
        <v>0.15720319826677495</v>
      </c>
      <c r="L254" s="10">
        <v>170055.92550000001</v>
      </c>
    </row>
    <row r="255" spans="1:12" x14ac:dyDescent="0.25">
      <c r="A255">
        <v>254</v>
      </c>
      <c r="B255" s="3">
        <v>0.14944618375009611</v>
      </c>
      <c r="C255" s="3">
        <v>6.8972754019826027E-2</v>
      </c>
      <c r="D255" s="1">
        <v>115448.82505260294</v>
      </c>
      <c r="E255" s="1">
        <v>4128433</v>
      </c>
      <c r="F255" s="1">
        <v>26201423</v>
      </c>
      <c r="G255" s="16">
        <v>46199.919784359365</v>
      </c>
      <c r="H255">
        <v>253.73</v>
      </c>
      <c r="I255" s="1">
        <v>838.21</v>
      </c>
      <c r="J255" s="16">
        <v>161648.74483696232</v>
      </c>
      <c r="K255" s="5">
        <v>0.17175446550001588</v>
      </c>
      <c r="L255" s="10">
        <v>306266.32549999998</v>
      </c>
    </row>
    <row r="256" spans="1:12" x14ac:dyDescent="0.25">
      <c r="A256">
        <v>255</v>
      </c>
      <c r="B256" s="3">
        <v>0.22393370025896908</v>
      </c>
      <c r="C256" s="3">
        <v>7.297738095101472E-2</v>
      </c>
      <c r="D256" s="1">
        <v>45351.031719688282</v>
      </c>
      <c r="E256" s="1">
        <v>1815908</v>
      </c>
      <c r="F256" s="1">
        <v>15024212</v>
      </c>
      <c r="G256" s="16">
        <v>22252.269322740933</v>
      </c>
      <c r="H256">
        <v>254.76</v>
      </c>
      <c r="I256" s="1">
        <v>834.62</v>
      </c>
      <c r="J256" s="16">
        <v>67603.301042429215</v>
      </c>
      <c r="K256" s="5">
        <v>-5.6381139600041458E-2</v>
      </c>
      <c r="L256" s="10">
        <v>-17752.526999999998</v>
      </c>
    </row>
    <row r="257" spans="1:12" x14ac:dyDescent="0.25">
      <c r="A257">
        <v>256</v>
      </c>
      <c r="B257" s="3">
        <v>0.24272573329375716</v>
      </c>
      <c r="C257" s="3">
        <v>3.4262112007739771E-2</v>
      </c>
      <c r="D257" s="1">
        <v>222175.88283630335</v>
      </c>
      <c r="E257" s="1">
        <v>12644073</v>
      </c>
      <c r="F257" s="1">
        <v>41673217</v>
      </c>
      <c r="G257" s="16">
        <v>9796.3525292477116</v>
      </c>
      <c r="H257">
        <v>103.22</v>
      </c>
      <c r="I257" s="1">
        <v>419.6</v>
      </c>
      <c r="J257" s="16">
        <v>231972.23536555105</v>
      </c>
      <c r="K257" s="5">
        <v>0.26108001865709213</v>
      </c>
      <c r="L257" s="10">
        <v>1399110.7331999999</v>
      </c>
    </row>
    <row r="258" spans="1:12" x14ac:dyDescent="0.25">
      <c r="A258">
        <v>257</v>
      </c>
      <c r="B258" s="3">
        <v>0.10129037770545994</v>
      </c>
      <c r="C258" s="3">
        <v>2.1845731003390264E-2</v>
      </c>
      <c r="D258" s="1">
        <v>147760.84951502882</v>
      </c>
      <c r="E258" s="1">
        <v>4239206</v>
      </c>
      <c r="F258" s="1">
        <v>21867348</v>
      </c>
      <c r="G258" s="16">
        <v>33184.105824753678</v>
      </c>
      <c r="H258">
        <v>94.73</v>
      </c>
      <c r="I258" s="1">
        <v>304.3</v>
      </c>
      <c r="J258" s="16">
        <v>180944.95533978249</v>
      </c>
      <c r="K258" s="5">
        <v>0.15305789042530513</v>
      </c>
      <c r="L258" s="10">
        <v>1155784.0604000001</v>
      </c>
    </row>
    <row r="259" spans="1:12" x14ac:dyDescent="0.25">
      <c r="A259">
        <v>258</v>
      </c>
      <c r="B259" s="3">
        <v>0.20155897885901641</v>
      </c>
      <c r="C259" s="3">
        <v>6.3651698181858535E-2</v>
      </c>
      <c r="D259" s="1">
        <v>168696.52269593591</v>
      </c>
      <c r="E259" s="1">
        <v>9729592</v>
      </c>
      <c r="F259" s="1">
        <v>45494773</v>
      </c>
      <c r="G259" s="16">
        <v>16937.428589660791</v>
      </c>
      <c r="H259">
        <v>98.38</v>
      </c>
      <c r="I259" s="1">
        <v>260.88</v>
      </c>
      <c r="J259" s="16">
        <v>185633.9512855967</v>
      </c>
      <c r="K259" s="5">
        <v>0.15724397087635295</v>
      </c>
      <c r="L259" s="10">
        <v>356868.06420000002</v>
      </c>
    </row>
    <row r="260" spans="1:12" x14ac:dyDescent="0.25">
      <c r="A260">
        <v>259</v>
      </c>
      <c r="B260" s="3">
        <v>0.24445912286840205</v>
      </c>
      <c r="C260" s="3">
        <v>4.8315802041021996E-2</v>
      </c>
      <c r="D260" s="1">
        <v>77248.475622905898</v>
      </c>
      <c r="E260" s="1">
        <v>3352118</v>
      </c>
      <c r="F260" s="1">
        <v>16561298</v>
      </c>
      <c r="G260" s="16">
        <v>13265.947698527267</v>
      </c>
      <c r="H260">
        <v>141.97999999999999</v>
      </c>
      <c r="I260" s="1">
        <v>489.85</v>
      </c>
      <c r="J260" s="16">
        <v>90514.423321433162</v>
      </c>
      <c r="K260" s="5">
        <v>-2.8177538178562885E-2</v>
      </c>
      <c r="L260" s="10">
        <v>-24274.500199999999</v>
      </c>
    </row>
    <row r="261" spans="1:12" x14ac:dyDescent="0.25">
      <c r="A261">
        <v>260</v>
      </c>
      <c r="B261" s="3">
        <v>0.13010262102634865</v>
      </c>
      <c r="C261" s="3">
        <v>5.8991508851912094E-2</v>
      </c>
      <c r="D261" s="1">
        <v>203140.60548476997</v>
      </c>
      <c r="E261" s="1">
        <v>6639379</v>
      </c>
      <c r="F261" s="1">
        <v>35209548</v>
      </c>
      <c r="G261" s="16">
        <v>24078.618751567952</v>
      </c>
      <c r="H261">
        <v>83.47</v>
      </c>
      <c r="I261" s="1">
        <v>345.72</v>
      </c>
      <c r="J261" s="16">
        <v>227219.22423633793</v>
      </c>
      <c r="K261" s="5">
        <v>0.22241559821103651</v>
      </c>
      <c r="L261" s="10">
        <v>612885.15899999999</v>
      </c>
    </row>
    <row r="262" spans="1:12" x14ac:dyDescent="0.25">
      <c r="A262">
        <v>261</v>
      </c>
      <c r="B262" s="3">
        <v>0.20821337226164122</v>
      </c>
      <c r="C262" s="3">
        <v>4.0126834074626493E-2</v>
      </c>
      <c r="D262" s="1">
        <v>110977.3868299961</v>
      </c>
      <c r="E262" s="1">
        <v>5284510</v>
      </c>
      <c r="F262" s="1">
        <v>22903443</v>
      </c>
      <c r="G262" s="16">
        <v>27066.741844635737</v>
      </c>
      <c r="H262">
        <v>208.75</v>
      </c>
      <c r="I262" s="1">
        <v>551.04999999999995</v>
      </c>
      <c r="J262" s="16">
        <v>138044.12867463185</v>
      </c>
      <c r="K262" s="5">
        <v>0.17581817415348672</v>
      </c>
      <c r="L262" s="10">
        <v>495709.42379999999</v>
      </c>
    </row>
    <row r="263" spans="1:12" x14ac:dyDescent="0.25">
      <c r="A263">
        <v>262</v>
      </c>
      <c r="B263" s="3">
        <v>0.2266499204962221</v>
      </c>
      <c r="C263" s="3">
        <v>5.8615177331813068E-2</v>
      </c>
      <c r="D263" s="1">
        <v>145494.14516368703</v>
      </c>
      <c r="E263" s="1">
        <v>7612790</v>
      </c>
      <c r="F263" s="1">
        <v>32679558</v>
      </c>
      <c r="G263" s="16">
        <v>9724.5760182618305</v>
      </c>
      <c r="H263">
        <v>68.48</v>
      </c>
      <c r="I263" s="1">
        <v>216.07999999999998</v>
      </c>
      <c r="J263" s="16">
        <v>155218.72118194887</v>
      </c>
      <c r="K263" s="5">
        <v>0.20236180915837493</v>
      </c>
      <c r="L263" s="10">
        <v>405321.71779999998</v>
      </c>
    </row>
    <row r="264" spans="1:12" x14ac:dyDescent="0.25">
      <c r="A264">
        <v>263</v>
      </c>
      <c r="B264" s="3">
        <v>0.23691153337282639</v>
      </c>
      <c r="C264" s="3">
        <v>4.159131802823493E-2</v>
      </c>
      <c r="D264" s="1">
        <v>69689.434070315532</v>
      </c>
      <c r="E264" s="1">
        <v>3846542</v>
      </c>
      <c r="F264" s="1">
        <v>23496480</v>
      </c>
      <c r="G264" s="16">
        <v>14826.266400424938</v>
      </c>
      <c r="H264">
        <v>148.11000000000001</v>
      </c>
      <c r="I264" s="1">
        <v>443.01</v>
      </c>
      <c r="J264" s="16">
        <v>84515.70047074047</v>
      </c>
      <c r="K264" s="5">
        <v>7.4035187355256216E-2</v>
      </c>
      <c r="L264" s="10">
        <v>138248.46909999999</v>
      </c>
    </row>
    <row r="265" spans="1:12" x14ac:dyDescent="0.25">
      <c r="A265">
        <v>264</v>
      </c>
      <c r="B265" s="3">
        <v>0.18628173505177625</v>
      </c>
      <c r="C265" s="3">
        <v>5.2722430436836984E-2</v>
      </c>
      <c r="D265" s="1">
        <v>298875.53269249661</v>
      </c>
      <c r="E265" s="1">
        <v>15679160</v>
      </c>
      <c r="F265" s="1">
        <v>60670068</v>
      </c>
      <c r="G265" s="16">
        <v>16381.599659599427</v>
      </c>
      <c r="H265">
        <v>84.96</v>
      </c>
      <c r="I265" s="1">
        <v>343.17</v>
      </c>
      <c r="J265" s="16">
        <v>315257.13235209603</v>
      </c>
      <c r="K265" s="5">
        <v>2.0953386304531852E-2</v>
      </c>
      <c r="L265" s="10">
        <v>155311.38860000001</v>
      </c>
    </row>
    <row r="266" spans="1:12" x14ac:dyDescent="0.25">
      <c r="A266">
        <v>265</v>
      </c>
      <c r="B266" s="3">
        <v>0.1330140818205941</v>
      </c>
      <c r="C266" s="3">
        <v>5.2494718474473581E-2</v>
      </c>
      <c r="D266" s="1">
        <v>236944.96799286219</v>
      </c>
      <c r="E266" s="1">
        <v>7848785</v>
      </c>
      <c r="F266" s="1">
        <v>36434429</v>
      </c>
      <c r="G266" s="16">
        <v>48590.261115718276</v>
      </c>
      <c r="H266">
        <v>198.59</v>
      </c>
      <c r="I266" s="1">
        <v>550.88</v>
      </c>
      <c r="J266" s="16">
        <v>285535.22910858045</v>
      </c>
      <c r="K266" s="5">
        <v>0.11908415555920779</v>
      </c>
      <c r="L266" s="10">
        <v>531245.17370000004</v>
      </c>
    </row>
    <row r="267" spans="1:12" x14ac:dyDescent="0.25">
      <c r="A267">
        <v>266</v>
      </c>
      <c r="B267" s="3">
        <v>0.15434615495992007</v>
      </c>
      <c r="C267" s="3">
        <v>7.7018494782152086E-2</v>
      </c>
      <c r="D267" s="1">
        <v>109564.36500311687</v>
      </c>
      <c r="E267" s="1">
        <v>4009607</v>
      </c>
      <c r="F267" s="1">
        <v>29279222</v>
      </c>
      <c r="G267" s="16">
        <v>10938.59100861801</v>
      </c>
      <c r="H267">
        <v>45.02</v>
      </c>
      <c r="I267" s="1">
        <v>229.70000000000002</v>
      </c>
      <c r="J267" s="16">
        <v>120502.95601173487</v>
      </c>
      <c r="K267" s="5">
        <v>2.6958963914954642E-4</v>
      </c>
      <c r="L267" s="10">
        <v>53880.387799999997</v>
      </c>
    </row>
    <row r="268" spans="1:12" x14ac:dyDescent="0.25">
      <c r="A268">
        <v>267</v>
      </c>
      <c r="B268" s="3">
        <v>0.23479228288066928</v>
      </c>
      <c r="C268" s="3">
        <v>2.4280683831361571E-2</v>
      </c>
      <c r="D268" s="1">
        <v>174801.30613827542</v>
      </c>
      <c r="E268" s="1">
        <v>12469553</v>
      </c>
      <c r="F268" s="1">
        <v>47151152</v>
      </c>
      <c r="G268" s="16">
        <v>18669.364573511368</v>
      </c>
      <c r="H268">
        <v>238.93</v>
      </c>
      <c r="I268" s="1">
        <v>804.56</v>
      </c>
      <c r="J268" s="16">
        <v>193470.67071178678</v>
      </c>
      <c r="K268" s="5">
        <v>0.15926250109785314</v>
      </c>
      <c r="L268" s="10">
        <v>1134614.1717999999</v>
      </c>
    </row>
    <row r="269" spans="1:12" x14ac:dyDescent="0.25">
      <c r="A269">
        <v>268</v>
      </c>
      <c r="B269" s="3">
        <v>0.13674708954825662</v>
      </c>
      <c r="C269" s="3">
        <v>5.4735184639293333E-2</v>
      </c>
      <c r="D269" s="1">
        <v>69234.767954338604</v>
      </c>
      <c r="E269" s="1">
        <v>1738800</v>
      </c>
      <c r="F269" s="1">
        <v>9665356</v>
      </c>
      <c r="G269" s="16">
        <v>26444.961044506967</v>
      </c>
      <c r="H269">
        <v>111.57</v>
      </c>
      <c r="I269" s="1">
        <v>441.47999999999996</v>
      </c>
      <c r="J269" s="16">
        <v>95679.728998845574</v>
      </c>
      <c r="K269" s="5">
        <v>5.933334297506751E-2</v>
      </c>
      <c r="L269" s="10">
        <v>71746.400899999993</v>
      </c>
    </row>
    <row r="270" spans="1:12" x14ac:dyDescent="0.25">
      <c r="A270">
        <v>269</v>
      </c>
      <c r="B270" s="3">
        <v>0.13873908277296859</v>
      </c>
      <c r="C270" s="3">
        <v>7.0965197095303592E-2</v>
      </c>
      <c r="D270" s="1">
        <v>390350.96466361621</v>
      </c>
      <c r="E270" s="1">
        <v>15416443</v>
      </c>
      <c r="F270" s="1">
        <v>50105449</v>
      </c>
      <c r="G270" s="16">
        <v>29710.816162553638</v>
      </c>
      <c r="H270">
        <v>109.5</v>
      </c>
      <c r="I270" s="1">
        <v>303.84000000000003</v>
      </c>
      <c r="J270" s="16">
        <v>420061.78082616982</v>
      </c>
      <c r="K270" s="5">
        <v>-0.1225139352145411</v>
      </c>
      <c r="L270" s="10">
        <v>-450357.0025</v>
      </c>
    </row>
    <row r="271" spans="1:12" x14ac:dyDescent="0.25">
      <c r="A271">
        <v>270</v>
      </c>
      <c r="B271" s="3">
        <v>0.14180264318789051</v>
      </c>
      <c r="C271" s="3">
        <v>7.2339088426190648E-2</v>
      </c>
      <c r="D271" s="1">
        <v>161328.31915655281</v>
      </c>
      <c r="E271" s="1">
        <v>5566285</v>
      </c>
      <c r="F271" s="1">
        <v>26011848</v>
      </c>
      <c r="G271" s="16">
        <v>28032.77979123922</v>
      </c>
      <c r="H271">
        <v>123.08</v>
      </c>
      <c r="I271" s="1">
        <v>402.3</v>
      </c>
      <c r="J271" s="16">
        <v>189361.09894779202</v>
      </c>
      <c r="K271" s="5">
        <v>0.13589874252442824</v>
      </c>
      <c r="L271" s="10">
        <v>214164.0723</v>
      </c>
    </row>
    <row r="272" spans="1:12" x14ac:dyDescent="0.25">
      <c r="A272">
        <v>271</v>
      </c>
      <c r="B272" s="3">
        <v>0.14550615454857696</v>
      </c>
      <c r="C272" s="3">
        <v>6.6722564358188685E-2</v>
      </c>
      <c r="D272" s="1">
        <v>130473.80481857751</v>
      </c>
      <c r="E272" s="1">
        <v>4580261</v>
      </c>
      <c r="F272" s="1">
        <v>26086607</v>
      </c>
      <c r="G272" s="16">
        <v>11081.315248011912</v>
      </c>
      <c r="H272">
        <v>36.630000000000003</v>
      </c>
      <c r="I272" s="1">
        <v>134.65</v>
      </c>
      <c r="J272" s="16">
        <v>141555.12006658941</v>
      </c>
      <c r="K272" s="5">
        <v>0.28304968588652185</v>
      </c>
      <c r="L272" s="10">
        <v>438707.37099999998</v>
      </c>
    </row>
    <row r="273" spans="1:12" x14ac:dyDescent="0.25">
      <c r="A273">
        <v>272</v>
      </c>
      <c r="B273" s="3">
        <v>0.22157555437355386</v>
      </c>
      <c r="C273" s="3">
        <v>6.7218183100452161E-2</v>
      </c>
      <c r="D273" s="1">
        <v>46998.915394974036</v>
      </c>
      <c r="E273" s="1">
        <v>1864839</v>
      </c>
      <c r="F273" s="1">
        <v>14432719</v>
      </c>
      <c r="G273" s="16">
        <v>34425.368736843746</v>
      </c>
      <c r="H273">
        <v>299.20999999999998</v>
      </c>
      <c r="I273" s="1">
        <v>690.3599999999999</v>
      </c>
      <c r="J273" s="16">
        <v>81424.284131817782</v>
      </c>
      <c r="K273" s="5">
        <v>3.4093896055190781E-5</v>
      </c>
      <c r="L273" s="10">
        <v>21279.9751</v>
      </c>
    </row>
    <row r="274" spans="1:12" x14ac:dyDescent="0.25">
      <c r="A274">
        <v>273</v>
      </c>
      <c r="B274" s="3">
        <v>0.1441081749386553</v>
      </c>
      <c r="C274" s="3">
        <v>5.828939818210066E-2</v>
      </c>
      <c r="D274" s="1">
        <v>156932.36593259798</v>
      </c>
      <c r="E274" s="1">
        <v>5473183</v>
      </c>
      <c r="F274" s="1">
        <v>38136907</v>
      </c>
      <c r="G274" s="16">
        <v>17007.513521299712</v>
      </c>
      <c r="H274">
        <v>65.13</v>
      </c>
      <c r="I274" s="1">
        <v>266.2</v>
      </c>
      <c r="J274" s="16">
        <v>173939.87945389771</v>
      </c>
      <c r="K274" s="5">
        <v>0.13197052487046082</v>
      </c>
      <c r="L274" s="10">
        <v>339416.56140000001</v>
      </c>
    </row>
    <row r="275" spans="1:12" x14ac:dyDescent="0.25">
      <c r="A275">
        <v>274</v>
      </c>
      <c r="B275" s="3">
        <v>0.16468574988978452</v>
      </c>
      <c r="C275" s="3">
        <v>7.8656238093506706E-2</v>
      </c>
      <c r="D275" s="1">
        <v>246899.61256029573</v>
      </c>
      <c r="E275" s="1">
        <v>11362501</v>
      </c>
      <c r="F275" s="1">
        <v>56630378</v>
      </c>
      <c r="G275" s="16">
        <v>28288.303157133967</v>
      </c>
      <c r="H275">
        <v>149.9</v>
      </c>
      <c r="I275" s="1">
        <v>476.87</v>
      </c>
      <c r="J275" s="16">
        <v>275187.91571742971</v>
      </c>
      <c r="K275" s="5">
        <v>0.10394899667019333</v>
      </c>
      <c r="L275" s="10">
        <v>278127.97690000001</v>
      </c>
    </row>
    <row r="276" spans="1:12" x14ac:dyDescent="0.25">
      <c r="A276">
        <v>275</v>
      </c>
      <c r="B276" s="3">
        <v>0.24648632232685594</v>
      </c>
      <c r="C276" s="3">
        <v>4.9029489276607469E-2</v>
      </c>
      <c r="D276" s="1">
        <v>66589.751742947075</v>
      </c>
      <c r="E276" s="1">
        <v>2912972</v>
      </c>
      <c r="F276" s="1">
        <v>16113998</v>
      </c>
      <c r="G276" s="16">
        <v>17080.141199636073</v>
      </c>
      <c r="H276">
        <v>140.32</v>
      </c>
      <c r="I276" s="1">
        <v>369.18</v>
      </c>
      <c r="J276" s="16">
        <v>83669.892942583145</v>
      </c>
      <c r="K276" s="5">
        <v>0.16219789760491604</v>
      </c>
      <c r="L276" s="10">
        <v>211070.79250000001</v>
      </c>
    </row>
    <row r="277" spans="1:12" x14ac:dyDescent="0.25">
      <c r="A277">
        <v>276</v>
      </c>
      <c r="B277" s="3">
        <v>0.10771978127014924</v>
      </c>
      <c r="C277" s="3">
        <v>5.3352114680869075E-2</v>
      </c>
      <c r="D277" s="1">
        <v>297815.44416990655</v>
      </c>
      <c r="E277" s="1">
        <v>8793154</v>
      </c>
      <c r="F277" s="1">
        <v>35251009</v>
      </c>
      <c r="G277" s="16">
        <v>108870.56389338132</v>
      </c>
      <c r="H277">
        <v>407.29</v>
      </c>
      <c r="I277" s="1">
        <v>971.8599999999999</v>
      </c>
      <c r="J277" s="16">
        <v>406686.00806328788</v>
      </c>
      <c r="K277" s="5">
        <v>7.9699847030213627E-2</v>
      </c>
      <c r="L277" s="10">
        <v>404479.77439999999</v>
      </c>
    </row>
    <row r="278" spans="1:12" x14ac:dyDescent="0.25">
      <c r="A278">
        <v>277</v>
      </c>
      <c r="B278" s="3">
        <v>0.15689625580829408</v>
      </c>
      <c r="C278" s="3">
        <v>2.4836618370547441E-2</v>
      </c>
      <c r="D278" s="1">
        <v>296929.45729980979</v>
      </c>
      <c r="E278" s="1">
        <v>10998465</v>
      </c>
      <c r="F278" s="1">
        <v>37236859</v>
      </c>
      <c r="G278" s="16">
        <v>24935.063901371297</v>
      </c>
      <c r="H278">
        <v>104.5</v>
      </c>
      <c r="I278" s="1">
        <v>263.43</v>
      </c>
      <c r="J278" s="16">
        <v>321864.52120118111</v>
      </c>
      <c r="K278" s="5">
        <v>0.1204020182618844</v>
      </c>
      <c r="L278" s="10">
        <v>1356268.0588</v>
      </c>
    </row>
    <row r="279" spans="1:12" x14ac:dyDescent="0.25">
      <c r="A279">
        <v>278</v>
      </c>
      <c r="B279" s="3">
        <v>0.20499829924984439</v>
      </c>
      <c r="C279" s="3">
        <v>7.172514720964264E-2</v>
      </c>
      <c r="D279" s="1">
        <v>275791.24586734723</v>
      </c>
      <c r="E279" s="1">
        <v>16253340</v>
      </c>
      <c r="F279" s="1">
        <v>62254622</v>
      </c>
      <c r="G279" s="16">
        <v>16664.185896856827</v>
      </c>
      <c r="H279">
        <v>99.32</v>
      </c>
      <c r="I279" s="1">
        <v>281.40999999999997</v>
      </c>
      <c r="J279" s="16">
        <v>292455.43176420406</v>
      </c>
      <c r="K279" s="5">
        <v>0.18936468115039759</v>
      </c>
      <c r="L279" s="10">
        <v>552495.9327</v>
      </c>
    </row>
    <row r="280" spans="1:12" x14ac:dyDescent="0.25">
      <c r="A280">
        <v>279</v>
      </c>
      <c r="B280" s="3">
        <v>0.17773676677885125</v>
      </c>
      <c r="C280" s="3">
        <v>2.9069407572763217E-2</v>
      </c>
      <c r="D280" s="1">
        <v>57821.201761068143</v>
      </c>
      <c r="E280" s="1">
        <v>1946514</v>
      </c>
      <c r="F280" s="1">
        <v>17770867</v>
      </c>
      <c r="G280" s="16">
        <v>9855.4196733221106</v>
      </c>
      <c r="H280">
        <v>47.94</v>
      </c>
      <c r="I280" s="1">
        <v>213.28</v>
      </c>
      <c r="J280" s="16">
        <v>67676.621434390254</v>
      </c>
      <c r="K280" s="5">
        <v>0.20795197185867068</v>
      </c>
      <c r="L280" s="10">
        <v>433090.69939999998</v>
      </c>
    </row>
    <row r="281" spans="1:12" x14ac:dyDescent="0.25">
      <c r="A281">
        <v>280</v>
      </c>
      <c r="B281" s="3">
        <v>0.21422806842702413</v>
      </c>
      <c r="C281" s="3">
        <v>2.1374359029941139E-2</v>
      </c>
      <c r="D281" s="1">
        <v>86248.750494628126</v>
      </c>
      <c r="E281" s="1">
        <v>4234186</v>
      </c>
      <c r="F281" s="1">
        <v>26080734</v>
      </c>
      <c r="G281" s="16">
        <v>51277.610342500433</v>
      </c>
      <c r="H281">
        <v>531.17999999999995</v>
      </c>
      <c r="I281" s="1">
        <v>1191.5900000000001</v>
      </c>
      <c r="J281" s="16">
        <v>137526.36083712857</v>
      </c>
      <c r="K281" s="5">
        <v>8.3813001071107146E-2</v>
      </c>
      <c r="L281" s="10">
        <v>521713.2746</v>
      </c>
    </row>
    <row r="282" spans="1:12" x14ac:dyDescent="0.25">
      <c r="A282">
        <v>281</v>
      </c>
      <c r="B282" s="3">
        <v>0.1692230290344543</v>
      </c>
      <c r="C282" s="3">
        <v>7.3227047683956062E-2</v>
      </c>
      <c r="D282" s="1">
        <v>261277.1748393421</v>
      </c>
      <c r="E282" s="1">
        <v>10265176</v>
      </c>
      <c r="F282" s="1">
        <v>42476870</v>
      </c>
      <c r="G282" s="16">
        <v>12788.281990276675</v>
      </c>
      <c r="H282">
        <v>58.49</v>
      </c>
      <c r="I282" s="1">
        <v>266.43</v>
      </c>
      <c r="J282" s="16">
        <v>274065.45682961878</v>
      </c>
      <c r="K282" s="5">
        <v>2.4229773052466545E-2</v>
      </c>
      <c r="L282" s="10">
        <v>76402.424599999998</v>
      </c>
    </row>
    <row r="283" spans="1:12" x14ac:dyDescent="0.25">
      <c r="A283">
        <v>282</v>
      </c>
      <c r="B283" s="3">
        <v>0.22328689707371352</v>
      </c>
      <c r="C283" s="3">
        <v>4.6873059707658885E-2</v>
      </c>
      <c r="D283" s="1">
        <v>214365.23526347228</v>
      </c>
      <c r="E283" s="1">
        <v>14192352</v>
      </c>
      <c r="F283" s="1">
        <v>46160272</v>
      </c>
      <c r="G283" s="16">
        <v>16318.638467108985</v>
      </c>
      <c r="H283">
        <v>143.94999999999999</v>
      </c>
      <c r="I283" s="1">
        <v>557.03</v>
      </c>
      <c r="J283" s="16">
        <v>230683.87373058125</v>
      </c>
      <c r="K283" s="5">
        <v>-9.7423056270227043E-3</v>
      </c>
      <c r="L283" s="10">
        <v>-4892.3094000000001</v>
      </c>
    </row>
    <row r="284" spans="1:12" x14ac:dyDescent="0.25">
      <c r="A284">
        <v>283</v>
      </c>
      <c r="B284" s="3">
        <v>0.11829226459820448</v>
      </c>
      <c r="C284" s="3">
        <v>7.0727973585681947E-2</v>
      </c>
      <c r="D284" s="1">
        <v>258067.73021323857</v>
      </c>
      <c r="E284" s="1">
        <v>7991677</v>
      </c>
      <c r="F284" s="1">
        <v>37475592</v>
      </c>
      <c r="G284" s="16">
        <v>45933.084974095378</v>
      </c>
      <c r="H284">
        <v>166.91</v>
      </c>
      <c r="I284" s="1">
        <v>474.21000000000004</v>
      </c>
      <c r="J284" s="16">
        <v>304000.81518733397</v>
      </c>
      <c r="K284" s="5">
        <v>0.248708614612975</v>
      </c>
      <c r="L284" s="10">
        <v>691693.37930000003</v>
      </c>
    </row>
    <row r="285" spans="1:12" x14ac:dyDescent="0.25">
      <c r="A285">
        <v>284</v>
      </c>
      <c r="B285" s="3">
        <v>0.23032044194914461</v>
      </c>
      <c r="C285" s="3">
        <v>7.6412328942769184E-2</v>
      </c>
      <c r="D285" s="1">
        <v>79438.159765657096</v>
      </c>
      <c r="E285" s="1">
        <v>3260640</v>
      </c>
      <c r="F285" s="1">
        <v>17188967</v>
      </c>
      <c r="G285" s="16">
        <v>22509.249273666133</v>
      </c>
      <c r="H285">
        <v>211.5</v>
      </c>
      <c r="I285" s="1">
        <v>603.78</v>
      </c>
      <c r="J285" s="16">
        <v>101947.40903932323</v>
      </c>
      <c r="K285" s="5">
        <v>0.12077711875296554</v>
      </c>
      <c r="L285" s="10">
        <v>130106.02800000001</v>
      </c>
    </row>
    <row r="286" spans="1:12" x14ac:dyDescent="0.25">
      <c r="A286">
        <v>285</v>
      </c>
      <c r="B286" s="3">
        <v>0.2398038013246501</v>
      </c>
      <c r="C286" s="3">
        <v>7.3517069454658829E-2</v>
      </c>
      <c r="D286" s="1">
        <v>96374.297605864398</v>
      </c>
      <c r="E286" s="1">
        <v>5400843</v>
      </c>
      <c r="F286" s="1">
        <v>21727796</v>
      </c>
      <c r="G286" s="16">
        <v>13229.050010896204</v>
      </c>
      <c r="H286">
        <v>102.99</v>
      </c>
      <c r="I286" s="1">
        <v>374.54</v>
      </c>
      <c r="J286" s="16">
        <v>109603.3476167606</v>
      </c>
      <c r="K286" s="5">
        <v>0.13373244919316399</v>
      </c>
      <c r="L286" s="10">
        <v>142605.8941</v>
      </c>
    </row>
    <row r="287" spans="1:12" x14ac:dyDescent="0.25">
      <c r="A287">
        <v>286</v>
      </c>
      <c r="B287" s="3">
        <v>0.16280557803381651</v>
      </c>
      <c r="C287" s="3">
        <v>2.7746446552339217E-2</v>
      </c>
      <c r="D287" s="1">
        <v>96517.126846339772</v>
      </c>
      <c r="E287" s="1">
        <v>3677068</v>
      </c>
      <c r="F287" s="1">
        <v>30220394</v>
      </c>
      <c r="G287" s="16">
        <v>34947.931531709692</v>
      </c>
      <c r="H287">
        <v>152.72999999999999</v>
      </c>
      <c r="I287" s="1">
        <v>374.1</v>
      </c>
      <c r="J287" s="16">
        <v>131465.05837804946</v>
      </c>
      <c r="K287" s="5">
        <v>7.9260590542647058E-2</v>
      </c>
      <c r="L287" s="10">
        <v>324281.82689999999</v>
      </c>
    </row>
    <row r="288" spans="1:12" x14ac:dyDescent="0.25">
      <c r="A288">
        <v>287</v>
      </c>
      <c r="B288" s="3">
        <v>0.1583965284279264</v>
      </c>
      <c r="C288" s="3">
        <v>2.6705986252389523E-2</v>
      </c>
      <c r="D288" s="1">
        <v>187836.53972991282</v>
      </c>
      <c r="E288" s="1">
        <v>7007347</v>
      </c>
      <c r="F288" s="1">
        <v>26937378</v>
      </c>
      <c r="G288" s="16">
        <v>19970.497875721518</v>
      </c>
      <c r="H288">
        <v>84.65</v>
      </c>
      <c r="I288" s="1">
        <v>221.94</v>
      </c>
      <c r="J288" s="16">
        <v>207807.03760563434</v>
      </c>
      <c r="K288" s="5">
        <v>0.14897538281885789</v>
      </c>
      <c r="L288" s="10">
        <v>1006660.0346</v>
      </c>
    </row>
    <row r="289" spans="1:12" x14ac:dyDescent="0.25">
      <c r="A289">
        <v>288</v>
      </c>
      <c r="B289" s="3">
        <v>0.19517887493950695</v>
      </c>
      <c r="C289" s="3">
        <v>6.8523568968883355E-2</v>
      </c>
      <c r="D289" s="1">
        <v>101890.54178006866</v>
      </c>
      <c r="E289" s="1">
        <v>3657956</v>
      </c>
      <c r="F289" s="1">
        <v>20653668</v>
      </c>
      <c r="G289" s="16">
        <v>10079.740425711649</v>
      </c>
      <c r="H289">
        <v>55.79</v>
      </c>
      <c r="I289" s="1">
        <v>193.41</v>
      </c>
      <c r="J289" s="16">
        <v>111970.2822057803</v>
      </c>
      <c r="K289" s="5">
        <v>7.8635990777506021E-2</v>
      </c>
      <c r="L289" s="10">
        <v>104556.7858</v>
      </c>
    </row>
    <row r="290" spans="1:12" x14ac:dyDescent="0.25">
      <c r="A290">
        <v>289</v>
      </c>
      <c r="B290" s="3">
        <v>0.15069763734371808</v>
      </c>
      <c r="C290" s="3">
        <v>2.0751476551543618E-2</v>
      </c>
      <c r="D290" s="1">
        <v>286437.46554998431</v>
      </c>
      <c r="E290" s="1">
        <v>12131674</v>
      </c>
      <c r="F290" s="1">
        <v>59100580</v>
      </c>
      <c r="G290" s="16">
        <v>25877.040066860842</v>
      </c>
      <c r="H290">
        <v>122.13</v>
      </c>
      <c r="I290" s="1">
        <v>387.95</v>
      </c>
      <c r="J290" s="16">
        <v>312314.50561684516</v>
      </c>
      <c r="K290" s="5">
        <v>0.28342493657456214</v>
      </c>
      <c r="L290" s="10">
        <v>3805422.1757</v>
      </c>
    </row>
    <row r="291" spans="1:12" x14ac:dyDescent="0.25">
      <c r="A291">
        <v>290</v>
      </c>
      <c r="B291" s="3">
        <v>0.24503349460733323</v>
      </c>
      <c r="C291" s="3">
        <v>7.4559050517075759E-2</v>
      </c>
      <c r="D291" s="1">
        <v>112265.53560768491</v>
      </c>
      <c r="E291" s="1">
        <v>6467537</v>
      </c>
      <c r="F291" s="1">
        <v>36972191</v>
      </c>
      <c r="G291" s="16">
        <v>12169.852850029656</v>
      </c>
      <c r="H291">
        <v>99</v>
      </c>
      <c r="I291" s="1">
        <v>347.05</v>
      </c>
      <c r="J291" s="16">
        <v>124435.38845771457</v>
      </c>
      <c r="K291" s="5">
        <v>0.2371363288247948</v>
      </c>
      <c r="L291" s="10">
        <v>273003.20860000001</v>
      </c>
    </row>
    <row r="292" spans="1:12" x14ac:dyDescent="0.25">
      <c r="A292">
        <v>291</v>
      </c>
      <c r="B292" s="3">
        <v>0.15982548136386698</v>
      </c>
      <c r="C292" s="3">
        <v>3.0751225554547963E-2</v>
      </c>
      <c r="D292" s="1">
        <v>154010.05957570704</v>
      </c>
      <c r="E292" s="1">
        <v>5784604</v>
      </c>
      <c r="F292" s="1">
        <v>29477704</v>
      </c>
      <c r="G292" s="16">
        <v>18547.477315274416</v>
      </c>
      <c r="H292">
        <v>79.3</v>
      </c>
      <c r="I292" s="1">
        <v>351.85</v>
      </c>
      <c r="J292" s="16">
        <v>172557.53689098146</v>
      </c>
      <c r="K292" s="5">
        <v>0.17981532133973277</v>
      </c>
      <c r="L292" s="10">
        <v>861025.09019999998</v>
      </c>
    </row>
    <row r="293" spans="1:12" x14ac:dyDescent="0.25">
      <c r="A293">
        <v>292</v>
      </c>
      <c r="B293" s="3">
        <v>0.11658409833120995</v>
      </c>
      <c r="C293" s="3">
        <v>6.9766908626338248E-2</v>
      </c>
      <c r="D293" s="1">
        <v>233158.69167063292</v>
      </c>
      <c r="E293" s="1">
        <v>7164626</v>
      </c>
      <c r="F293" s="1">
        <v>23371420</v>
      </c>
      <c r="G293" s="16">
        <v>31640.266108723939</v>
      </c>
      <c r="H293">
        <v>100.33</v>
      </c>
      <c r="I293" s="1">
        <v>334.28000000000003</v>
      </c>
      <c r="J293" s="16">
        <v>264798.95777935686</v>
      </c>
      <c r="K293" s="5">
        <v>0.11157530872486057</v>
      </c>
      <c r="L293" s="10">
        <v>244200.76930000001</v>
      </c>
    </row>
    <row r="294" spans="1:12" x14ac:dyDescent="0.25">
      <c r="A294">
        <v>293</v>
      </c>
      <c r="B294" s="3">
        <v>0.2498506733415177</v>
      </c>
      <c r="C294" s="3">
        <v>3.1471127930551276E-2</v>
      </c>
      <c r="D294" s="1">
        <v>209617.25715224358</v>
      </c>
      <c r="E294" s="1">
        <v>12389076</v>
      </c>
      <c r="F294" s="1">
        <v>38845830</v>
      </c>
      <c r="G294" s="16">
        <v>18720.513169773025</v>
      </c>
      <c r="H294">
        <v>210.65</v>
      </c>
      <c r="I294" s="1">
        <v>716.46</v>
      </c>
      <c r="J294" s="16">
        <v>228337.77032201661</v>
      </c>
      <c r="K294" s="5">
        <v>0.23185063244113305</v>
      </c>
      <c r="L294" s="10">
        <v>1399460.3341999999</v>
      </c>
    </row>
    <row r="295" spans="1:12" x14ac:dyDescent="0.25">
      <c r="A295">
        <v>294</v>
      </c>
      <c r="B295" s="3">
        <v>0.23932949036716669</v>
      </c>
      <c r="C295" s="3">
        <v>4.4975439898374554E-2</v>
      </c>
      <c r="D295" s="1">
        <v>129269.26767364317</v>
      </c>
      <c r="E295" s="1">
        <v>7226234</v>
      </c>
      <c r="F295" s="1">
        <v>37331165</v>
      </c>
      <c r="G295" s="16">
        <v>16417.995050558486</v>
      </c>
      <c r="H295">
        <v>167.86</v>
      </c>
      <c r="I295" s="1">
        <v>578.97</v>
      </c>
      <c r="J295" s="16">
        <v>145687.26272420166</v>
      </c>
      <c r="K295" s="5">
        <v>4.6012182543191421E-2</v>
      </c>
      <c r="L295" s="10">
        <v>126958.84209999999</v>
      </c>
    </row>
    <row r="296" spans="1:12" x14ac:dyDescent="0.25">
      <c r="A296">
        <v>295</v>
      </c>
      <c r="B296" s="3">
        <v>0.10957870140856461</v>
      </c>
      <c r="C296" s="3">
        <v>3.5051758064394471E-2</v>
      </c>
      <c r="D296" s="1">
        <v>466687.26229157229</v>
      </c>
      <c r="E296" s="1">
        <v>13894612</v>
      </c>
      <c r="F296" s="1">
        <v>38959695</v>
      </c>
      <c r="G296" s="16">
        <v>122790.42031509844</v>
      </c>
      <c r="H296">
        <v>524.78</v>
      </c>
      <c r="I296" s="1">
        <v>1617.75</v>
      </c>
      <c r="J296" s="16">
        <v>589477.68260667077</v>
      </c>
      <c r="K296" s="5">
        <v>0.22943565520671935</v>
      </c>
      <c r="L296" s="10">
        <v>2963683.7856999999</v>
      </c>
    </row>
    <row r="297" spans="1:12" x14ac:dyDescent="0.25">
      <c r="A297">
        <v>296</v>
      </c>
      <c r="B297" s="3">
        <v>0.24363745852831689</v>
      </c>
      <c r="C297" s="3">
        <v>5.54474376394892E-2</v>
      </c>
      <c r="D297" s="1">
        <v>111731.45016174979</v>
      </c>
      <c r="E297" s="1">
        <v>6389378</v>
      </c>
      <c r="F297" s="1">
        <v>23204762</v>
      </c>
      <c r="G297" s="16">
        <v>7498.3965679059911</v>
      </c>
      <c r="H297">
        <v>60.26</v>
      </c>
      <c r="I297" s="1">
        <v>207.34999999999997</v>
      </c>
      <c r="J297" s="16">
        <v>119229.84672965578</v>
      </c>
      <c r="K297" s="5">
        <v>0.26534565406601779</v>
      </c>
      <c r="L297" s="10">
        <v>429126.69709999999</v>
      </c>
    </row>
    <row r="298" spans="1:12" x14ac:dyDescent="0.25">
      <c r="A298">
        <v>297</v>
      </c>
      <c r="B298" s="3">
        <v>0.22207719981249482</v>
      </c>
      <c r="C298" s="3">
        <v>2.9947386677370284E-2</v>
      </c>
      <c r="D298" s="1">
        <v>82359.287971928657</v>
      </c>
      <c r="E298" s="1">
        <v>3274207</v>
      </c>
      <c r="F298" s="1">
        <v>16710266</v>
      </c>
      <c r="G298" s="16">
        <v>11964.486370427037</v>
      </c>
      <c r="H298">
        <v>81.23</v>
      </c>
      <c r="I298" s="1">
        <v>353.40000000000003</v>
      </c>
      <c r="J298" s="16">
        <v>94323.774342355697</v>
      </c>
      <c r="K298" s="5">
        <v>6.7503522473094241E-2</v>
      </c>
      <c r="L298" s="10">
        <v>173508.63699999999</v>
      </c>
    </row>
    <row r="299" spans="1:12" x14ac:dyDescent="0.25">
      <c r="A299">
        <v>298</v>
      </c>
      <c r="B299" s="3">
        <v>0.17863943861427048</v>
      </c>
      <c r="C299" s="3">
        <v>3.5999328534500143E-2</v>
      </c>
      <c r="D299" s="1">
        <v>182907.92376751752</v>
      </c>
      <c r="E299" s="1">
        <v>7521427</v>
      </c>
      <c r="F299" s="1">
        <v>33447753</v>
      </c>
      <c r="G299" s="16">
        <v>13903.82769716095</v>
      </c>
      <c r="H299">
        <v>68.09</v>
      </c>
      <c r="I299" s="1">
        <v>245.89000000000001</v>
      </c>
      <c r="J299" s="16">
        <v>196811.75146467847</v>
      </c>
      <c r="K299" s="5">
        <v>2.3080875285202137E-2</v>
      </c>
      <c r="L299" s="10">
        <v>108559.0429</v>
      </c>
    </row>
    <row r="300" spans="1:12" x14ac:dyDescent="0.25">
      <c r="A300">
        <v>299</v>
      </c>
      <c r="B300" s="3">
        <v>0.2354990097803028</v>
      </c>
      <c r="C300" s="3">
        <v>4.0138745974963544E-2</v>
      </c>
      <c r="D300" s="1">
        <v>74681.296490170687</v>
      </c>
      <c r="E300" s="1">
        <v>3128099</v>
      </c>
      <c r="F300" s="1">
        <v>19910035</v>
      </c>
      <c r="G300" s="16">
        <v>12423.618687494896</v>
      </c>
      <c r="H300">
        <v>122.44</v>
      </c>
      <c r="I300" s="1">
        <v>475.84999999999997</v>
      </c>
      <c r="J300" s="16">
        <v>87104.915177665578</v>
      </c>
      <c r="K300" s="5">
        <v>0.17394591231905987</v>
      </c>
      <c r="L300" s="10">
        <v>329639.93770000001</v>
      </c>
    </row>
    <row r="301" spans="1:12" x14ac:dyDescent="0.25">
      <c r="A301">
        <v>300</v>
      </c>
      <c r="B301" s="3">
        <v>0.23665752294656819</v>
      </c>
      <c r="C301" s="3">
        <v>3.9849520225171242E-2</v>
      </c>
      <c r="D301" s="1">
        <v>74412.850383139521</v>
      </c>
      <c r="E301" s="1">
        <v>4101782</v>
      </c>
      <c r="F301" s="1">
        <v>28159532</v>
      </c>
      <c r="G301" s="16">
        <v>23172.286815733256</v>
      </c>
      <c r="H301">
        <v>302.31</v>
      </c>
      <c r="I301" s="1">
        <v>979.45</v>
      </c>
      <c r="J301" s="16">
        <v>97585.137198872777</v>
      </c>
      <c r="K301" s="5">
        <v>0.21280001013596786</v>
      </c>
      <c r="L301" s="10">
        <v>470042.39850000001</v>
      </c>
    </row>
    <row r="302" spans="1:12" x14ac:dyDescent="0.25">
      <c r="A302">
        <v>301</v>
      </c>
      <c r="B302" s="3">
        <v>0.21522023398192447</v>
      </c>
      <c r="C302" s="3">
        <v>7.1865840077957779E-2</v>
      </c>
      <c r="D302" s="1">
        <v>153168.30710930354</v>
      </c>
      <c r="E302" s="1">
        <v>7557542</v>
      </c>
      <c r="F302" s="1">
        <v>30853496</v>
      </c>
      <c r="G302" s="16">
        <v>13661.534982400586</v>
      </c>
      <c r="H302">
        <v>88.05</v>
      </c>
      <c r="I302" s="1">
        <v>290.39999999999998</v>
      </c>
      <c r="J302" s="16">
        <v>166829.84209170414</v>
      </c>
      <c r="K302" s="5">
        <v>0.17012164922718767</v>
      </c>
      <c r="L302" s="10">
        <v>270163.72489999997</v>
      </c>
    </row>
    <row r="303" spans="1:12" x14ac:dyDescent="0.25">
      <c r="A303">
        <v>302</v>
      </c>
      <c r="B303" s="3">
        <v>0.22569717572480352</v>
      </c>
      <c r="C303" s="3">
        <v>4.2968373207254024E-2</v>
      </c>
      <c r="D303" s="1">
        <v>92840.257434703555</v>
      </c>
      <c r="E303" s="1">
        <v>4833879</v>
      </c>
      <c r="F303" s="1">
        <v>25910587</v>
      </c>
      <c r="G303" s="16">
        <v>10488.373686333312</v>
      </c>
      <c r="H303">
        <v>73.28</v>
      </c>
      <c r="I303" s="1">
        <v>312.71000000000004</v>
      </c>
      <c r="J303" s="16">
        <v>103328.63112103687</v>
      </c>
      <c r="K303" s="5">
        <v>-4.1915255193049013E-2</v>
      </c>
      <c r="L303" s="10">
        <v>-51456.176599999999</v>
      </c>
    </row>
    <row r="304" spans="1:12" x14ac:dyDescent="0.25">
      <c r="A304">
        <v>303</v>
      </c>
      <c r="B304" s="3">
        <v>0.12142858636953015</v>
      </c>
      <c r="C304" s="3">
        <v>4.7662312642743329E-2</v>
      </c>
      <c r="D304" s="1">
        <v>301430.22062656609</v>
      </c>
      <c r="E304" s="1">
        <v>10777161</v>
      </c>
      <c r="F304" s="1">
        <v>43650859</v>
      </c>
      <c r="G304" s="16">
        <v>70932.799477410153</v>
      </c>
      <c r="H304">
        <v>264.38</v>
      </c>
      <c r="I304" s="1">
        <v>648.07999999999993</v>
      </c>
      <c r="J304" s="16">
        <v>372363.02010397625</v>
      </c>
      <c r="K304" s="5">
        <v>3.3025313259977457E-2</v>
      </c>
      <c r="L304" s="10">
        <v>211029.53219999999</v>
      </c>
    </row>
    <row r="305" spans="1:12" x14ac:dyDescent="0.25">
      <c r="A305">
        <v>304</v>
      </c>
      <c r="B305" s="3">
        <v>0.19069184528001934</v>
      </c>
      <c r="C305" s="3">
        <v>2.6367911764367452E-2</v>
      </c>
      <c r="D305" s="1">
        <v>227884.64377653386</v>
      </c>
      <c r="E305" s="1">
        <v>9941749</v>
      </c>
      <c r="F305" s="1">
        <v>30137887</v>
      </c>
      <c r="G305" s="16">
        <v>12611.665086696294</v>
      </c>
      <c r="H305">
        <v>67.540000000000006</v>
      </c>
      <c r="I305" s="1">
        <v>235.91000000000003</v>
      </c>
      <c r="J305" s="16">
        <v>240496.30886323017</v>
      </c>
      <c r="K305" s="5">
        <v>0.28929833614380746</v>
      </c>
      <c r="L305" s="10">
        <v>2215330.3928999999</v>
      </c>
    </row>
    <row r="306" spans="1:12" x14ac:dyDescent="0.25">
      <c r="A306">
        <v>305</v>
      </c>
      <c r="B306" s="3">
        <v>0.21717909258264823</v>
      </c>
      <c r="C306" s="3">
        <v>2.2888826801704103E-2</v>
      </c>
      <c r="D306" s="1">
        <v>228847.50776205084</v>
      </c>
      <c r="E306" s="1">
        <v>11405103</v>
      </c>
      <c r="F306" s="1">
        <v>37269250</v>
      </c>
      <c r="G306" s="16">
        <v>17716.374430391777</v>
      </c>
      <c r="H306">
        <v>115.93</v>
      </c>
      <c r="I306" s="1">
        <v>358.87</v>
      </c>
      <c r="J306" s="16">
        <v>246563.8821924426</v>
      </c>
      <c r="K306" s="5">
        <v>7.1439724851906611E-2</v>
      </c>
      <c r="L306" s="10">
        <v>671315.0085</v>
      </c>
    </row>
    <row r="307" spans="1:12" x14ac:dyDescent="0.25">
      <c r="A307">
        <v>306</v>
      </c>
      <c r="B307" s="3">
        <v>0.13824675097796801</v>
      </c>
      <c r="C307" s="3">
        <v>2.2993263897429818E-2</v>
      </c>
      <c r="D307" s="1">
        <v>87891.597183540682</v>
      </c>
      <c r="E307" s="1">
        <v>2982762</v>
      </c>
      <c r="F307" s="1">
        <v>23203747</v>
      </c>
      <c r="G307" s="16">
        <v>88165.452202145825</v>
      </c>
      <c r="H307">
        <v>436</v>
      </c>
      <c r="I307" s="1">
        <v>1052.92</v>
      </c>
      <c r="J307" s="16">
        <v>176057.04938568652</v>
      </c>
      <c r="K307" s="5">
        <v>0.16834901272597452</v>
      </c>
      <c r="L307" s="10">
        <v>1137652.0652000001</v>
      </c>
    </row>
    <row r="308" spans="1:12" x14ac:dyDescent="0.25">
      <c r="A308">
        <v>307</v>
      </c>
      <c r="B308" s="3">
        <v>0.17696442313436334</v>
      </c>
      <c r="C308" s="3">
        <v>3.5885289196335775E-2</v>
      </c>
      <c r="D308" s="1">
        <v>213769.91031025886</v>
      </c>
      <c r="E308" s="1">
        <v>10593917</v>
      </c>
      <c r="F308" s="1">
        <v>46186221</v>
      </c>
      <c r="G308" s="16">
        <v>24552.558828126206</v>
      </c>
      <c r="H308">
        <v>118.76</v>
      </c>
      <c r="I308" s="1">
        <v>285.72000000000003</v>
      </c>
      <c r="J308" s="16">
        <v>238322.46913838506</v>
      </c>
      <c r="K308" s="5">
        <v>5.191660388261464E-2</v>
      </c>
      <c r="L308" s="10">
        <v>315121.48639999999</v>
      </c>
    </row>
    <row r="309" spans="1:12" x14ac:dyDescent="0.25">
      <c r="A309">
        <v>308</v>
      </c>
      <c r="B309" s="3">
        <v>0.16552101293154758</v>
      </c>
      <c r="C309" s="3">
        <v>3.6436057517198223E-2</v>
      </c>
      <c r="D309" s="1">
        <v>168902.27454050168</v>
      </c>
      <c r="E309" s="1">
        <v>6518935</v>
      </c>
      <c r="F309" s="1">
        <v>39713172</v>
      </c>
      <c r="G309" s="16">
        <v>27639.544574389405</v>
      </c>
      <c r="H309">
        <v>123.32</v>
      </c>
      <c r="I309" s="1">
        <v>339.21999999999997</v>
      </c>
      <c r="J309" s="16">
        <v>196541.81911489108</v>
      </c>
      <c r="K309" s="5">
        <v>0.30457854627995601</v>
      </c>
      <c r="L309" s="10">
        <v>1394174.2328000001</v>
      </c>
    </row>
    <row r="310" spans="1:12" x14ac:dyDescent="0.25">
      <c r="A310">
        <v>309</v>
      </c>
      <c r="B310" s="3">
        <v>0.10016044580543855</v>
      </c>
      <c r="C310" s="3">
        <v>2.7042498750595681E-2</v>
      </c>
      <c r="D310" s="1">
        <v>545241.0955104155</v>
      </c>
      <c r="E310" s="1">
        <v>17296813</v>
      </c>
      <c r="F310" s="1">
        <v>51829656</v>
      </c>
      <c r="G310" s="16">
        <v>18594.451504676086</v>
      </c>
      <c r="H310">
        <v>47.48</v>
      </c>
      <c r="I310" s="1">
        <v>178.84</v>
      </c>
      <c r="J310" s="16">
        <v>563835.54701509164</v>
      </c>
      <c r="K310" s="5">
        <v>0.29936976708218516</v>
      </c>
      <c r="L310" s="10">
        <v>5141986.6530999998</v>
      </c>
    </row>
    <row r="311" spans="1:12" x14ac:dyDescent="0.25">
      <c r="A311">
        <v>310</v>
      </c>
      <c r="B311" s="3">
        <v>0.19943361495197998</v>
      </c>
      <c r="C311" s="3">
        <v>2.8123538682891566E-2</v>
      </c>
      <c r="D311" s="1">
        <v>172230.84232146406</v>
      </c>
      <c r="E311" s="1">
        <v>7847371</v>
      </c>
      <c r="F311" s="1">
        <v>30402449</v>
      </c>
      <c r="G311" s="16">
        <v>21892.185859362493</v>
      </c>
      <c r="H311">
        <v>156.38999999999999</v>
      </c>
      <c r="I311" s="1">
        <v>498.25</v>
      </c>
      <c r="J311" s="16">
        <v>194123.02818082657</v>
      </c>
      <c r="K311" s="5">
        <v>0.13881616149762951</v>
      </c>
      <c r="L311" s="10">
        <v>820727.32680000004</v>
      </c>
    </row>
    <row r="312" spans="1:12" x14ac:dyDescent="0.25">
      <c r="A312">
        <v>311</v>
      </c>
      <c r="B312" s="3">
        <v>0.24157835768799571</v>
      </c>
      <c r="C312" s="3">
        <v>3.155727085297589E-2</v>
      </c>
      <c r="D312" s="1">
        <v>85689.9711801956</v>
      </c>
      <c r="E312" s="1">
        <v>4847191</v>
      </c>
      <c r="F312" s="1">
        <v>26009407</v>
      </c>
      <c r="G312" s="16">
        <v>10885.15627417766</v>
      </c>
      <c r="H312">
        <v>113.32</v>
      </c>
      <c r="I312" s="1">
        <v>412.34</v>
      </c>
      <c r="J312" s="16">
        <v>96575.127454373258</v>
      </c>
      <c r="K312" s="5">
        <v>9.2106614199617659E-2</v>
      </c>
      <c r="L312" s="10">
        <v>261351.30040000001</v>
      </c>
    </row>
    <row r="313" spans="1:12" x14ac:dyDescent="0.25">
      <c r="A313">
        <v>312</v>
      </c>
      <c r="B313" s="3">
        <v>0.23232509161366746</v>
      </c>
      <c r="C313" s="3">
        <v>7.2969711568123166E-2</v>
      </c>
      <c r="D313" s="1">
        <v>173154.54646940393</v>
      </c>
      <c r="E313" s="1">
        <v>9330972</v>
      </c>
      <c r="F313" s="1">
        <v>40837845</v>
      </c>
      <c r="G313" s="16">
        <v>15893.050688822392</v>
      </c>
      <c r="H313">
        <v>152.15</v>
      </c>
      <c r="I313" s="1">
        <v>584.41</v>
      </c>
      <c r="J313" s="16">
        <v>189047.59715822633</v>
      </c>
      <c r="K313" s="5">
        <v>3.1411937366330564E-2</v>
      </c>
      <c r="L313" s="10">
        <v>80278.097200000004</v>
      </c>
    </row>
    <row r="314" spans="1:12" x14ac:dyDescent="0.25">
      <c r="A314">
        <v>313</v>
      </c>
      <c r="B314" s="3">
        <v>0.16341703391612972</v>
      </c>
      <c r="C314" s="3">
        <v>4.5064661785166368E-2</v>
      </c>
      <c r="D314" s="1">
        <v>132333.22081067966</v>
      </c>
      <c r="E314" s="1">
        <v>5056336</v>
      </c>
      <c r="F314" s="1">
        <v>31889924</v>
      </c>
      <c r="G314" s="16">
        <v>18094.357238724278</v>
      </c>
      <c r="H314">
        <v>94.95</v>
      </c>
      <c r="I314" s="1">
        <v>412.43</v>
      </c>
      <c r="J314" s="16">
        <v>150427.57804940394</v>
      </c>
      <c r="K314" s="5">
        <v>-1.8208419387529574E-2</v>
      </c>
      <c r="L314" s="10">
        <v>-14667.2413</v>
      </c>
    </row>
    <row r="315" spans="1:12" x14ac:dyDescent="0.25">
      <c r="A315">
        <v>314</v>
      </c>
      <c r="B315" s="3">
        <v>0.23810488488868933</v>
      </c>
      <c r="C315" s="3">
        <v>2.7744767055450217E-2</v>
      </c>
      <c r="D315" s="1">
        <v>62549.165765813726</v>
      </c>
      <c r="E315" s="1">
        <v>2646911</v>
      </c>
      <c r="F315" s="1">
        <v>13218127</v>
      </c>
      <c r="G315" s="16">
        <v>4774.4713811433667</v>
      </c>
      <c r="H315">
        <v>36.78</v>
      </c>
      <c r="I315" s="1">
        <v>192.84</v>
      </c>
      <c r="J315" s="16">
        <v>67323.637146957088</v>
      </c>
      <c r="K315" s="5">
        <v>8.6367444543335892E-2</v>
      </c>
      <c r="L315" s="10">
        <v>183144.93299999999</v>
      </c>
    </row>
    <row r="316" spans="1:12" x14ac:dyDescent="0.25">
      <c r="A316">
        <v>315</v>
      </c>
      <c r="B316" s="3">
        <v>0.14564298840371409</v>
      </c>
      <c r="C316" s="3">
        <v>3.8380191940700054E-2</v>
      </c>
      <c r="D316" s="1">
        <v>139443.29975230613</v>
      </c>
      <c r="E316" s="1">
        <v>4184878</v>
      </c>
      <c r="F316" s="1">
        <v>19257054</v>
      </c>
      <c r="G316" s="16">
        <v>32103.947212940842</v>
      </c>
      <c r="H316">
        <v>124.52</v>
      </c>
      <c r="I316" s="1">
        <v>314.84999999999997</v>
      </c>
      <c r="J316" s="16">
        <v>171547.24696524697</v>
      </c>
      <c r="K316" s="5">
        <v>1.6662262085709291E-2</v>
      </c>
      <c r="L316" s="10">
        <v>73186.733200000002</v>
      </c>
    </row>
    <row r="317" spans="1:12" x14ac:dyDescent="0.25">
      <c r="A317">
        <v>316</v>
      </c>
      <c r="B317" s="3">
        <v>0.22708555488055712</v>
      </c>
      <c r="C317" s="3">
        <v>5.2504244187108307E-2</v>
      </c>
      <c r="D317" s="1">
        <v>72575.144916890698</v>
      </c>
      <c r="E317" s="1">
        <v>2941690</v>
      </c>
      <c r="F317" s="1">
        <v>16629019</v>
      </c>
      <c r="G317" s="16">
        <v>28040.888625055617</v>
      </c>
      <c r="H317">
        <v>331.28</v>
      </c>
      <c r="I317" s="1">
        <v>970.53</v>
      </c>
      <c r="J317" s="16">
        <v>100616.03354194632</v>
      </c>
      <c r="K317" s="5">
        <v>7.7874545084828273E-2</v>
      </c>
      <c r="L317" s="10">
        <v>134124.8119</v>
      </c>
    </row>
    <row r="318" spans="1:12" x14ac:dyDescent="0.25">
      <c r="A318">
        <v>317</v>
      </c>
      <c r="B318" s="3">
        <v>0.13480814951897346</v>
      </c>
      <c r="C318" s="3">
        <v>2.6624231918276866E-2</v>
      </c>
      <c r="D318" s="1">
        <v>241649.19271345271</v>
      </c>
      <c r="E318" s="1">
        <v>8071222</v>
      </c>
      <c r="F318" s="1">
        <v>34170923</v>
      </c>
      <c r="G318" s="16">
        <v>49372.248601778054</v>
      </c>
      <c r="H318">
        <v>204.68</v>
      </c>
      <c r="I318" s="1">
        <v>761.32999999999993</v>
      </c>
      <c r="J318" s="16">
        <v>291021.44131523074</v>
      </c>
      <c r="K318" s="5">
        <v>2.5344715606505957E-2</v>
      </c>
      <c r="L318" s="10">
        <v>248462.95550000001</v>
      </c>
    </row>
    <row r="319" spans="1:12" x14ac:dyDescent="0.25">
      <c r="A319">
        <v>318</v>
      </c>
      <c r="B319" s="3">
        <v>0.21480325939671546</v>
      </c>
      <c r="C319" s="3">
        <v>4.5169864798149328E-2</v>
      </c>
      <c r="D319" s="1">
        <v>56580.921158295489</v>
      </c>
      <c r="E319" s="1">
        <v>2187448</v>
      </c>
      <c r="F319" s="1">
        <v>15149618</v>
      </c>
      <c r="G319" s="16">
        <v>6550.8783352055916</v>
      </c>
      <c r="H319">
        <v>32.979999999999997</v>
      </c>
      <c r="I319" s="1">
        <v>150.87</v>
      </c>
      <c r="J319" s="16">
        <v>63131.799493501079</v>
      </c>
      <c r="K319" s="5">
        <v>-9.1073716287696227E-2</v>
      </c>
      <c r="L319" s="10">
        <v>-88797.525099999999</v>
      </c>
    </row>
    <row r="320" spans="1:12" x14ac:dyDescent="0.25">
      <c r="A320">
        <v>319</v>
      </c>
      <c r="B320" s="3">
        <v>0.17648104205172363</v>
      </c>
      <c r="C320" s="3">
        <v>7.1038294014342696E-2</v>
      </c>
      <c r="D320" s="1">
        <v>205948.12237011007</v>
      </c>
      <c r="E320" s="1">
        <v>8380435</v>
      </c>
      <c r="F320" s="1">
        <v>32242589</v>
      </c>
      <c r="G320" s="16">
        <v>25875.747964802111</v>
      </c>
      <c r="H320">
        <v>151.71</v>
      </c>
      <c r="I320" s="1">
        <v>434.97</v>
      </c>
      <c r="J320" s="16">
        <v>231823.87033491218</v>
      </c>
      <c r="K320" s="5">
        <v>1.999567482026323E-2</v>
      </c>
      <c r="L320" s="10">
        <v>85639.4951</v>
      </c>
    </row>
    <row r="321" spans="1:12" x14ac:dyDescent="0.25">
      <c r="A321">
        <v>320</v>
      </c>
      <c r="B321" s="3">
        <v>0.16837298742142393</v>
      </c>
      <c r="C321" s="3">
        <v>5.4514885266239863E-2</v>
      </c>
      <c r="D321" s="1">
        <v>90764.236824499021</v>
      </c>
      <c r="E321" s="1">
        <v>2953462</v>
      </c>
      <c r="F321" s="1">
        <v>14745472</v>
      </c>
      <c r="G321" s="16">
        <v>26441.580567811427</v>
      </c>
      <c r="H321">
        <v>120.32</v>
      </c>
      <c r="I321" s="1">
        <v>345.06</v>
      </c>
      <c r="J321" s="16">
        <v>117205.81739231045</v>
      </c>
      <c r="K321" s="5">
        <v>0.15390960116746516</v>
      </c>
      <c r="L321" s="10">
        <v>248575.85630000001</v>
      </c>
    </row>
    <row r="322" spans="1:12" x14ac:dyDescent="0.25">
      <c r="A322">
        <v>321</v>
      </c>
      <c r="B322" s="3">
        <v>0.14238939909652956</v>
      </c>
      <c r="C322" s="3">
        <v>4.0764423911586883E-2</v>
      </c>
      <c r="D322" s="1">
        <v>104311.70318539937</v>
      </c>
      <c r="E322" s="1">
        <v>3095036</v>
      </c>
      <c r="F322" s="1">
        <v>15001231</v>
      </c>
      <c r="G322" s="16">
        <v>53794.279762216167</v>
      </c>
      <c r="H322">
        <v>237.25</v>
      </c>
      <c r="I322" s="1">
        <v>689.63</v>
      </c>
      <c r="J322" s="16">
        <v>158105.98294761553</v>
      </c>
      <c r="K322" s="5">
        <v>0.23825943677758646</v>
      </c>
      <c r="L322" s="10">
        <v>723325.09210000001</v>
      </c>
    </row>
    <row r="323" spans="1:12" x14ac:dyDescent="0.25">
      <c r="A323">
        <v>322</v>
      </c>
      <c r="B323" s="3">
        <v>0.1725348063639528</v>
      </c>
      <c r="C323" s="3">
        <v>4.1691552365495627E-2</v>
      </c>
      <c r="D323" s="1">
        <v>56298.985893511672</v>
      </c>
      <c r="E323" s="1">
        <v>1859751</v>
      </c>
      <c r="F323" s="1">
        <v>15714551</v>
      </c>
      <c r="G323" s="16">
        <v>6210.405656740103</v>
      </c>
      <c r="H323">
        <v>24.1</v>
      </c>
      <c r="I323" s="1">
        <v>113.29000000000002</v>
      </c>
      <c r="J323" s="16">
        <v>62509.391550251778</v>
      </c>
      <c r="K323" s="5">
        <v>0.19788028994282542</v>
      </c>
      <c r="L323" s="10">
        <v>260931.4014</v>
      </c>
    </row>
    <row r="324" spans="1:12" x14ac:dyDescent="0.25">
      <c r="A324">
        <v>323</v>
      </c>
      <c r="B324" s="3">
        <v>0.16545217100574308</v>
      </c>
      <c r="C324" s="3">
        <v>6.2801505860094545E-2</v>
      </c>
      <c r="D324" s="1">
        <v>216122.63391223381</v>
      </c>
      <c r="E324" s="1">
        <v>8338706</v>
      </c>
      <c r="F324" s="1">
        <v>27446905</v>
      </c>
      <c r="G324" s="16">
        <v>46797.209671323551</v>
      </c>
      <c r="H324">
        <v>250.12</v>
      </c>
      <c r="I324" s="1">
        <v>650.45000000000005</v>
      </c>
      <c r="J324" s="16">
        <v>262919.84358355735</v>
      </c>
      <c r="K324" s="5">
        <v>2.3227013196026037E-2</v>
      </c>
      <c r="L324" s="10">
        <v>74023.240000000005</v>
      </c>
    </row>
    <row r="325" spans="1:12" x14ac:dyDescent="0.25">
      <c r="A325">
        <v>324</v>
      </c>
      <c r="B325" s="3">
        <v>0.10657967398521205</v>
      </c>
      <c r="C325" s="3">
        <v>7.178703267940352E-2</v>
      </c>
      <c r="D325" s="1">
        <v>165256.01423176855</v>
      </c>
      <c r="E325" s="1">
        <v>4854417</v>
      </c>
      <c r="F325" s="1">
        <v>24160401</v>
      </c>
      <c r="G325" s="16">
        <v>41189.991922036745</v>
      </c>
      <c r="H325">
        <v>121.71</v>
      </c>
      <c r="I325" s="1">
        <v>363.15999999999997</v>
      </c>
      <c r="J325" s="16">
        <v>206446.0061538053</v>
      </c>
      <c r="K325" s="5">
        <v>0.1732420012364092</v>
      </c>
      <c r="L325" s="10">
        <v>327632.81949999998</v>
      </c>
    </row>
    <row r="326" spans="1:12" x14ac:dyDescent="0.25">
      <c r="A326">
        <v>325</v>
      </c>
      <c r="B326" s="3">
        <v>0.19248460515926727</v>
      </c>
      <c r="C326" s="3">
        <v>3.8492318102788636E-2</v>
      </c>
      <c r="D326" s="1">
        <v>134746.89466463917</v>
      </c>
      <c r="E326" s="1">
        <v>4789272</v>
      </c>
      <c r="F326" s="1">
        <v>20980295</v>
      </c>
      <c r="G326" s="16">
        <v>14458.3344061602</v>
      </c>
      <c r="H326">
        <v>78.41</v>
      </c>
      <c r="I326" s="1">
        <v>356.47</v>
      </c>
      <c r="J326" s="16">
        <v>149205.22907079937</v>
      </c>
      <c r="K326" s="5">
        <v>0.25354229079165547</v>
      </c>
      <c r="L326" s="10">
        <v>779253.59270000004</v>
      </c>
    </row>
    <row r="327" spans="1:12" x14ac:dyDescent="0.25">
      <c r="A327">
        <v>326</v>
      </c>
      <c r="B327" s="3">
        <v>0.15706415946905419</v>
      </c>
      <c r="C327" s="3">
        <v>5.7197786274611875E-2</v>
      </c>
      <c r="D327" s="1">
        <v>292322.02940123959</v>
      </c>
      <c r="E327" s="1">
        <v>12855585</v>
      </c>
      <c r="F327" s="1">
        <v>57548841</v>
      </c>
      <c r="G327" s="16">
        <v>102562.13133644633</v>
      </c>
      <c r="H327">
        <v>604.69000000000005</v>
      </c>
      <c r="I327" s="1">
        <v>1384.82</v>
      </c>
      <c r="J327" s="16">
        <v>394884.16073768592</v>
      </c>
      <c r="K327" s="5">
        <v>0.22704899669080555</v>
      </c>
      <c r="L327" s="10">
        <v>1135156.4154000001</v>
      </c>
    </row>
    <row r="328" spans="1:12" x14ac:dyDescent="0.25">
      <c r="A328">
        <v>327</v>
      </c>
      <c r="B328" s="3">
        <v>0.20591505149799244</v>
      </c>
      <c r="C328" s="3">
        <v>2.5893130700279217E-2</v>
      </c>
      <c r="D328" s="1">
        <v>39314.52567164215</v>
      </c>
      <c r="E328" s="1">
        <v>1469452</v>
      </c>
      <c r="F328" s="1">
        <v>13352233</v>
      </c>
      <c r="G328" s="16">
        <v>18167.135434495445</v>
      </c>
      <c r="H328">
        <v>109.08</v>
      </c>
      <c r="I328" s="1">
        <v>370.01</v>
      </c>
      <c r="J328" s="16">
        <v>57481.661106137595</v>
      </c>
      <c r="K328" s="5">
        <v>1.156596969182613E-2</v>
      </c>
      <c r="L328" s="10">
        <v>49056.843999999997</v>
      </c>
    </row>
    <row r="329" spans="1:12" x14ac:dyDescent="0.25">
      <c r="A329">
        <v>328</v>
      </c>
      <c r="B329" s="3">
        <v>0.18838374298813149</v>
      </c>
      <c r="C329" s="3">
        <v>4.9873736157796431E-2</v>
      </c>
      <c r="D329" s="1">
        <v>79237.238479751002</v>
      </c>
      <c r="E329" s="1">
        <v>2773831</v>
      </c>
      <c r="F329" s="1">
        <v>17814841</v>
      </c>
      <c r="G329" s="16">
        <v>25322.833684186902</v>
      </c>
      <c r="H329">
        <v>164.17</v>
      </c>
      <c r="I329" s="1">
        <v>624.59999999999991</v>
      </c>
      <c r="J329" s="16">
        <v>104560.0721639379</v>
      </c>
      <c r="K329" s="5">
        <v>8.9768630538120453E-2</v>
      </c>
      <c r="L329" s="10">
        <v>180267.4308</v>
      </c>
    </row>
    <row r="330" spans="1:12" x14ac:dyDescent="0.25">
      <c r="A330">
        <v>329</v>
      </c>
      <c r="B330" s="3">
        <v>0.23954461856608689</v>
      </c>
      <c r="C330" s="3">
        <v>5.7400841863900459E-2</v>
      </c>
      <c r="D330" s="1">
        <v>129005.06526855195</v>
      </c>
      <c r="E330" s="1">
        <v>7219627</v>
      </c>
      <c r="F330" s="1">
        <v>23879620</v>
      </c>
      <c r="G330" s="16">
        <v>15440.617939674752</v>
      </c>
      <c r="H330">
        <v>120.24</v>
      </c>
      <c r="I330" s="1">
        <v>349.21000000000004</v>
      </c>
      <c r="J330" s="16">
        <v>144445.68320822669</v>
      </c>
      <c r="K330" s="5">
        <v>0.19555593853334405</v>
      </c>
      <c r="L330" s="10">
        <v>349961.19569999998</v>
      </c>
    </row>
    <row r="331" spans="1:12" x14ac:dyDescent="0.25">
      <c r="A331">
        <v>330</v>
      </c>
      <c r="B331" s="3">
        <v>0.18122313961557662</v>
      </c>
      <c r="C331" s="3">
        <v>6.6882737428047553E-2</v>
      </c>
      <c r="D331" s="1">
        <v>153952.19869398032</v>
      </c>
      <c r="E331" s="1">
        <v>6411017</v>
      </c>
      <c r="F331" s="1">
        <v>25312175</v>
      </c>
      <c r="G331" s="16">
        <v>21552.223090828982</v>
      </c>
      <c r="H331">
        <v>107.57</v>
      </c>
      <c r="I331" s="1">
        <v>302.39999999999998</v>
      </c>
      <c r="J331" s="16">
        <v>175504.4217848093</v>
      </c>
      <c r="K331" s="5">
        <v>7.7750833306687722E-2</v>
      </c>
      <c r="L331" s="10">
        <v>143202.63829999999</v>
      </c>
    </row>
    <row r="332" spans="1:12" x14ac:dyDescent="0.25">
      <c r="A332">
        <v>331</v>
      </c>
      <c r="B332" s="3">
        <v>0.22595106431759682</v>
      </c>
      <c r="C332" s="3">
        <v>5.7638996524457281E-2</v>
      </c>
      <c r="D332" s="1">
        <v>94903.719429805686</v>
      </c>
      <c r="E332" s="1">
        <v>3829846</v>
      </c>
      <c r="F332" s="1">
        <v>19612472</v>
      </c>
      <c r="G332" s="16">
        <v>12047.300708406143</v>
      </c>
      <c r="H332">
        <v>84.39</v>
      </c>
      <c r="I332" s="1">
        <v>320.15999999999997</v>
      </c>
      <c r="J332" s="16">
        <v>106951.02013821182</v>
      </c>
      <c r="K332" s="5">
        <v>0.1214232278889928</v>
      </c>
      <c r="L332" s="10">
        <v>172887.3462</v>
      </c>
    </row>
    <row r="333" spans="1:12" x14ac:dyDescent="0.25">
      <c r="A333">
        <v>332</v>
      </c>
      <c r="B333" s="3">
        <v>0.22196838947330139</v>
      </c>
      <c r="C333" s="3">
        <v>2.4535208459870346E-2</v>
      </c>
      <c r="D333" s="1">
        <v>230174.51481234506</v>
      </c>
      <c r="E333" s="1">
        <v>11756307</v>
      </c>
      <c r="F333" s="1">
        <v>38771641</v>
      </c>
      <c r="G333" s="16">
        <v>12734.533556790577</v>
      </c>
      <c r="H333">
        <v>110.94</v>
      </c>
      <c r="I333" s="1">
        <v>421.33</v>
      </c>
      <c r="J333" s="16">
        <v>242909.04836913565</v>
      </c>
      <c r="K333" s="5">
        <v>0.27968841872050737</v>
      </c>
      <c r="L333" s="10">
        <v>2400564.7872000001</v>
      </c>
    </row>
    <row r="334" spans="1:12" x14ac:dyDescent="0.25">
      <c r="A334">
        <v>333</v>
      </c>
      <c r="B334" s="3">
        <v>0.21922256668512655</v>
      </c>
      <c r="C334" s="3">
        <v>4.9567960546058623E-2</v>
      </c>
      <c r="D334" s="1">
        <v>149040.78709935406</v>
      </c>
      <c r="E334" s="1">
        <v>7505835</v>
      </c>
      <c r="F334" s="1">
        <v>26700292</v>
      </c>
      <c r="G334" s="16">
        <v>13010.342012904368</v>
      </c>
      <c r="H334">
        <v>86.33</v>
      </c>
      <c r="I334" s="1">
        <v>342.06</v>
      </c>
      <c r="J334" s="16">
        <v>162051.12911225844</v>
      </c>
      <c r="K334" s="5">
        <v>6.7117570283530784E-2</v>
      </c>
      <c r="L334" s="10">
        <v>169308.2432</v>
      </c>
    </row>
    <row r="335" spans="1:12" x14ac:dyDescent="0.25">
      <c r="A335">
        <v>334</v>
      </c>
      <c r="B335" s="3">
        <v>0.1061011936751662</v>
      </c>
      <c r="C335" s="3">
        <v>2.1378131376332342E-2</v>
      </c>
      <c r="D335" s="1">
        <v>499790.22871227405</v>
      </c>
      <c r="E335" s="1">
        <v>16388859</v>
      </c>
      <c r="F335" s="1">
        <v>58316446</v>
      </c>
      <c r="G335" s="16">
        <v>19338.49731565289</v>
      </c>
      <c r="H335">
        <v>56.99</v>
      </c>
      <c r="I335" s="1">
        <v>215.69</v>
      </c>
      <c r="J335" s="16">
        <v>519128.72602792695</v>
      </c>
      <c r="K335" s="5">
        <v>0.17566335290467167</v>
      </c>
      <c r="L335" s="10">
        <v>3759425.6757999999</v>
      </c>
    </row>
    <row r="336" spans="1:12" x14ac:dyDescent="0.25">
      <c r="A336">
        <v>335</v>
      </c>
      <c r="B336" s="3">
        <v>0.19176995857512208</v>
      </c>
      <c r="C336" s="3">
        <v>6.7601574253655802E-2</v>
      </c>
      <c r="D336" s="1">
        <v>264552.0201787476</v>
      </c>
      <c r="E336" s="1">
        <v>14356184</v>
      </c>
      <c r="F336" s="1">
        <v>44537897</v>
      </c>
      <c r="G336" s="16">
        <v>10109.818441597869</v>
      </c>
      <c r="H336">
        <v>54.54</v>
      </c>
      <c r="I336" s="1">
        <v>209.92999999999998</v>
      </c>
      <c r="J336" s="16">
        <v>274661.83862034546</v>
      </c>
      <c r="K336" s="5">
        <v>0.14402044151224822</v>
      </c>
      <c r="L336" s="10">
        <v>413744.65769999998</v>
      </c>
    </row>
    <row r="337" spans="1:12" x14ac:dyDescent="0.25">
      <c r="A337">
        <v>336</v>
      </c>
      <c r="B337" s="3">
        <v>0.14099894204231325</v>
      </c>
      <c r="C337" s="3">
        <v>2.201414064820624E-2</v>
      </c>
      <c r="D337" s="1">
        <v>186399.11931287506</v>
      </c>
      <c r="E337" s="1">
        <v>5503835</v>
      </c>
      <c r="F337" s="1">
        <v>20536895</v>
      </c>
      <c r="G337" s="16">
        <v>68923.501627983016</v>
      </c>
      <c r="H337">
        <v>300.45</v>
      </c>
      <c r="I337" s="1">
        <v>726.47</v>
      </c>
      <c r="J337" s="16">
        <v>255322.62094085809</v>
      </c>
      <c r="K337" s="5">
        <v>0.14229014335512075</v>
      </c>
      <c r="L337" s="10">
        <v>1441193.4180999999</v>
      </c>
    </row>
    <row r="338" spans="1:12" x14ac:dyDescent="0.25">
      <c r="A338">
        <v>337</v>
      </c>
      <c r="B338" s="3">
        <v>0.13964575023938786</v>
      </c>
      <c r="C338" s="3">
        <v>4.0397536211702556E-2</v>
      </c>
      <c r="D338" s="1">
        <v>126179.82021638456</v>
      </c>
      <c r="E338" s="1">
        <v>3708186</v>
      </c>
      <c r="F338" s="1">
        <v>13615966</v>
      </c>
      <c r="G338" s="16">
        <v>55777.763875888551</v>
      </c>
      <c r="H338">
        <v>240.26</v>
      </c>
      <c r="I338" s="1">
        <v>641.88</v>
      </c>
      <c r="J338" s="16">
        <v>181957.58409227311</v>
      </c>
      <c r="K338" s="5">
        <v>0.13633888112186368</v>
      </c>
      <c r="L338" s="10">
        <v>480914.68680000002</v>
      </c>
    </row>
    <row r="339" spans="1:12" x14ac:dyDescent="0.25">
      <c r="A339">
        <v>338</v>
      </c>
      <c r="B339" s="3">
        <v>0.17960185124670375</v>
      </c>
      <c r="C339" s="3">
        <v>3.2366750936211428E-2</v>
      </c>
      <c r="D339" s="1">
        <v>54410.161981718295</v>
      </c>
      <c r="E339" s="1">
        <v>1844200</v>
      </c>
      <c r="F339" s="1">
        <v>11547954</v>
      </c>
      <c r="G339" s="16">
        <v>48190.166469863798</v>
      </c>
      <c r="H339">
        <v>289.87</v>
      </c>
      <c r="I339" s="1">
        <v>742.38</v>
      </c>
      <c r="J339" s="16">
        <v>102600.32845158209</v>
      </c>
      <c r="K339" s="5">
        <v>-3.1125486592520561E-2</v>
      </c>
      <c r="L339" s="10">
        <v>-71380.209199999998</v>
      </c>
    </row>
    <row r="340" spans="1:12" x14ac:dyDescent="0.25">
      <c r="A340">
        <v>339</v>
      </c>
      <c r="B340" s="3">
        <v>0.18303514332008497</v>
      </c>
      <c r="C340" s="3">
        <v>4.4824962098018339E-2</v>
      </c>
      <c r="D340" s="1">
        <v>211065.11778564897</v>
      </c>
      <c r="E340" s="1">
        <v>8867600</v>
      </c>
      <c r="F340" s="1">
        <v>38120186</v>
      </c>
      <c r="G340" s="16">
        <v>43322.099970496944</v>
      </c>
      <c r="H340">
        <v>328.44</v>
      </c>
      <c r="I340" s="1">
        <v>795.82999999999993</v>
      </c>
      <c r="J340" s="16">
        <v>254387.21775614592</v>
      </c>
      <c r="K340" s="5">
        <v>8.7451100591024122E-2</v>
      </c>
      <c r="L340" s="10">
        <v>432336.4547</v>
      </c>
    </row>
    <row r="341" spans="1:12" x14ac:dyDescent="0.25">
      <c r="A341">
        <v>340</v>
      </c>
      <c r="B341" s="3">
        <v>0.1059335226615114</v>
      </c>
      <c r="C341" s="3">
        <v>5.252831922174081E-2</v>
      </c>
      <c r="D341" s="1">
        <v>275397.04299505282</v>
      </c>
      <c r="E341" s="1">
        <v>8066457</v>
      </c>
      <c r="F341" s="1">
        <v>35736538</v>
      </c>
      <c r="G341" s="16">
        <v>60819.462404850048</v>
      </c>
      <c r="H341">
        <v>200.34</v>
      </c>
      <c r="I341" s="1">
        <v>593.91000000000008</v>
      </c>
      <c r="J341" s="16">
        <v>336216.50539990288</v>
      </c>
      <c r="K341" s="5">
        <v>3.0068599568574311E-2</v>
      </c>
      <c r="L341" s="10">
        <v>152678.66639999999</v>
      </c>
    </row>
    <row r="342" spans="1:12" x14ac:dyDescent="0.25">
      <c r="A342">
        <v>341</v>
      </c>
      <c r="B342" s="3">
        <v>0.13421995115303287</v>
      </c>
      <c r="C342" s="3">
        <v>3.3204464785731164E-2</v>
      </c>
      <c r="D342" s="1">
        <v>118433.94039995795</v>
      </c>
      <c r="E342" s="1">
        <v>3945016</v>
      </c>
      <c r="F342" s="1">
        <v>23655075</v>
      </c>
      <c r="G342" s="16">
        <v>10031.911890540381</v>
      </c>
      <c r="H342">
        <v>31.02</v>
      </c>
      <c r="I342" s="1">
        <v>164.6</v>
      </c>
      <c r="J342" s="16">
        <v>128465.85229049833</v>
      </c>
      <c r="K342" s="5">
        <v>5.0665144066735814E-2</v>
      </c>
      <c r="L342" s="10">
        <v>202831.8567</v>
      </c>
    </row>
    <row r="343" spans="1:12" x14ac:dyDescent="0.25">
      <c r="A343">
        <v>342</v>
      </c>
      <c r="B343" s="3">
        <v>0.1244977192251174</v>
      </c>
      <c r="C343" s="3">
        <v>5.7491432006676543E-2</v>
      </c>
      <c r="D343" s="1">
        <v>148714.41506662351</v>
      </c>
      <c r="E343" s="1">
        <v>4737252</v>
      </c>
      <c r="F343" s="1">
        <v>22348870</v>
      </c>
      <c r="G343" s="16">
        <v>21013.908767582259</v>
      </c>
      <c r="H343">
        <v>70.31</v>
      </c>
      <c r="I343" s="1">
        <v>251.82999999999998</v>
      </c>
      <c r="J343" s="16">
        <v>169728.32383420577</v>
      </c>
      <c r="K343" s="5">
        <v>5.1198963917069011E-2</v>
      </c>
      <c r="L343" s="10">
        <v>129329.43769999999</v>
      </c>
    </row>
    <row r="344" spans="1:12" x14ac:dyDescent="0.25">
      <c r="A344">
        <v>343</v>
      </c>
      <c r="B344" s="3">
        <v>0.11315068132863863</v>
      </c>
      <c r="C344" s="3">
        <v>3.3662598560624007E-2</v>
      </c>
      <c r="D344" s="1">
        <v>200673.61700947097</v>
      </c>
      <c r="E344" s="1">
        <v>6071466</v>
      </c>
      <c r="F344" s="1">
        <v>25097819</v>
      </c>
      <c r="G344" s="16">
        <v>56687.982173676464</v>
      </c>
      <c r="H344">
        <v>197.86</v>
      </c>
      <c r="I344" s="1">
        <v>745.92</v>
      </c>
      <c r="J344" s="16">
        <v>257361.59918314742</v>
      </c>
      <c r="K344" s="5">
        <v>0.27745324567916352</v>
      </c>
      <c r="L344" s="10">
        <v>1726968.6997</v>
      </c>
    </row>
    <row r="345" spans="1:12" x14ac:dyDescent="0.25">
      <c r="A345">
        <v>344</v>
      </c>
      <c r="B345" s="3">
        <v>0.20186075116872665</v>
      </c>
      <c r="C345" s="3">
        <v>5.5218470574509515E-2</v>
      </c>
      <c r="D345" s="1">
        <v>141620.79567195161</v>
      </c>
      <c r="E345" s="1">
        <v>6531530</v>
      </c>
      <c r="F345" s="1">
        <v>27059810</v>
      </c>
      <c r="G345" s="16">
        <v>8382.9691089874359</v>
      </c>
      <c r="H345">
        <v>38.99</v>
      </c>
      <c r="I345" s="1">
        <v>156.85</v>
      </c>
      <c r="J345" s="16">
        <v>150003.76478093903</v>
      </c>
      <c r="K345" s="5">
        <v>8.5970720217567978E-2</v>
      </c>
      <c r="L345" s="10">
        <v>184117.9688</v>
      </c>
    </row>
    <row r="346" spans="1:12" x14ac:dyDescent="0.25">
      <c r="A346">
        <v>345</v>
      </c>
      <c r="B346" s="3">
        <v>0.12891246899300962</v>
      </c>
      <c r="C346" s="3">
        <v>7.0371297350179121E-2</v>
      </c>
      <c r="D346" s="1">
        <v>899068.4125033475</v>
      </c>
      <c r="E346" s="1">
        <v>38514532</v>
      </c>
      <c r="F346" s="1">
        <v>149959894</v>
      </c>
      <c r="G346" s="16">
        <v>42403.278670023305</v>
      </c>
      <c r="H346">
        <v>167.88</v>
      </c>
      <c r="I346" s="1">
        <v>555.07999999999993</v>
      </c>
      <c r="J346" s="16">
        <v>941471.69117337081</v>
      </c>
      <c r="K346" s="5">
        <v>0.19023127870713941</v>
      </c>
      <c r="L346" s="10">
        <v>1691908.3374999999</v>
      </c>
    </row>
    <row r="347" spans="1:12" x14ac:dyDescent="0.25">
      <c r="A347">
        <v>346</v>
      </c>
      <c r="B347" s="3">
        <v>0.10452662547859189</v>
      </c>
      <c r="C347" s="3">
        <v>5.6180905802713982E-2</v>
      </c>
      <c r="D347" s="1">
        <v>141105.23237233967</v>
      </c>
      <c r="E347" s="1">
        <v>4107100</v>
      </c>
      <c r="F347" s="1">
        <v>24038037</v>
      </c>
      <c r="G347" s="16">
        <v>57687.500703594218</v>
      </c>
      <c r="H347">
        <v>187.96</v>
      </c>
      <c r="I347" s="1">
        <v>472.25</v>
      </c>
      <c r="J347" s="16">
        <v>198792.73307593388</v>
      </c>
      <c r="K347" s="5">
        <v>6.7306511096165478E-2</v>
      </c>
      <c r="L347" s="10">
        <v>230175.09599999999</v>
      </c>
    </row>
    <row r="348" spans="1:12" x14ac:dyDescent="0.25">
      <c r="A348">
        <v>347</v>
      </c>
      <c r="B348" s="3">
        <v>0.17797613202607721</v>
      </c>
      <c r="C348" s="3">
        <v>5.627532150947076E-2</v>
      </c>
      <c r="D348" s="1">
        <v>87064.843582251793</v>
      </c>
      <c r="E348" s="1">
        <v>3568681</v>
      </c>
      <c r="F348" s="1">
        <v>23592510</v>
      </c>
      <c r="G348" s="16">
        <v>19800.945085732066</v>
      </c>
      <c r="H348">
        <v>117.41</v>
      </c>
      <c r="I348" s="1">
        <v>462.46000000000004</v>
      </c>
      <c r="J348" s="16">
        <v>106865.78866798386</v>
      </c>
      <c r="K348" s="5">
        <v>0.12687959260416673</v>
      </c>
      <c r="L348" s="10">
        <v>207247.85920000001</v>
      </c>
    </row>
    <row r="349" spans="1:12" x14ac:dyDescent="0.25">
      <c r="A349">
        <v>348</v>
      </c>
      <c r="B349" s="3">
        <v>0.10424262326596559</v>
      </c>
      <c r="C349" s="3">
        <v>6.0244696201307263E-2</v>
      </c>
      <c r="D349" s="1">
        <v>416946.35048554052</v>
      </c>
      <c r="E349" s="1">
        <v>13531039</v>
      </c>
      <c r="F349" s="1">
        <v>48262261</v>
      </c>
      <c r="G349" s="16">
        <v>82520.58086960997</v>
      </c>
      <c r="H349">
        <v>299.75</v>
      </c>
      <c r="I349" s="1">
        <v>925.65</v>
      </c>
      <c r="J349" s="16">
        <v>499466.93135515047</v>
      </c>
      <c r="K349" s="5">
        <v>-2.8954045452161695E-2</v>
      </c>
      <c r="L349" s="10">
        <v>-115108.59269999999</v>
      </c>
    </row>
    <row r="350" spans="1:12" x14ac:dyDescent="0.25">
      <c r="A350">
        <v>349</v>
      </c>
      <c r="B350" s="3">
        <v>0.13118530907633111</v>
      </c>
      <c r="C350" s="3">
        <v>6.8772892511076489E-2</v>
      </c>
      <c r="D350" s="1">
        <v>329933.7428461684</v>
      </c>
      <c r="E350" s="1">
        <v>10837310</v>
      </c>
      <c r="F350" s="1">
        <v>30175274</v>
      </c>
      <c r="G350" s="16">
        <v>38578.393650257065</v>
      </c>
      <c r="H350">
        <v>134.72999999999999</v>
      </c>
      <c r="I350" s="1">
        <v>362.14</v>
      </c>
      <c r="J350" s="16">
        <v>368512.13649642549</v>
      </c>
      <c r="K350" s="5">
        <v>0.12797600404007997</v>
      </c>
      <c r="L350" s="10">
        <v>439283.01929999999</v>
      </c>
    </row>
    <row r="351" spans="1:12" x14ac:dyDescent="0.25">
      <c r="A351">
        <v>350</v>
      </c>
      <c r="B351" s="3">
        <v>0.13601748101527286</v>
      </c>
      <c r="C351" s="3">
        <v>4.0655459815001058E-2</v>
      </c>
      <c r="D351" s="1">
        <v>220867.20011530942</v>
      </c>
      <c r="E351" s="1">
        <v>7418463</v>
      </c>
      <c r="F351" s="1">
        <v>31312057</v>
      </c>
      <c r="G351" s="16">
        <v>58372.72027624301</v>
      </c>
      <c r="H351">
        <v>282.41000000000003</v>
      </c>
      <c r="I351" s="1">
        <v>783.69</v>
      </c>
      <c r="J351" s="16">
        <v>279239.92039155244</v>
      </c>
      <c r="K351" s="5">
        <v>0.14726679368350454</v>
      </c>
      <c r="L351" s="10">
        <v>783933.32120000001</v>
      </c>
    </row>
    <row r="352" spans="1:12" x14ac:dyDescent="0.25">
      <c r="A352">
        <v>351</v>
      </c>
      <c r="B352" s="3">
        <v>0.13820192749694127</v>
      </c>
      <c r="C352" s="3">
        <v>6.174835986795621E-2</v>
      </c>
      <c r="D352" s="1">
        <v>196233.68182305348</v>
      </c>
      <c r="E352" s="1">
        <v>6658156</v>
      </c>
      <c r="F352" s="1">
        <v>24337670</v>
      </c>
      <c r="G352" s="16">
        <v>20663.002882822344</v>
      </c>
      <c r="H352">
        <v>75.98</v>
      </c>
      <c r="I352" s="1">
        <v>326.79000000000002</v>
      </c>
      <c r="J352" s="16">
        <v>216896.68470587581</v>
      </c>
      <c r="K352" s="5">
        <v>0.11065364746503044</v>
      </c>
      <c r="L352" s="10">
        <v>268677.94020000001</v>
      </c>
    </row>
    <row r="353" spans="1:12" x14ac:dyDescent="0.25">
      <c r="A353">
        <v>352</v>
      </c>
      <c r="B353" s="3">
        <v>0.23351013179526398</v>
      </c>
      <c r="C353" s="3">
        <v>6.06387745337649E-2</v>
      </c>
      <c r="D353" s="1">
        <v>194351.52481659746</v>
      </c>
      <c r="E353" s="1">
        <v>10538166</v>
      </c>
      <c r="F353" s="1">
        <v>31844306</v>
      </c>
      <c r="G353" s="16">
        <v>40243.405009634196</v>
      </c>
      <c r="H353">
        <v>663.44</v>
      </c>
      <c r="I353" s="1">
        <v>1571.12</v>
      </c>
      <c r="J353" s="16">
        <v>234594.92982623167</v>
      </c>
      <c r="K353" s="5">
        <v>7.3777633164490819E-2</v>
      </c>
      <c r="L353" s="10">
        <v>224873.45139999999</v>
      </c>
    </row>
    <row r="354" spans="1:12" x14ac:dyDescent="0.25">
      <c r="A354">
        <v>353</v>
      </c>
      <c r="B354" s="3">
        <v>0.20603129435931858</v>
      </c>
      <c r="C354" s="3">
        <v>4.6608308677957205E-2</v>
      </c>
      <c r="D354" s="1">
        <v>130220.9901319349</v>
      </c>
      <c r="E354" s="1">
        <v>6132967</v>
      </c>
      <c r="F354" s="1">
        <v>36524158</v>
      </c>
      <c r="G354" s="16">
        <v>25819.115018030574</v>
      </c>
      <c r="H354">
        <v>194.8</v>
      </c>
      <c r="I354" s="1">
        <v>607.52</v>
      </c>
      <c r="J354" s="16">
        <v>156040.10514996547</v>
      </c>
      <c r="K354" s="5">
        <v>0.10741866344543277</v>
      </c>
      <c r="L354" s="10">
        <v>301556.76650000003</v>
      </c>
    </row>
    <row r="355" spans="1:12" x14ac:dyDescent="0.25">
      <c r="A355">
        <v>354</v>
      </c>
      <c r="B355" s="3">
        <v>0.15180494257177835</v>
      </c>
      <c r="C355" s="3">
        <v>7.8294154435166255E-2</v>
      </c>
      <c r="D355" s="1">
        <v>154985.00526027734</v>
      </c>
      <c r="E355" s="1">
        <v>5604146</v>
      </c>
      <c r="F355" s="1">
        <v>25707831</v>
      </c>
      <c r="G355" s="16">
        <v>12909.482058783593</v>
      </c>
      <c r="H355">
        <v>52.19</v>
      </c>
      <c r="I355" s="1">
        <v>219.17</v>
      </c>
      <c r="J355" s="16">
        <v>167894.48731906092</v>
      </c>
      <c r="K355" s="5">
        <v>0.1871788984959076</v>
      </c>
      <c r="L355" s="10">
        <v>272591.68099999998</v>
      </c>
    </row>
    <row r="356" spans="1:12" x14ac:dyDescent="0.25">
      <c r="A356">
        <v>355</v>
      </c>
      <c r="B356" s="3">
        <v>0.1196439082217097</v>
      </c>
      <c r="C356" s="3">
        <v>7.5712579457707568E-2</v>
      </c>
      <c r="D356" s="1">
        <v>359281.05797439354</v>
      </c>
      <c r="E356" s="1">
        <v>11194470</v>
      </c>
      <c r="F356" s="1">
        <v>34742641</v>
      </c>
      <c r="G356" s="16">
        <v>42677.677870524538</v>
      </c>
      <c r="H356">
        <v>156.57</v>
      </c>
      <c r="I356" s="1">
        <v>464.16</v>
      </c>
      <c r="J356" s="16">
        <v>401958.73584491806</v>
      </c>
      <c r="K356" s="5">
        <v>0.12470091890887934</v>
      </c>
      <c r="L356" s="10">
        <v>414606.62270000001</v>
      </c>
    </row>
    <row r="357" spans="1:12" x14ac:dyDescent="0.25">
      <c r="A357">
        <v>356</v>
      </c>
      <c r="B357" s="3">
        <v>0.22904734200986221</v>
      </c>
      <c r="C357" s="3">
        <v>6.6865094779363601E-2</v>
      </c>
      <c r="D357" s="1">
        <v>148834.65473240448</v>
      </c>
      <c r="E357" s="1">
        <v>6078884</v>
      </c>
      <c r="F357" s="1">
        <v>20597282</v>
      </c>
      <c r="G357" s="16">
        <v>13045.503292322534</v>
      </c>
      <c r="H357">
        <v>121</v>
      </c>
      <c r="I357" s="1">
        <v>430.42999999999995</v>
      </c>
      <c r="J357" s="16">
        <v>161880.15802472702</v>
      </c>
      <c r="K357" s="5">
        <v>0.19044472622013647</v>
      </c>
      <c r="L357" s="10">
        <v>300701.23810000002</v>
      </c>
    </row>
    <row r="358" spans="1:12" x14ac:dyDescent="0.25">
      <c r="A358">
        <v>357</v>
      </c>
      <c r="B358" s="3">
        <v>0.2458827832222362</v>
      </c>
      <c r="C358" s="3">
        <v>5.9936921509886248E-2</v>
      </c>
      <c r="D358" s="1">
        <v>140947.20889610134</v>
      </c>
      <c r="E358" s="1">
        <v>8156500</v>
      </c>
      <c r="F358" s="1">
        <v>36824114</v>
      </c>
      <c r="G358" s="16">
        <v>14888.630380211747</v>
      </c>
      <c r="H358">
        <v>161.6</v>
      </c>
      <c r="I358" s="1">
        <v>519.65</v>
      </c>
      <c r="J358" s="16">
        <v>155835.83927631308</v>
      </c>
      <c r="K358" s="5">
        <v>0.23746451930108492</v>
      </c>
      <c r="L358" s="10">
        <v>454154.78230000002</v>
      </c>
    </row>
    <row r="359" spans="1:12" x14ac:dyDescent="0.25">
      <c r="A359">
        <v>358</v>
      </c>
      <c r="B359" s="3">
        <v>0.20708959517391876</v>
      </c>
      <c r="C359" s="3">
        <v>4.3626172579792254E-2</v>
      </c>
      <c r="D359" s="1">
        <v>48050.790267015305</v>
      </c>
      <c r="E359" s="1">
        <v>1430393</v>
      </c>
      <c r="F359" s="1">
        <v>6799656</v>
      </c>
      <c r="G359" s="16">
        <v>25548.568115232127</v>
      </c>
      <c r="H359">
        <v>195.17</v>
      </c>
      <c r="I359" s="1">
        <v>623.09999999999991</v>
      </c>
      <c r="J359" s="16">
        <v>73599.358382247432</v>
      </c>
      <c r="K359" s="5">
        <v>0.22162451745857309</v>
      </c>
      <c r="L359" s="10">
        <v>291908.1433</v>
      </c>
    </row>
    <row r="360" spans="1:12" x14ac:dyDescent="0.25">
      <c r="A360">
        <v>359</v>
      </c>
      <c r="B360" s="3">
        <v>0.23824792312524773</v>
      </c>
      <c r="C360" s="3">
        <v>6.6586333804094983E-2</v>
      </c>
      <c r="D360" s="1">
        <v>62743.758667788512</v>
      </c>
      <c r="E360" s="1">
        <v>2656633</v>
      </c>
      <c r="F360" s="1">
        <v>18617168</v>
      </c>
      <c r="G360" s="16">
        <v>11945.328516395655</v>
      </c>
      <c r="H360">
        <v>91.99</v>
      </c>
      <c r="I360" s="1">
        <v>375.6</v>
      </c>
      <c r="J360" s="16">
        <v>74689.087184184173</v>
      </c>
      <c r="K360" s="5">
        <v>5.2913520878060685E-2</v>
      </c>
      <c r="L360" s="10">
        <v>62244.554499999998</v>
      </c>
    </row>
    <row r="361" spans="1:12" x14ac:dyDescent="0.25">
      <c r="A361">
        <v>360</v>
      </c>
      <c r="B361" s="3">
        <v>0.19510163230000938</v>
      </c>
      <c r="C361" s="3">
        <v>7.0367013268033324E-2</v>
      </c>
      <c r="D361" s="1">
        <v>68150.099824883684</v>
      </c>
      <c r="E361" s="1">
        <v>2445941</v>
      </c>
      <c r="F361" s="1">
        <v>13127683</v>
      </c>
      <c r="G361" s="16">
        <v>11020.413016124978</v>
      </c>
      <c r="H361">
        <v>60.94</v>
      </c>
      <c r="I361" s="1">
        <v>234.77</v>
      </c>
      <c r="J361" s="16">
        <v>79170.512841008662</v>
      </c>
      <c r="K361" s="5">
        <v>2.3813433949126654E-2</v>
      </c>
      <c r="L361" s="10">
        <v>41942.817900000002</v>
      </c>
    </row>
    <row r="362" spans="1:12" x14ac:dyDescent="0.25">
      <c r="A362">
        <v>361</v>
      </c>
      <c r="B362" s="3">
        <v>0.10307338603980931</v>
      </c>
      <c r="C362" s="3">
        <v>4.3376968583801821E-2</v>
      </c>
      <c r="D362" s="1">
        <v>243437.27012643969</v>
      </c>
      <c r="E362" s="1">
        <v>7848843</v>
      </c>
      <c r="F362" s="1">
        <v>43619668</v>
      </c>
      <c r="G362" s="16">
        <v>48503.827195338905</v>
      </c>
      <c r="H362">
        <v>156.22</v>
      </c>
      <c r="I362" s="1">
        <v>449.03999999999996</v>
      </c>
      <c r="J362" s="16">
        <v>291941.09732177859</v>
      </c>
      <c r="K362" s="5">
        <v>5.9003882692050265E-2</v>
      </c>
      <c r="L362" s="10">
        <v>380510.1312</v>
      </c>
    </row>
    <row r="363" spans="1:12" x14ac:dyDescent="0.25">
      <c r="A363">
        <v>362</v>
      </c>
      <c r="B363" s="3">
        <v>0.10322621712675069</v>
      </c>
      <c r="C363" s="3">
        <v>5.5974264416012762E-2</v>
      </c>
      <c r="D363" s="1">
        <v>143447.26098027368</v>
      </c>
      <c r="E363" s="1">
        <v>4151104</v>
      </c>
      <c r="F363" s="1">
        <v>22802282</v>
      </c>
      <c r="G363" s="16">
        <v>37376.745359258937</v>
      </c>
      <c r="H363">
        <v>120.64</v>
      </c>
      <c r="I363" s="1">
        <v>393.78999999999996</v>
      </c>
      <c r="J363" s="16">
        <v>180824.00633953261</v>
      </c>
      <c r="K363" s="5">
        <v>0.20188114890759493</v>
      </c>
      <c r="L363" s="10">
        <v>504698.9314</v>
      </c>
    </row>
    <row r="364" spans="1:12" x14ac:dyDescent="0.25">
      <c r="A364">
        <v>363</v>
      </c>
      <c r="B364" s="3">
        <v>0.13961580879793492</v>
      </c>
      <c r="C364" s="3">
        <v>2.3041144803707836E-2</v>
      </c>
      <c r="D364" s="1">
        <v>278370.90311520878</v>
      </c>
      <c r="E364" s="1">
        <v>11050072</v>
      </c>
      <c r="F364" s="1">
        <v>45256910</v>
      </c>
      <c r="G364" s="16">
        <v>77397.431318685689</v>
      </c>
      <c r="H364">
        <v>387.54</v>
      </c>
      <c r="I364" s="1">
        <v>1008.31</v>
      </c>
      <c r="J364" s="16">
        <v>355768.33443389449</v>
      </c>
      <c r="K364" s="5">
        <v>8.399833385256375E-2</v>
      </c>
      <c r="L364" s="10">
        <v>1231557.8662</v>
      </c>
    </row>
    <row r="365" spans="1:12" x14ac:dyDescent="0.25">
      <c r="A365">
        <v>364</v>
      </c>
      <c r="B365" s="3">
        <v>0.24511346580439458</v>
      </c>
      <c r="C365" s="3">
        <v>4.2706556492451378E-2</v>
      </c>
      <c r="D365" s="1">
        <v>91713.550085100855</v>
      </c>
      <c r="E365" s="1">
        <v>3990172</v>
      </c>
      <c r="F365" s="1">
        <v>18887311</v>
      </c>
      <c r="G365" s="16">
        <v>11275.453577120208</v>
      </c>
      <c r="H365">
        <v>121.4</v>
      </c>
      <c r="I365" s="1">
        <v>437.95000000000005</v>
      </c>
      <c r="J365" s="16">
        <v>102989.00366222106</v>
      </c>
      <c r="K365" s="5">
        <v>1.7322913955943091E-2</v>
      </c>
      <c r="L365" s="10">
        <v>53345.489699999998</v>
      </c>
    </row>
    <row r="366" spans="1:12" x14ac:dyDescent="0.25">
      <c r="A366">
        <v>365</v>
      </c>
      <c r="B366" s="3">
        <v>0.14747712060902607</v>
      </c>
      <c r="C366" s="3">
        <v>6.2316791857851675E-2</v>
      </c>
      <c r="D366" s="1">
        <v>231824.01840821802</v>
      </c>
      <c r="E366" s="1">
        <v>8213665</v>
      </c>
      <c r="F366" s="1">
        <v>42282515</v>
      </c>
      <c r="G366" s="16">
        <v>27635.849072486137</v>
      </c>
      <c r="H366">
        <v>127.04</v>
      </c>
      <c r="I366" s="1">
        <v>565.58999999999992</v>
      </c>
      <c r="J366" s="16">
        <v>259459.86748070415</v>
      </c>
      <c r="K366" s="5">
        <v>0.14170682143630664</v>
      </c>
      <c r="L366" s="10">
        <v>428813.31069999997</v>
      </c>
    </row>
    <row r="367" spans="1:12" x14ac:dyDescent="0.25">
      <c r="A367">
        <v>366</v>
      </c>
      <c r="B367" s="3">
        <v>0.22733813604960068</v>
      </c>
      <c r="C367" s="3">
        <v>3.9797481655261847E-2</v>
      </c>
      <c r="D367" s="1">
        <v>109916.48564906775</v>
      </c>
      <c r="E367" s="1">
        <v>4459617</v>
      </c>
      <c r="F367" s="1">
        <v>19033861</v>
      </c>
      <c r="G367" s="16">
        <v>29622.742808068448</v>
      </c>
      <c r="H367">
        <v>271.26</v>
      </c>
      <c r="I367" s="1">
        <v>643.31999999999994</v>
      </c>
      <c r="J367" s="16">
        <v>139539.2284571362</v>
      </c>
      <c r="K367" s="5">
        <v>0.15255699248094504</v>
      </c>
      <c r="L367" s="10">
        <v>438667.41470000002</v>
      </c>
    </row>
    <row r="368" spans="1:12" x14ac:dyDescent="0.25">
      <c r="A368">
        <v>367</v>
      </c>
      <c r="B368" s="3">
        <v>0.12981822199616574</v>
      </c>
      <c r="C368" s="3">
        <v>5.5001843875260359E-2</v>
      </c>
      <c r="D368" s="1">
        <v>293232.54484193202</v>
      </c>
      <c r="E368" s="1">
        <v>9571386</v>
      </c>
      <c r="F368" s="1">
        <v>33935608</v>
      </c>
      <c r="G368" s="16">
        <v>76882.062797738676</v>
      </c>
      <c r="H368">
        <v>306.16000000000003</v>
      </c>
      <c r="I368" s="1">
        <v>735.01</v>
      </c>
      <c r="J368" s="16">
        <v>370114.60763967072</v>
      </c>
      <c r="K368" s="5">
        <v>7.0469397769839501E-2</v>
      </c>
      <c r="L368" s="10">
        <v>375609.386</v>
      </c>
    </row>
    <row r="369" spans="1:12" x14ac:dyDescent="0.25">
      <c r="A369">
        <v>368</v>
      </c>
      <c r="B369" s="3">
        <v>0.1361589893461207</v>
      </c>
      <c r="C369" s="3">
        <v>7.3399075110835862E-2</v>
      </c>
      <c r="D369" s="1">
        <v>405642.12677051884</v>
      </c>
      <c r="E369" s="1">
        <v>15782530</v>
      </c>
      <c r="F369" s="1">
        <v>51129549</v>
      </c>
      <c r="G369" s="16">
        <v>66936.574588726944</v>
      </c>
      <c r="H369">
        <v>280.99</v>
      </c>
      <c r="I369" s="1">
        <v>672.31</v>
      </c>
      <c r="J369" s="16">
        <v>472578.70135924581</v>
      </c>
      <c r="K369" s="5">
        <v>8.4208945416491099E-2</v>
      </c>
      <c r="L369" s="10">
        <v>394350.76370000001</v>
      </c>
    </row>
    <row r="370" spans="1:12" x14ac:dyDescent="0.25">
      <c r="A370">
        <v>369</v>
      </c>
      <c r="B370" s="3">
        <v>0.23828406169656419</v>
      </c>
      <c r="C370" s="3">
        <v>7.9482505561394995E-2</v>
      </c>
      <c r="D370" s="1">
        <v>140734.03078956727</v>
      </c>
      <c r="E370" s="1">
        <v>10271561</v>
      </c>
      <c r="F370" s="1">
        <v>47623318</v>
      </c>
      <c r="G370" s="16">
        <v>22139.363472926048</v>
      </c>
      <c r="H370">
        <v>224.06</v>
      </c>
      <c r="I370" s="1">
        <v>677.2</v>
      </c>
      <c r="J370" s="16">
        <v>162873.39426249333</v>
      </c>
      <c r="K370" s="5">
        <v>9.8885322122313421E-2</v>
      </c>
      <c r="L370" s="10">
        <v>156015.07639999999</v>
      </c>
    </row>
    <row r="371" spans="1:12" x14ac:dyDescent="0.25">
      <c r="A371">
        <v>370</v>
      </c>
      <c r="B371" s="3">
        <v>0.20781411394521432</v>
      </c>
      <c r="C371" s="3">
        <v>2.0474681113287624E-2</v>
      </c>
      <c r="D371" s="1">
        <v>49605.902674812562</v>
      </c>
      <c r="E371" s="1">
        <v>1867475</v>
      </c>
      <c r="F371" s="1">
        <v>16444348</v>
      </c>
      <c r="G371" s="16">
        <v>32245.918663807824</v>
      </c>
      <c r="H371">
        <v>248.07</v>
      </c>
      <c r="I371" s="1">
        <v>692.06999999999994</v>
      </c>
      <c r="J371" s="16">
        <v>81851.821338620386</v>
      </c>
      <c r="K371" s="5">
        <v>0.15748885719401973</v>
      </c>
      <c r="L371" s="10">
        <v>564850.75670000003</v>
      </c>
    </row>
    <row r="372" spans="1:12" x14ac:dyDescent="0.25">
      <c r="A372">
        <v>371</v>
      </c>
      <c r="B372" s="3">
        <v>0.18365121385626482</v>
      </c>
      <c r="C372" s="3">
        <v>6.8350850118594597E-2</v>
      </c>
      <c r="D372" s="1">
        <v>338812.0376341918</v>
      </c>
      <c r="E372" s="1">
        <v>17489724</v>
      </c>
      <c r="F372" s="1">
        <v>68108504</v>
      </c>
      <c r="G372" s="16">
        <v>22415.242180336176</v>
      </c>
      <c r="H372">
        <v>139.74</v>
      </c>
      <c r="I372" s="1">
        <v>492.90999999999997</v>
      </c>
      <c r="J372" s="16">
        <v>361227.27981452795</v>
      </c>
      <c r="K372" s="5">
        <v>5.2481525281636889E-2</v>
      </c>
      <c r="L372" s="10">
        <v>258290.85819999999</v>
      </c>
    </row>
    <row r="373" spans="1:12" x14ac:dyDescent="0.25">
      <c r="A373">
        <v>372</v>
      </c>
      <c r="B373" s="3">
        <v>0.19593259170581828</v>
      </c>
      <c r="C373" s="3">
        <v>2.6928110627403742E-2</v>
      </c>
      <c r="D373" s="1">
        <v>162694.80174558662</v>
      </c>
      <c r="E373" s="1">
        <v>7284608</v>
      </c>
      <c r="F373" s="1">
        <v>33501790</v>
      </c>
      <c r="G373" s="16">
        <v>8551.623991334689</v>
      </c>
      <c r="H373">
        <v>47.63</v>
      </c>
      <c r="I373" s="1">
        <v>263.93</v>
      </c>
      <c r="J373" s="16">
        <v>171246.42573692132</v>
      </c>
      <c r="K373" s="5">
        <v>0.14409590495539851</v>
      </c>
      <c r="L373" s="10">
        <v>776000.13919999998</v>
      </c>
    </row>
    <row r="374" spans="1:12" x14ac:dyDescent="0.25">
      <c r="A374">
        <v>373</v>
      </c>
      <c r="B374" s="3">
        <v>0.14528210386032914</v>
      </c>
      <c r="C374" s="3">
        <v>6.4640213259849977E-2</v>
      </c>
      <c r="D374" s="1">
        <v>74247.035449924035</v>
      </c>
      <c r="E374" s="1">
        <v>1902115</v>
      </c>
      <c r="F374" s="1">
        <v>10193825</v>
      </c>
      <c r="G374" s="16">
        <v>44680.525677756363</v>
      </c>
      <c r="H374">
        <v>201.86</v>
      </c>
      <c r="I374" s="1">
        <v>576.56000000000006</v>
      </c>
      <c r="J374" s="16">
        <v>118927.5611276804</v>
      </c>
      <c r="K374" s="5">
        <v>0.2014012743984526</v>
      </c>
      <c r="L374" s="10">
        <v>255310.56959999999</v>
      </c>
    </row>
    <row r="375" spans="1:12" x14ac:dyDescent="0.25">
      <c r="A375">
        <v>374</v>
      </c>
      <c r="B375" s="3">
        <v>0.19135806174437467</v>
      </c>
      <c r="C375" s="3">
        <v>5.474359109002197E-2</v>
      </c>
      <c r="D375" s="1">
        <v>224646.97728725214</v>
      </c>
      <c r="E375" s="1">
        <v>9832816</v>
      </c>
      <c r="F375" s="1">
        <v>34081013</v>
      </c>
      <c r="G375" s="16">
        <v>7451.2330981702453</v>
      </c>
      <c r="H375">
        <v>40.15</v>
      </c>
      <c r="I375" s="1">
        <v>226.96</v>
      </c>
      <c r="J375" s="16">
        <v>232098.2103854224</v>
      </c>
      <c r="K375" s="5">
        <v>8.5482425649836671E-2</v>
      </c>
      <c r="L375" s="10">
        <v>264081.59169999999</v>
      </c>
    </row>
    <row r="376" spans="1:12" x14ac:dyDescent="0.25">
      <c r="A376">
        <v>375</v>
      </c>
      <c r="B376" s="3">
        <v>0.21742294689705144</v>
      </c>
      <c r="C376" s="3">
        <v>2.5059147809533909E-2</v>
      </c>
      <c r="D376" s="1">
        <v>35205.653737029279</v>
      </c>
      <c r="E376" s="1">
        <v>1374780</v>
      </c>
      <c r="F376" s="1">
        <v>11458071</v>
      </c>
      <c r="G376" s="16">
        <v>7306.2142291353084</v>
      </c>
      <c r="H376">
        <v>47.85</v>
      </c>
      <c r="I376" s="1">
        <v>197.10999999999999</v>
      </c>
      <c r="J376" s="16">
        <v>42511.867966164587</v>
      </c>
      <c r="K376" s="5">
        <v>0.19596421237168821</v>
      </c>
      <c r="L376" s="10">
        <v>313020.68489999999</v>
      </c>
    </row>
    <row r="377" spans="1:12" x14ac:dyDescent="0.25">
      <c r="A377">
        <v>376</v>
      </c>
      <c r="B377" s="3">
        <v>0.11104053443051616</v>
      </c>
      <c r="C377" s="3">
        <v>6.0136696707914078E-2</v>
      </c>
      <c r="D377" s="1">
        <v>92571.717073858221</v>
      </c>
      <c r="E377" s="1">
        <v>2466244</v>
      </c>
      <c r="F377" s="1">
        <v>17127703</v>
      </c>
      <c r="G377" s="16">
        <v>69581.976765109634</v>
      </c>
      <c r="H377">
        <v>268.33</v>
      </c>
      <c r="I377" s="1">
        <v>852.29</v>
      </c>
      <c r="J377" s="16">
        <v>162153.69383896785</v>
      </c>
      <c r="K377" s="5">
        <v>0.27549027828292549</v>
      </c>
      <c r="L377" s="10">
        <v>541656.29760000005</v>
      </c>
    </row>
    <row r="378" spans="1:12" x14ac:dyDescent="0.25">
      <c r="A378">
        <v>377</v>
      </c>
      <c r="B378" s="3">
        <v>0.14917860890832249</v>
      </c>
      <c r="C378" s="3">
        <v>3.5328269124931047E-2</v>
      </c>
      <c r="D378" s="1">
        <v>110937.92066955082</v>
      </c>
      <c r="E378" s="1">
        <v>3371071</v>
      </c>
      <c r="F378" s="1">
        <v>18490425</v>
      </c>
      <c r="G378" s="16">
        <v>35976.667172114154</v>
      </c>
      <c r="H378">
        <v>167.71</v>
      </c>
      <c r="I378" s="1">
        <v>522.32000000000005</v>
      </c>
      <c r="J378" s="16">
        <v>146914.58784166496</v>
      </c>
      <c r="K378" s="5">
        <v>6.6452944463011449E-2</v>
      </c>
      <c r="L378" s="10">
        <v>234896.75</v>
      </c>
    </row>
    <row r="379" spans="1:12" x14ac:dyDescent="0.25">
      <c r="A379">
        <v>378</v>
      </c>
      <c r="B379" s="3">
        <v>0.22959128228323158</v>
      </c>
      <c r="C379" s="3">
        <v>3.2858500367341045E-2</v>
      </c>
      <c r="D379" s="1">
        <v>224037.86184059922</v>
      </c>
      <c r="E379" s="1">
        <v>11902531</v>
      </c>
      <c r="F379" s="1">
        <v>39355181</v>
      </c>
      <c r="G379" s="16">
        <v>34348.7779433463</v>
      </c>
      <c r="H379">
        <v>321.02</v>
      </c>
      <c r="I379" s="1">
        <v>701.39</v>
      </c>
      <c r="J379" s="16">
        <v>258386.63978394552</v>
      </c>
      <c r="K379" s="5">
        <v>0.10506096123493613</v>
      </c>
      <c r="L379" s="10">
        <v>715239.39139999996</v>
      </c>
    </row>
    <row r="380" spans="1:12" x14ac:dyDescent="0.25">
      <c r="A380">
        <v>379</v>
      </c>
      <c r="B380" s="3">
        <v>0.17990673007705849</v>
      </c>
      <c r="C380" s="3">
        <v>5.0171879852796183E-2</v>
      </c>
      <c r="D380" s="1">
        <v>170046.44906808363</v>
      </c>
      <c r="E380" s="1">
        <v>7035864</v>
      </c>
      <c r="F380" s="1">
        <v>24849758</v>
      </c>
      <c r="G380" s="16">
        <v>27115.465689076245</v>
      </c>
      <c r="H380">
        <v>163.85</v>
      </c>
      <c r="I380" s="1">
        <v>499.25</v>
      </c>
      <c r="J380" s="16">
        <v>197161.91475715989</v>
      </c>
      <c r="K380" s="5">
        <v>0.20097467739070746</v>
      </c>
      <c r="L380" s="10">
        <v>576828.0209</v>
      </c>
    </row>
    <row r="381" spans="1:12" x14ac:dyDescent="0.25">
      <c r="A381">
        <v>380</v>
      </c>
      <c r="B381" s="3">
        <v>0.1877798914065944</v>
      </c>
      <c r="C381" s="3">
        <v>2.4552175149699457E-2</v>
      </c>
      <c r="D381" s="1">
        <v>206822.3166500697</v>
      </c>
      <c r="E381" s="1">
        <v>8894164</v>
      </c>
      <c r="F381" s="1">
        <v>33541595</v>
      </c>
      <c r="G381" s="16">
        <v>31163.158494785759</v>
      </c>
      <c r="H381">
        <v>201.24</v>
      </c>
      <c r="I381" s="1">
        <v>564.56999999999994</v>
      </c>
      <c r="J381" s="16">
        <v>237985.47514485545</v>
      </c>
      <c r="K381" s="5">
        <v>4.6848561020979375E-2</v>
      </c>
      <c r="L381" s="10">
        <v>429220.91369999998</v>
      </c>
    </row>
    <row r="382" spans="1:12" x14ac:dyDescent="0.25">
      <c r="A382">
        <v>381</v>
      </c>
      <c r="B382" s="3">
        <v>0.17870048253314919</v>
      </c>
      <c r="C382" s="3">
        <v>7.5196878834168909E-2</v>
      </c>
      <c r="D382" s="1">
        <v>98655.004620474327</v>
      </c>
      <c r="E382" s="1">
        <v>4058038</v>
      </c>
      <c r="F382" s="1">
        <v>23651847</v>
      </c>
      <c r="G382" s="16">
        <v>44150.092636317786</v>
      </c>
      <c r="H382">
        <v>263.42</v>
      </c>
      <c r="I382" s="1">
        <v>603.61000000000013</v>
      </c>
      <c r="J382" s="16">
        <v>142805.09725679213</v>
      </c>
      <c r="K382" s="5">
        <v>0.12617044217049564</v>
      </c>
      <c r="L382" s="10">
        <v>206616.9541</v>
      </c>
    </row>
    <row r="383" spans="1:12" x14ac:dyDescent="0.25">
      <c r="A383">
        <v>382</v>
      </c>
      <c r="B383" s="3">
        <v>0.17527636560550686</v>
      </c>
      <c r="C383" s="3">
        <v>3.5736641909836053E-2</v>
      </c>
      <c r="D383" s="1">
        <v>65224.755789922849</v>
      </c>
      <c r="E383" s="1">
        <v>2176157</v>
      </c>
      <c r="F383" s="1">
        <v>12714927</v>
      </c>
      <c r="G383" s="16">
        <v>14000.802546202918</v>
      </c>
      <c r="H383">
        <v>66.91</v>
      </c>
      <c r="I383" s="1">
        <v>226.68</v>
      </c>
      <c r="J383" s="16">
        <v>79225.558336125774</v>
      </c>
      <c r="K383" s="5">
        <v>0.1065294311392611</v>
      </c>
      <c r="L383" s="10">
        <v>207074.74679999999</v>
      </c>
    </row>
    <row r="384" spans="1:12" x14ac:dyDescent="0.25">
      <c r="A384">
        <v>383</v>
      </c>
      <c r="B384" s="3">
        <v>0.16496206938872304</v>
      </c>
      <c r="C384" s="3">
        <v>4.4421289658009191E-2</v>
      </c>
      <c r="D384" s="1">
        <v>270107.61771095701</v>
      </c>
      <c r="E384" s="1">
        <v>12451133</v>
      </c>
      <c r="F384" s="1">
        <v>45084863</v>
      </c>
      <c r="G384" s="16">
        <v>53978.963330269231</v>
      </c>
      <c r="H384">
        <v>343.55</v>
      </c>
      <c r="I384" s="1">
        <v>1025.1099999999999</v>
      </c>
      <c r="J384" s="16">
        <v>324086.58104122622</v>
      </c>
      <c r="K384" s="5">
        <v>0.15673671754382693</v>
      </c>
      <c r="L384" s="10">
        <v>871658.6973</v>
      </c>
    </row>
    <row r="385" spans="1:12" x14ac:dyDescent="0.25">
      <c r="A385">
        <v>384</v>
      </c>
      <c r="B385" s="3">
        <v>0.23937824173961283</v>
      </c>
      <c r="C385" s="3">
        <v>2.769082396756643E-2</v>
      </c>
      <c r="D385" s="1">
        <v>88758.465209822287</v>
      </c>
      <c r="E385" s="1">
        <v>4962926</v>
      </c>
      <c r="F385" s="1">
        <v>24674023</v>
      </c>
      <c r="G385" s="16">
        <v>26039.382869072786</v>
      </c>
      <c r="H385">
        <v>266.07</v>
      </c>
      <c r="I385" s="1">
        <v>667.78</v>
      </c>
      <c r="J385" s="16">
        <v>114797.84807889507</v>
      </c>
      <c r="K385" s="5">
        <v>1.1948414464874921E-2</v>
      </c>
      <c r="L385" s="10">
        <v>62246.423999999999</v>
      </c>
    </row>
    <row r="386" spans="1:12" x14ac:dyDescent="0.25">
      <c r="A386">
        <v>385</v>
      </c>
      <c r="B386" s="3">
        <v>0.17267497306756571</v>
      </c>
      <c r="C386" s="3">
        <v>7.8806458492323053E-2</v>
      </c>
      <c r="D386" s="1">
        <v>394677.16250665789</v>
      </c>
      <c r="E386" s="1">
        <v>19057425</v>
      </c>
      <c r="F386" s="1">
        <v>57530410</v>
      </c>
      <c r="G386" s="16">
        <v>13625.867790212906</v>
      </c>
      <c r="H386">
        <v>63.83</v>
      </c>
      <c r="I386" s="1">
        <v>315.93</v>
      </c>
      <c r="J386" s="16">
        <v>408303.0302968708</v>
      </c>
      <c r="K386" s="5">
        <v>0.1655319647952484</v>
      </c>
      <c r="L386" s="10">
        <v>542956.63639999996</v>
      </c>
    </row>
    <row r="387" spans="1:12" x14ac:dyDescent="0.25">
      <c r="A387">
        <v>386</v>
      </c>
      <c r="B387" s="3">
        <v>0.21042169222799989</v>
      </c>
      <c r="C387" s="3">
        <v>3.6834445886204048E-2</v>
      </c>
      <c r="D387" s="1">
        <v>394952.44324499893</v>
      </c>
      <c r="E387" s="1">
        <v>24086392</v>
      </c>
      <c r="F387" s="1">
        <v>73076488</v>
      </c>
      <c r="G387" s="16">
        <v>31511.76062457158</v>
      </c>
      <c r="H387">
        <v>313.52</v>
      </c>
      <c r="I387" s="1">
        <v>837.57999999999993</v>
      </c>
      <c r="J387" s="16">
        <v>426464.20386957051</v>
      </c>
      <c r="K387" s="5">
        <v>2.116756304085407E-2</v>
      </c>
      <c r="L387" s="10">
        <v>253289.22070000001</v>
      </c>
    </row>
    <row r="388" spans="1:12" x14ac:dyDescent="0.25">
      <c r="A388">
        <v>387</v>
      </c>
      <c r="B388" s="3">
        <v>0.2057696310817928</v>
      </c>
      <c r="C388" s="3">
        <v>7.8663674678516551E-2</v>
      </c>
      <c r="D388" s="1">
        <v>281841.34173056111</v>
      </c>
      <c r="E388" s="1">
        <v>13256282</v>
      </c>
      <c r="F388" s="1">
        <v>42272752</v>
      </c>
      <c r="G388" s="16">
        <v>32221.153522485689</v>
      </c>
      <c r="H388">
        <v>243.31</v>
      </c>
      <c r="I388" s="1">
        <v>612.22</v>
      </c>
      <c r="J388" s="16">
        <v>314062.4952530468</v>
      </c>
      <c r="K388" s="5">
        <v>5.205124398848715E-2</v>
      </c>
      <c r="L388" s="10">
        <v>149833.56700000001</v>
      </c>
    </row>
    <row r="389" spans="1:12" x14ac:dyDescent="0.25">
      <c r="A389">
        <v>388</v>
      </c>
      <c r="B389" s="3">
        <v>0.20231165768460119</v>
      </c>
      <c r="C389" s="3">
        <v>2.8610644353555585E-2</v>
      </c>
      <c r="D389" s="1">
        <v>225661.41868032457</v>
      </c>
      <c r="E389" s="1">
        <v>13076573</v>
      </c>
      <c r="F389" s="1">
        <v>46208157</v>
      </c>
      <c r="G389" s="16">
        <v>10699.580885776671</v>
      </c>
      <c r="H389">
        <v>62.53</v>
      </c>
      <c r="I389" s="1">
        <v>236.2</v>
      </c>
      <c r="J389" s="16">
        <v>236360.99956610124</v>
      </c>
      <c r="K389" s="5">
        <v>0.18518248165900997</v>
      </c>
      <c r="L389" s="10">
        <v>1269911.4517999999</v>
      </c>
    </row>
    <row r="390" spans="1:12" x14ac:dyDescent="0.25">
      <c r="A390">
        <v>389</v>
      </c>
      <c r="B390" s="3">
        <v>0.11709907556613532</v>
      </c>
      <c r="C390" s="3">
        <v>2.8233309330611259E-2</v>
      </c>
      <c r="D390" s="1">
        <v>204680.89779927977</v>
      </c>
      <c r="E390" s="1">
        <v>5566009</v>
      </c>
      <c r="F390" s="1">
        <v>20855710</v>
      </c>
      <c r="G390" s="16">
        <v>48513.337920527854</v>
      </c>
      <c r="H390">
        <v>174.71</v>
      </c>
      <c r="I390" s="1">
        <v>523.66</v>
      </c>
      <c r="J390" s="16">
        <v>253194.23571980762</v>
      </c>
      <c r="K390" s="5">
        <v>0.11032923514519356</v>
      </c>
      <c r="L390" s="10">
        <v>831265.21900000004</v>
      </c>
    </row>
    <row r="391" spans="1:12" x14ac:dyDescent="0.25">
      <c r="A391">
        <v>390</v>
      </c>
      <c r="B391" s="3">
        <v>0.12618636731022093</v>
      </c>
      <c r="C391" s="3">
        <v>5.3640355771260001E-2</v>
      </c>
      <c r="D391" s="1">
        <v>110110.07887239254</v>
      </c>
      <c r="E391" s="1">
        <v>3088680</v>
      </c>
      <c r="F391" s="1">
        <v>18947375</v>
      </c>
      <c r="G391" s="16">
        <v>33047.954149160061</v>
      </c>
      <c r="H391">
        <v>111.72</v>
      </c>
      <c r="I391" s="1">
        <v>322.90999999999997</v>
      </c>
      <c r="J391" s="16">
        <v>143158.0330215526</v>
      </c>
      <c r="K391" s="5">
        <v>0.16303761379631229</v>
      </c>
      <c r="L391" s="10">
        <v>318545.9228</v>
      </c>
    </row>
    <row r="392" spans="1:12" x14ac:dyDescent="0.25">
      <c r="A392">
        <v>391</v>
      </c>
      <c r="B392" s="3">
        <v>0.20405789234813326</v>
      </c>
      <c r="C392" s="3">
        <v>5.4244486220416777E-2</v>
      </c>
      <c r="D392" s="1">
        <v>103277.64082755512</v>
      </c>
      <c r="E392" s="1">
        <v>4815961</v>
      </c>
      <c r="F392" s="1">
        <v>22587792</v>
      </c>
      <c r="G392" s="16">
        <v>33304.29643350916</v>
      </c>
      <c r="H392">
        <v>247.39</v>
      </c>
      <c r="I392" s="1">
        <v>707.98</v>
      </c>
      <c r="J392" s="16">
        <v>136581.93726106427</v>
      </c>
      <c r="K392" s="5">
        <v>0.14151046236434647</v>
      </c>
      <c r="L392" s="10">
        <v>262158.90159999998</v>
      </c>
    </row>
    <row r="393" spans="1:12" x14ac:dyDescent="0.25">
      <c r="A393">
        <v>392</v>
      </c>
      <c r="B393" s="3">
        <v>0.23857220493012679</v>
      </c>
      <c r="C393" s="3">
        <v>2.835973427954943E-2</v>
      </c>
      <c r="D393" s="1">
        <v>122280.83365306469</v>
      </c>
      <c r="E393" s="1">
        <v>5184113</v>
      </c>
      <c r="F393" s="1">
        <v>19958181</v>
      </c>
      <c r="G393" s="16">
        <v>8466.7073408420438</v>
      </c>
      <c r="H393">
        <v>49.85</v>
      </c>
      <c r="I393" s="1">
        <v>172.81</v>
      </c>
      <c r="J393" s="16">
        <v>130747.54099390673</v>
      </c>
      <c r="K393" s="5">
        <v>8.4784012079482662E-3</v>
      </c>
      <c r="L393" s="10">
        <v>46158.624799999998</v>
      </c>
    </row>
    <row r="394" spans="1:12" x14ac:dyDescent="0.25">
      <c r="A394">
        <v>393</v>
      </c>
      <c r="B394" s="3">
        <v>0.19308920718757822</v>
      </c>
      <c r="C394" s="3">
        <v>5.9042440241872704E-2</v>
      </c>
      <c r="D394" s="1">
        <v>238036.35819660657</v>
      </c>
      <c r="E394" s="1">
        <v>10508588</v>
      </c>
      <c r="F394" s="1">
        <v>41910391</v>
      </c>
      <c r="G394" s="16">
        <v>20847.360616859271</v>
      </c>
      <c r="H394">
        <v>140.88</v>
      </c>
      <c r="I394" s="1">
        <v>385.58000000000004</v>
      </c>
      <c r="J394" s="16">
        <v>258883.71881346585</v>
      </c>
      <c r="K394" s="5">
        <v>5.3727731199373768E-2</v>
      </c>
      <c r="L394" s="10">
        <v>189447.24110000001</v>
      </c>
    </row>
    <row r="395" spans="1:12" x14ac:dyDescent="0.25">
      <c r="A395">
        <v>394</v>
      </c>
      <c r="B395" s="3">
        <v>0.18148621753886102</v>
      </c>
      <c r="C395" s="3">
        <v>2.7251041413274113E-2</v>
      </c>
      <c r="D395" s="1">
        <v>222408.91989083396</v>
      </c>
      <c r="E395" s="1">
        <v>9273658</v>
      </c>
      <c r="F395" s="1">
        <v>30105992</v>
      </c>
      <c r="G395" s="16">
        <v>33828.348266911875</v>
      </c>
      <c r="H395">
        <v>206.93</v>
      </c>
      <c r="I395" s="1">
        <v>550.97</v>
      </c>
      <c r="J395" s="16">
        <v>256237.26815774583</v>
      </c>
      <c r="K395" s="5">
        <v>4.9383649970768863E-2</v>
      </c>
      <c r="L395" s="10">
        <v>419087.4878</v>
      </c>
    </row>
    <row r="396" spans="1:12" x14ac:dyDescent="0.25">
      <c r="A396">
        <v>395</v>
      </c>
      <c r="B396" s="3">
        <v>0.16693898009995942</v>
      </c>
      <c r="C396" s="3">
        <v>6.7850382744130494E-2</v>
      </c>
      <c r="D396" s="1">
        <v>183433.84768802015</v>
      </c>
      <c r="E396" s="1">
        <v>7128120</v>
      </c>
      <c r="F396" s="1">
        <v>27115039</v>
      </c>
      <c r="G396" s="16">
        <v>15228.795095504114</v>
      </c>
      <c r="H396">
        <v>68.47</v>
      </c>
      <c r="I396" s="1">
        <v>294.41999999999996</v>
      </c>
      <c r="J396" s="16">
        <v>198662.64278352426</v>
      </c>
      <c r="K396" s="5">
        <v>8.86797277786254E-2</v>
      </c>
      <c r="L396" s="10">
        <v>190719.2622</v>
      </c>
    </row>
    <row r="397" spans="1:12" x14ac:dyDescent="0.25">
      <c r="A397">
        <v>396</v>
      </c>
      <c r="B397" s="3">
        <v>0.24586699047677762</v>
      </c>
      <c r="C397" s="3">
        <v>2.9583923783946683E-2</v>
      </c>
      <c r="D397" s="1">
        <v>30528.019994941591</v>
      </c>
      <c r="E397" s="1">
        <v>1004625</v>
      </c>
      <c r="F397" s="1">
        <v>7201643</v>
      </c>
      <c r="G397" s="16">
        <v>11400.504715678855</v>
      </c>
      <c r="H397">
        <v>93.37</v>
      </c>
      <c r="I397" s="1">
        <v>323.43</v>
      </c>
      <c r="J397" s="16">
        <v>41928.524710620448</v>
      </c>
      <c r="K397" s="5">
        <v>0.17069642215203112</v>
      </c>
      <c r="L397" s="10">
        <v>216749.55220000001</v>
      </c>
    </row>
    <row r="398" spans="1:12" x14ac:dyDescent="0.25">
      <c r="A398">
        <v>397</v>
      </c>
      <c r="B398" s="3">
        <v>0.17702169300602766</v>
      </c>
      <c r="C398" s="3">
        <v>4.1406235169693828E-2</v>
      </c>
      <c r="D398" s="1">
        <v>254551.70040787573</v>
      </c>
      <c r="E398" s="1">
        <v>10385446</v>
      </c>
      <c r="F398" s="1">
        <v>38589607</v>
      </c>
      <c r="G398" s="16">
        <v>24757.70140298333</v>
      </c>
      <c r="H398">
        <v>145.85</v>
      </c>
      <c r="I398" s="1">
        <v>522.21</v>
      </c>
      <c r="J398" s="16">
        <v>279309.40181085904</v>
      </c>
      <c r="K398" s="5">
        <v>8.7834996701436324E-2</v>
      </c>
      <c r="L398" s="10">
        <v>489531.47720000002</v>
      </c>
    </row>
    <row r="399" spans="1:12" x14ac:dyDescent="0.25">
      <c r="A399">
        <v>398</v>
      </c>
      <c r="B399" s="3">
        <v>0.21622862896423917</v>
      </c>
      <c r="C399" s="3">
        <v>5.3387230550401621E-2</v>
      </c>
      <c r="D399" s="1">
        <v>43838.757537594531</v>
      </c>
      <c r="E399" s="1">
        <v>1335620</v>
      </c>
      <c r="F399" s="1">
        <v>8197490</v>
      </c>
      <c r="G399" s="16">
        <v>8652.6830205818769</v>
      </c>
      <c r="H399">
        <v>56.18</v>
      </c>
      <c r="I399" s="1">
        <v>273.31</v>
      </c>
      <c r="J399" s="16">
        <v>52491.440558176408</v>
      </c>
      <c r="K399" s="5">
        <v>0.1529474705973434</v>
      </c>
      <c r="L399" s="10">
        <v>125850.98639999999</v>
      </c>
    </row>
    <row r="400" spans="1:12" x14ac:dyDescent="0.25">
      <c r="A400">
        <v>399</v>
      </c>
      <c r="B400" s="3">
        <v>0.20099977136698227</v>
      </c>
      <c r="C400" s="3">
        <v>6.6521350684400404E-2</v>
      </c>
      <c r="D400" s="1">
        <v>46413.688609585697</v>
      </c>
      <c r="E400" s="1">
        <v>1702976</v>
      </c>
      <c r="F400" s="1">
        <v>13693982</v>
      </c>
      <c r="G400" s="16">
        <v>12446.260714799304</v>
      </c>
      <c r="H400">
        <v>90.11</v>
      </c>
      <c r="I400" s="1">
        <v>445.9</v>
      </c>
      <c r="J400" s="16">
        <v>58859.949324385001</v>
      </c>
      <c r="K400" s="5">
        <v>-8.9249689591632791E-2</v>
      </c>
      <c r="L400" s="10">
        <v>-33694.500899999999</v>
      </c>
    </row>
    <row r="401" spans="1:12" x14ac:dyDescent="0.25">
      <c r="A401">
        <v>400</v>
      </c>
      <c r="B401" s="3">
        <v>0.10849102176954646</v>
      </c>
      <c r="C401" s="3">
        <v>7.5525743051625571E-2</v>
      </c>
      <c r="D401" s="1">
        <v>853802.81341107236</v>
      </c>
      <c r="E401" s="1">
        <v>31827777</v>
      </c>
      <c r="F401" s="1">
        <v>93070970</v>
      </c>
      <c r="G401" s="16">
        <v>45893.334433818658</v>
      </c>
      <c r="H401">
        <v>154.37</v>
      </c>
      <c r="I401" s="1">
        <v>429.40999999999997</v>
      </c>
      <c r="J401" s="16">
        <v>899696.14784489106</v>
      </c>
      <c r="K401" s="5">
        <v>-5.9614337881068624E-2</v>
      </c>
      <c r="L401" s="10">
        <v>-380827.1839</v>
      </c>
    </row>
    <row r="402" spans="1:12" x14ac:dyDescent="0.25">
      <c r="A402">
        <v>401</v>
      </c>
      <c r="B402" s="3">
        <v>0.12075220739087031</v>
      </c>
      <c r="C402" s="3">
        <v>3.4080516738197508E-2</v>
      </c>
      <c r="D402" s="1">
        <v>294204.7119327375</v>
      </c>
      <c r="E402" s="1">
        <v>10478417</v>
      </c>
      <c r="F402" s="1">
        <v>48304868</v>
      </c>
      <c r="G402" s="16">
        <v>50299.680409930603</v>
      </c>
      <c r="H402">
        <v>186.3</v>
      </c>
      <c r="I402" s="1">
        <v>476.32</v>
      </c>
      <c r="J402" s="16">
        <v>344504.39234266808</v>
      </c>
      <c r="K402" s="5">
        <v>0.11772507476770237</v>
      </c>
      <c r="L402" s="10">
        <v>969369.37349999999</v>
      </c>
    </row>
    <row r="403" spans="1:12" x14ac:dyDescent="0.25">
      <c r="A403">
        <v>402</v>
      </c>
      <c r="B403" s="3">
        <v>0.10962968205709882</v>
      </c>
      <c r="C403" s="3">
        <v>4.7794738571489512E-2</v>
      </c>
      <c r="D403" s="1">
        <v>101442.7832999338</v>
      </c>
      <c r="E403" s="1">
        <v>2689749</v>
      </c>
      <c r="F403" s="1">
        <v>20287813</v>
      </c>
      <c r="G403" s="16">
        <v>46373.969977399967</v>
      </c>
      <c r="H403">
        <v>157.41999999999999</v>
      </c>
      <c r="I403" s="1">
        <v>441.92999999999995</v>
      </c>
      <c r="J403" s="16">
        <v>147816.75327733377</v>
      </c>
      <c r="K403" s="5">
        <v>0.14437019326969169</v>
      </c>
      <c r="L403" s="10">
        <v>364583.07530000003</v>
      </c>
    </row>
    <row r="404" spans="1:12" x14ac:dyDescent="0.25">
      <c r="A404">
        <v>403</v>
      </c>
      <c r="B404" s="3">
        <v>0.16009048040896895</v>
      </c>
      <c r="C404" s="3">
        <v>5.4567628269956606E-2</v>
      </c>
      <c r="D404" s="1">
        <v>122679.21104891565</v>
      </c>
      <c r="E404" s="1">
        <v>4613648</v>
      </c>
      <c r="F404" s="1">
        <v>23167193</v>
      </c>
      <c r="G404" s="16">
        <v>49833.595320103195</v>
      </c>
      <c r="H404">
        <v>254.16</v>
      </c>
      <c r="I404" s="1">
        <v>747.95</v>
      </c>
      <c r="J404" s="16">
        <v>172512.80636901886</v>
      </c>
      <c r="K404" s="5">
        <v>9.8956687622841266E-2</v>
      </c>
      <c r="L404" s="10">
        <v>223714.17670000001</v>
      </c>
    </row>
    <row r="405" spans="1:12" x14ac:dyDescent="0.25">
      <c r="A405">
        <v>404</v>
      </c>
      <c r="B405" s="3">
        <v>0.15841126081624232</v>
      </c>
      <c r="C405" s="3">
        <v>7.6617632823252166E-2</v>
      </c>
      <c r="D405" s="1">
        <v>219203.42243923296</v>
      </c>
      <c r="E405" s="1">
        <v>8178054</v>
      </c>
      <c r="F405" s="1">
        <v>31193347</v>
      </c>
      <c r="G405" s="16">
        <v>41613.055702028592</v>
      </c>
      <c r="H405">
        <v>209.63</v>
      </c>
      <c r="I405" s="1">
        <v>603.9</v>
      </c>
      <c r="J405" s="16">
        <v>260816.47814126156</v>
      </c>
      <c r="K405" s="5">
        <v>0.34453516277865681</v>
      </c>
      <c r="L405" s="10">
        <v>731933.54760000005</v>
      </c>
    </row>
    <row r="406" spans="1:12" x14ac:dyDescent="0.25">
      <c r="A406">
        <v>405</v>
      </c>
      <c r="B406" s="3">
        <v>0.24974134393698269</v>
      </c>
      <c r="C406" s="3">
        <v>2.6195394203119525E-2</v>
      </c>
      <c r="D406" s="1">
        <v>121471.46825184247</v>
      </c>
      <c r="E406" s="1">
        <v>7175190</v>
      </c>
      <c r="F406" s="1">
        <v>36296573</v>
      </c>
      <c r="G406" s="16">
        <v>20053.086320530212</v>
      </c>
      <c r="H406">
        <v>225.5</v>
      </c>
      <c r="I406" s="1">
        <v>712.24</v>
      </c>
      <c r="J406" s="16">
        <v>141524.55457237267</v>
      </c>
      <c r="K406" s="5">
        <v>8.0932781382385965E-2</v>
      </c>
      <c r="L406" s="10">
        <v>397967.7732</v>
      </c>
    </row>
    <row r="407" spans="1:12" x14ac:dyDescent="0.25">
      <c r="A407">
        <v>406</v>
      </c>
      <c r="B407" s="3">
        <v>0.24465070252876669</v>
      </c>
      <c r="C407" s="3">
        <v>7.6399773869984602E-2</v>
      </c>
      <c r="D407" s="1">
        <v>115755.67802906597</v>
      </c>
      <c r="E407" s="1">
        <v>6655091</v>
      </c>
      <c r="F407" s="1">
        <v>32946694</v>
      </c>
      <c r="G407" s="16">
        <v>14616.942911831158</v>
      </c>
      <c r="H407">
        <v>118.29</v>
      </c>
      <c r="I407" s="1">
        <v>323.99</v>
      </c>
      <c r="J407" s="16">
        <v>130372.62094089712</v>
      </c>
      <c r="K407" s="5">
        <v>7.8885270844865546E-2</v>
      </c>
      <c r="L407" s="10">
        <v>101787.40300000001</v>
      </c>
    </row>
    <row r="408" spans="1:12" x14ac:dyDescent="0.25">
      <c r="A408">
        <v>407</v>
      </c>
      <c r="B408" s="3">
        <v>0.15979834604337109</v>
      </c>
      <c r="C408" s="3">
        <v>7.1152436754508455E-2</v>
      </c>
      <c r="D408" s="1">
        <v>419852.99803556036</v>
      </c>
      <c r="E408" s="1">
        <v>18766458</v>
      </c>
      <c r="F408" s="1">
        <v>55074991</v>
      </c>
      <c r="G408" s="16">
        <v>21164.049931342732</v>
      </c>
      <c r="H408">
        <v>90.41</v>
      </c>
      <c r="I408" s="1">
        <v>295.49</v>
      </c>
      <c r="J408" s="16">
        <v>441017.04796690308</v>
      </c>
      <c r="K408" s="5">
        <v>0.13779149115747241</v>
      </c>
      <c r="L408" s="10">
        <v>535304.93610000005</v>
      </c>
    </row>
    <row r="409" spans="1:12" x14ac:dyDescent="0.25">
      <c r="A409">
        <v>408</v>
      </c>
      <c r="B409" s="3">
        <v>0.24989420667372464</v>
      </c>
      <c r="C409" s="3">
        <v>4.5680362577348185E-2</v>
      </c>
      <c r="D409" s="1">
        <v>63077.274046747014</v>
      </c>
      <c r="E409" s="1">
        <v>3728940</v>
      </c>
      <c r="F409" s="1">
        <v>25628945</v>
      </c>
      <c r="G409" s="16">
        <v>10584.150195486207</v>
      </c>
      <c r="H409">
        <v>119.28</v>
      </c>
      <c r="I409" s="1">
        <v>457.28</v>
      </c>
      <c r="J409" s="16">
        <v>73661.424242233217</v>
      </c>
      <c r="K409" s="5">
        <v>0.23163222634769884</v>
      </c>
      <c r="L409" s="10">
        <v>308179.24080000003</v>
      </c>
    </row>
    <row r="410" spans="1:12" x14ac:dyDescent="0.25">
      <c r="A410">
        <v>409</v>
      </c>
      <c r="B410" s="3">
        <v>0.16952149680892931</v>
      </c>
      <c r="C410" s="3">
        <v>3.7044754719494491E-2</v>
      </c>
      <c r="D410" s="1">
        <v>201271.38935240515</v>
      </c>
      <c r="E410" s="1">
        <v>7919012</v>
      </c>
      <c r="F410" s="1">
        <v>29334790</v>
      </c>
      <c r="G410" s="16">
        <v>21794.799729711751</v>
      </c>
      <c r="H410">
        <v>120.53</v>
      </c>
      <c r="I410" s="1">
        <v>395.5</v>
      </c>
      <c r="J410" s="16">
        <v>223066.18908211691</v>
      </c>
      <c r="K410" s="5">
        <v>0.15093357863263063</v>
      </c>
      <c r="L410" s="10">
        <v>723957.46770000004</v>
      </c>
    </row>
    <row r="411" spans="1:12" x14ac:dyDescent="0.25">
      <c r="A411">
        <v>410</v>
      </c>
      <c r="B411" s="3">
        <v>0.17567595404202624</v>
      </c>
      <c r="C411" s="3">
        <v>4.8764738412031147E-2</v>
      </c>
      <c r="D411" s="1">
        <v>458361.70666891994</v>
      </c>
      <c r="E411" s="1">
        <v>22538319</v>
      </c>
      <c r="F411" s="1">
        <v>84091666</v>
      </c>
      <c r="G411" s="16">
        <v>28305.658478643232</v>
      </c>
      <c r="H411">
        <v>199.61</v>
      </c>
      <c r="I411" s="1">
        <v>792.71</v>
      </c>
      <c r="J411" s="16">
        <v>486667.36514756316</v>
      </c>
      <c r="K411" s="5">
        <v>0.22570999079390641</v>
      </c>
      <c r="L411" s="10">
        <v>1678755.071</v>
      </c>
    </row>
    <row r="412" spans="1:12" x14ac:dyDescent="0.25">
      <c r="A412">
        <v>411</v>
      </c>
      <c r="B412" s="3">
        <v>0.24211285502337423</v>
      </c>
      <c r="C412" s="3">
        <v>2.1071970800143423E-2</v>
      </c>
      <c r="D412" s="1">
        <v>36726.270748722527</v>
      </c>
      <c r="E412" s="1">
        <v>1578942</v>
      </c>
      <c r="F412" s="1">
        <v>11250557</v>
      </c>
      <c r="G412" s="16">
        <v>7841.4297243311412</v>
      </c>
      <c r="H412">
        <v>62.39</v>
      </c>
      <c r="I412" s="1">
        <v>234.93</v>
      </c>
      <c r="J412" s="16">
        <v>44567.700473053672</v>
      </c>
      <c r="K412" s="5">
        <v>-1.2671651879456472E-2</v>
      </c>
      <c r="L412" s="10">
        <v>-14164.598599999999</v>
      </c>
    </row>
    <row r="413" spans="1:12" x14ac:dyDescent="0.25">
      <c r="A413">
        <v>412</v>
      </c>
      <c r="B413" s="3">
        <v>0.1527380733732118</v>
      </c>
      <c r="C413" s="3">
        <v>4.635173629475256E-2</v>
      </c>
      <c r="D413" s="1">
        <v>270814.06658831501</v>
      </c>
      <c r="E413" s="1">
        <v>9835657</v>
      </c>
      <c r="F413" s="1">
        <v>35723631</v>
      </c>
      <c r="G413" s="16">
        <v>29412.319380052133</v>
      </c>
      <c r="H413">
        <v>119.79</v>
      </c>
      <c r="I413" s="1">
        <v>328.31</v>
      </c>
      <c r="J413" s="16">
        <v>300226.38596836716</v>
      </c>
      <c r="K413" s="5">
        <v>0.10087124061109598</v>
      </c>
      <c r="L413" s="10">
        <v>500545.58919999999</v>
      </c>
    </row>
    <row r="414" spans="1:12" x14ac:dyDescent="0.25">
      <c r="A414">
        <v>413</v>
      </c>
      <c r="B414" s="3">
        <v>0.24172706407927527</v>
      </c>
      <c r="C414" s="3">
        <v>5.4886022968031967E-2</v>
      </c>
      <c r="D414" s="1">
        <v>126116.62462717773</v>
      </c>
      <c r="E414" s="1">
        <v>9415576</v>
      </c>
      <c r="F414" s="1">
        <v>43628977</v>
      </c>
      <c r="G414" s="16">
        <v>16388.910232022416</v>
      </c>
      <c r="H414">
        <v>171.16</v>
      </c>
      <c r="I414" s="1">
        <v>543.45999999999992</v>
      </c>
      <c r="J414" s="16">
        <v>142505.53485920015</v>
      </c>
      <c r="K414" s="5">
        <v>-6.7069962001403319E-2</v>
      </c>
      <c r="L414" s="10">
        <v>-104198.2089</v>
      </c>
    </row>
    <row r="415" spans="1:12" x14ac:dyDescent="0.25">
      <c r="A415">
        <v>414</v>
      </c>
      <c r="B415" s="3">
        <v>0.23798689154685848</v>
      </c>
      <c r="C415" s="3">
        <v>2.0144234068941655E-2</v>
      </c>
      <c r="D415" s="1">
        <v>65906.963541503181</v>
      </c>
      <c r="E415" s="1">
        <v>3658343</v>
      </c>
      <c r="F415" s="1">
        <v>21500276</v>
      </c>
      <c r="G415" s="16">
        <v>9490.1410299024319</v>
      </c>
      <c r="H415">
        <v>55.59</v>
      </c>
      <c r="I415" s="1">
        <v>183.56</v>
      </c>
      <c r="J415" s="16">
        <v>75397.104571405609</v>
      </c>
      <c r="K415" s="5">
        <v>0.21738994423134797</v>
      </c>
      <c r="L415" s="10">
        <v>738896.57259999996</v>
      </c>
    </row>
    <row r="416" spans="1:12" x14ac:dyDescent="0.25">
      <c r="A416">
        <v>415</v>
      </c>
      <c r="B416" s="3">
        <v>0.2104261773964079</v>
      </c>
      <c r="C416" s="3">
        <v>6.1379034095553897E-2</v>
      </c>
      <c r="D416" s="1">
        <v>125652.93003853365</v>
      </c>
      <c r="E416" s="1">
        <v>6050684</v>
      </c>
      <c r="F416" s="1">
        <v>23770185</v>
      </c>
      <c r="G416" s="16">
        <v>12742.683622449818</v>
      </c>
      <c r="H416">
        <v>79.28</v>
      </c>
      <c r="I416" s="1">
        <v>297.52999999999997</v>
      </c>
      <c r="J416" s="16">
        <v>138395.61366098348</v>
      </c>
      <c r="K416" s="5">
        <v>-0.13006410913086996</v>
      </c>
      <c r="L416" s="10">
        <v>-176234.59669999999</v>
      </c>
    </row>
    <row r="417" spans="1:12" x14ac:dyDescent="0.25">
      <c r="A417">
        <v>416</v>
      </c>
      <c r="B417" s="3">
        <v>0.17752083817233988</v>
      </c>
      <c r="C417" s="3">
        <v>4.468467305652965E-2</v>
      </c>
      <c r="D417" s="1">
        <v>258801.02106212071</v>
      </c>
      <c r="E417" s="1">
        <v>12868995</v>
      </c>
      <c r="F417" s="1">
        <v>53932798</v>
      </c>
      <c r="G417" s="16">
        <v>11555.359394233137</v>
      </c>
      <c r="H417">
        <v>56.23</v>
      </c>
      <c r="I417" s="1">
        <v>210.07999999999998</v>
      </c>
      <c r="J417" s="16">
        <v>270356.38045635383</v>
      </c>
      <c r="K417" s="5">
        <v>0.14978624673309118</v>
      </c>
      <c r="L417" s="10">
        <v>698318.87800000003</v>
      </c>
    </row>
    <row r="418" spans="1:12" x14ac:dyDescent="0.25">
      <c r="A418">
        <v>417</v>
      </c>
      <c r="B418" s="3">
        <v>0.13458752117929751</v>
      </c>
      <c r="C418" s="3">
        <v>5.5820854267176936E-2</v>
      </c>
      <c r="D418" s="1">
        <v>143603.38801914841</v>
      </c>
      <c r="E418" s="1">
        <v>4791539</v>
      </c>
      <c r="F418" s="1">
        <v>22278680</v>
      </c>
      <c r="G418" s="16">
        <v>41976.158780451049</v>
      </c>
      <c r="H418">
        <v>173.66</v>
      </c>
      <c r="I418" s="1">
        <v>432.94000000000005</v>
      </c>
      <c r="J418" s="16">
        <v>185579.54679959945</v>
      </c>
      <c r="K418" s="5">
        <v>0.23287119150628532</v>
      </c>
      <c r="L418" s="10">
        <v>544286.67119999998</v>
      </c>
    </row>
    <row r="419" spans="1:12" x14ac:dyDescent="0.25">
      <c r="A419">
        <v>418</v>
      </c>
      <c r="B419" s="3">
        <v>0.13366152574593526</v>
      </c>
      <c r="C419" s="3">
        <v>2.1285053489792087E-2</v>
      </c>
      <c r="D419" s="1">
        <v>304236.43687913078</v>
      </c>
      <c r="E419" s="1">
        <v>10107952</v>
      </c>
      <c r="F419" s="1">
        <v>34103807</v>
      </c>
      <c r="G419" s="16">
        <v>30912.45248512099</v>
      </c>
      <c r="H419">
        <v>110.04</v>
      </c>
      <c r="I419" s="1">
        <v>354.57000000000005</v>
      </c>
      <c r="J419" s="16">
        <v>335148.88936425175</v>
      </c>
      <c r="K419" s="5">
        <v>8.1558799098676776E-2</v>
      </c>
      <c r="L419" s="10">
        <v>1093462.6697</v>
      </c>
    </row>
    <row r="420" spans="1:12" x14ac:dyDescent="0.25">
      <c r="A420">
        <v>419</v>
      </c>
      <c r="B420" s="3">
        <v>0.24695547264691151</v>
      </c>
      <c r="C420" s="3">
        <v>6.9860449496800356E-2</v>
      </c>
      <c r="D420" s="1">
        <v>138466.67476826732</v>
      </c>
      <c r="E420" s="1">
        <v>8058714</v>
      </c>
      <c r="F420" s="1">
        <v>27864091</v>
      </c>
      <c r="G420" s="16">
        <v>6912.4426787480452</v>
      </c>
      <c r="H420">
        <v>57.15</v>
      </c>
      <c r="I420" s="1">
        <v>233.29</v>
      </c>
      <c r="J420" s="16">
        <v>145379.11744701536</v>
      </c>
      <c r="K420" s="5">
        <v>0.13011235778457375</v>
      </c>
      <c r="L420" s="10">
        <v>188232.4338</v>
      </c>
    </row>
    <row r="421" spans="1:12" x14ac:dyDescent="0.25">
      <c r="A421">
        <v>420</v>
      </c>
      <c r="B421" s="3">
        <v>0.12427567951899268</v>
      </c>
      <c r="C421" s="3">
        <v>3.7533020155075057E-2</v>
      </c>
      <c r="D421" s="1">
        <v>62511.440802455683</v>
      </c>
      <c r="E421" s="1">
        <v>1525554</v>
      </c>
      <c r="F421" s="1">
        <v>10540941</v>
      </c>
      <c r="G421" s="16">
        <v>59219.859429231677</v>
      </c>
      <c r="H421">
        <v>257.86</v>
      </c>
      <c r="I421" s="1">
        <v>795.17</v>
      </c>
      <c r="J421" s="16">
        <v>121731.30023168736</v>
      </c>
      <c r="K421" s="5">
        <v>0.11090894730075905</v>
      </c>
      <c r="L421" s="10">
        <v>306304.32040000003</v>
      </c>
    </row>
    <row r="422" spans="1:12" x14ac:dyDescent="0.25">
      <c r="A422">
        <v>421</v>
      </c>
      <c r="B422" s="3">
        <v>0.16866226168822201</v>
      </c>
      <c r="C422" s="3">
        <v>6.9761563688921321E-2</v>
      </c>
      <c r="D422" s="1">
        <v>101218.82597108019</v>
      </c>
      <c r="E422" s="1">
        <v>3297098</v>
      </c>
      <c r="F422" s="1">
        <v>14569387</v>
      </c>
      <c r="G422" s="16">
        <v>56436.057375545432</v>
      </c>
      <c r="H422">
        <v>372.13</v>
      </c>
      <c r="I422" s="1">
        <v>969.32</v>
      </c>
      <c r="J422" s="16">
        <v>157654.88334662563</v>
      </c>
      <c r="K422" s="5">
        <v>-3.3000435889264247E-2</v>
      </c>
      <c r="L422" s="10">
        <v>-17805.293799999999</v>
      </c>
    </row>
    <row r="423" spans="1:12" x14ac:dyDescent="0.25">
      <c r="A423">
        <v>422</v>
      </c>
      <c r="B423" s="3">
        <v>0.15940446840226488</v>
      </c>
      <c r="C423" s="3">
        <v>2.6706207002857623E-2</v>
      </c>
      <c r="D423" s="1">
        <v>224337.55849537472</v>
      </c>
      <c r="E423" s="1">
        <v>8409240</v>
      </c>
      <c r="F423" s="1">
        <v>29150622</v>
      </c>
      <c r="G423" s="16">
        <v>44554.677073376035</v>
      </c>
      <c r="H423">
        <v>226.04</v>
      </c>
      <c r="I423" s="1">
        <v>618.36</v>
      </c>
      <c r="J423" s="16">
        <v>268892.23556875077</v>
      </c>
      <c r="K423" s="5">
        <v>1.0332958259873487E-2</v>
      </c>
      <c r="L423" s="10">
        <v>135802.00320000001</v>
      </c>
    </row>
    <row r="424" spans="1:12" x14ac:dyDescent="0.25">
      <c r="A424">
        <v>423</v>
      </c>
      <c r="B424" s="3">
        <v>0.1919560355185097</v>
      </c>
      <c r="C424" s="3">
        <v>2.5574351317044847E-2</v>
      </c>
      <c r="D424" s="1">
        <v>87849.36761042726</v>
      </c>
      <c r="E424" s="1">
        <v>3116283</v>
      </c>
      <c r="F424" s="1">
        <v>15795897</v>
      </c>
      <c r="G424" s="16">
        <v>30143.319789124766</v>
      </c>
      <c r="H424">
        <v>201.76</v>
      </c>
      <c r="I424" s="1">
        <v>639.13</v>
      </c>
      <c r="J424" s="16">
        <v>117992.68739955203</v>
      </c>
      <c r="K424" s="5">
        <v>0.16052419337781978</v>
      </c>
      <c r="L424" s="10">
        <v>648547.8493</v>
      </c>
    </row>
    <row r="425" spans="1:12" x14ac:dyDescent="0.25">
      <c r="A425">
        <v>424</v>
      </c>
      <c r="B425" s="3">
        <v>0.17649585619853281</v>
      </c>
      <c r="C425" s="3">
        <v>3.0916950910956233E-2</v>
      </c>
      <c r="D425" s="1">
        <v>204119.63062143972</v>
      </c>
      <c r="E425" s="1">
        <v>8306617</v>
      </c>
      <c r="F425" s="1">
        <v>33824664</v>
      </c>
      <c r="G425" s="16">
        <v>13372.310031113095</v>
      </c>
      <c r="H425">
        <v>53.11</v>
      </c>
      <c r="I425" s="1">
        <v>166.98000000000002</v>
      </c>
      <c r="J425" s="16">
        <v>217491.94065255282</v>
      </c>
      <c r="K425" s="5">
        <v>3.2938833309186052E-2</v>
      </c>
      <c r="L425" s="10">
        <v>216096.3878</v>
      </c>
    </row>
    <row r="426" spans="1:12" x14ac:dyDescent="0.25">
      <c r="A426">
        <v>425</v>
      </c>
      <c r="B426" s="3">
        <v>0.19350661237680314</v>
      </c>
      <c r="C426" s="3">
        <v>2.9050189345906616E-2</v>
      </c>
      <c r="D426" s="1">
        <v>177366.16191459686</v>
      </c>
      <c r="E426" s="1">
        <v>7846417</v>
      </c>
      <c r="F426" s="1">
        <v>32919206</v>
      </c>
      <c r="G426" s="16">
        <v>46477.393483001528</v>
      </c>
      <c r="H426">
        <v>391.02</v>
      </c>
      <c r="I426" s="1">
        <v>942.72</v>
      </c>
      <c r="J426" s="16">
        <v>223843.55539759839</v>
      </c>
      <c r="K426" s="5">
        <v>3.1127886224105464E-2</v>
      </c>
      <c r="L426" s="10">
        <v>235482.05170000001</v>
      </c>
    </row>
    <row r="427" spans="1:12" x14ac:dyDescent="0.25">
      <c r="A427">
        <v>426</v>
      </c>
      <c r="B427" s="3">
        <v>0.22015332144049543</v>
      </c>
      <c r="C427" s="3">
        <v>4.9569590299859481E-2</v>
      </c>
      <c r="D427" s="1">
        <v>151327.58617924692</v>
      </c>
      <c r="E427" s="1">
        <v>5971628</v>
      </c>
      <c r="F427" s="1">
        <v>18008941</v>
      </c>
      <c r="G427" s="16">
        <v>12201.508462902242</v>
      </c>
      <c r="H427">
        <v>81.599999999999994</v>
      </c>
      <c r="I427" s="1">
        <v>252.69</v>
      </c>
      <c r="J427" s="16">
        <v>163529.09464214917</v>
      </c>
      <c r="K427" s="5">
        <v>0.22278096297246991</v>
      </c>
      <c r="L427" s="10">
        <v>524822.60360000003</v>
      </c>
    </row>
    <row r="428" spans="1:12" x14ac:dyDescent="0.25">
      <c r="A428">
        <v>427</v>
      </c>
      <c r="B428" s="3">
        <v>0.16533017541411543</v>
      </c>
      <c r="C428" s="3">
        <v>5.3019244418593361E-2</v>
      </c>
      <c r="D428" s="1">
        <v>475102.8925513908</v>
      </c>
      <c r="E428" s="1">
        <v>21949111</v>
      </c>
      <c r="F428" s="1">
        <v>74196592</v>
      </c>
      <c r="G428" s="16">
        <v>30878.28263041906</v>
      </c>
      <c r="H428">
        <v>164.35</v>
      </c>
      <c r="I428" s="1">
        <v>477.68000000000006</v>
      </c>
      <c r="J428" s="16">
        <v>505981.17518180987</v>
      </c>
      <c r="K428" s="5">
        <v>4.2940734339868017E-2</v>
      </c>
      <c r="L428" s="10">
        <v>357435.43689999997</v>
      </c>
    </row>
    <row r="429" spans="1:12" x14ac:dyDescent="0.25">
      <c r="A429">
        <v>428</v>
      </c>
      <c r="B429" s="3">
        <v>0.14544561308835557</v>
      </c>
      <c r="C429" s="3">
        <v>7.8991526373858104E-2</v>
      </c>
      <c r="D429" s="1">
        <v>259686.68338309703</v>
      </c>
      <c r="E429" s="1">
        <v>10664838</v>
      </c>
      <c r="F429" s="1">
        <v>51334533</v>
      </c>
      <c r="G429" s="16">
        <v>36289.039636055633</v>
      </c>
      <c r="H429">
        <v>164.18</v>
      </c>
      <c r="I429" s="1">
        <v>507.37</v>
      </c>
      <c r="J429" s="16">
        <v>295975.72301915265</v>
      </c>
      <c r="K429" s="5">
        <v>-6.613023692185574E-2</v>
      </c>
      <c r="L429" s="10">
        <v>-164569.174</v>
      </c>
    </row>
    <row r="430" spans="1:12" x14ac:dyDescent="0.25">
      <c r="A430">
        <v>429</v>
      </c>
      <c r="B430" s="3">
        <v>0.12957754144356642</v>
      </c>
      <c r="C430" s="3">
        <v>2.2045339797894185E-2</v>
      </c>
      <c r="D430" s="1">
        <v>212694.08705603215</v>
      </c>
      <c r="E430" s="1">
        <v>6934866</v>
      </c>
      <c r="F430" s="1">
        <v>21901858</v>
      </c>
      <c r="G430" s="16">
        <v>44797.613811972391</v>
      </c>
      <c r="H430">
        <v>177.94</v>
      </c>
      <c r="I430" s="1">
        <v>568.02</v>
      </c>
      <c r="J430" s="16">
        <v>257491.70086800453</v>
      </c>
      <c r="K430" s="5">
        <v>4.8310402764346609E-2</v>
      </c>
      <c r="L430" s="10">
        <v>503839.39610000001</v>
      </c>
    </row>
    <row r="431" spans="1:12" x14ac:dyDescent="0.25">
      <c r="A431">
        <v>430</v>
      </c>
      <c r="B431" s="3">
        <v>0.17742701946793252</v>
      </c>
      <c r="C431" s="3">
        <v>3.8362885466240282E-2</v>
      </c>
      <c r="D431" s="1">
        <v>109608.41049606197</v>
      </c>
      <c r="E431" s="1">
        <v>4480732</v>
      </c>
      <c r="F431" s="1">
        <v>26927908</v>
      </c>
      <c r="G431" s="16">
        <v>39922.627822075585</v>
      </c>
      <c r="H431">
        <v>286.79000000000002</v>
      </c>
      <c r="I431" s="1">
        <v>989.57999999999993</v>
      </c>
      <c r="J431" s="16">
        <v>149531.03831813755</v>
      </c>
      <c r="K431" s="5">
        <v>5.7283454715642307E-2</v>
      </c>
      <c r="L431" s="10">
        <v>244246.26759999999</v>
      </c>
    </row>
    <row r="432" spans="1:12" x14ac:dyDescent="0.25">
      <c r="A432">
        <v>431</v>
      </c>
      <c r="B432" s="3">
        <v>0.2070540051335657</v>
      </c>
      <c r="C432" s="3">
        <v>6.310926280169904E-2</v>
      </c>
      <c r="D432" s="1">
        <v>204888.10098638525</v>
      </c>
      <c r="E432" s="1">
        <v>12232106</v>
      </c>
      <c r="F432" s="1">
        <v>50591296</v>
      </c>
      <c r="G432" s="16">
        <v>17714.680630795399</v>
      </c>
      <c r="H432">
        <v>135.32</v>
      </c>
      <c r="I432" s="1">
        <v>489.06</v>
      </c>
      <c r="J432" s="16">
        <v>222602.78161718065</v>
      </c>
      <c r="K432" s="5">
        <v>6.4524307187788454E-2</v>
      </c>
      <c r="L432" s="10">
        <v>233477.16620000001</v>
      </c>
    </row>
    <row r="433" spans="1:12" x14ac:dyDescent="0.25">
      <c r="A433">
        <v>432</v>
      </c>
      <c r="B433" s="3">
        <v>0.13302625085029476</v>
      </c>
      <c r="C433" s="3">
        <v>5.8602725700475825E-2</v>
      </c>
      <c r="D433" s="1">
        <v>267291.59588711947</v>
      </c>
      <c r="E433" s="1">
        <v>8854505</v>
      </c>
      <c r="F433" s="1">
        <v>39753865</v>
      </c>
      <c r="G433" s="16">
        <v>63753.848477505526</v>
      </c>
      <c r="H433">
        <v>300.75</v>
      </c>
      <c r="I433" s="1">
        <v>803.08</v>
      </c>
      <c r="J433" s="16">
        <v>331045.44436462503</v>
      </c>
      <c r="K433" s="5">
        <v>7.8209219754399428E-2</v>
      </c>
      <c r="L433" s="10">
        <v>339426.24420000002</v>
      </c>
    </row>
    <row r="434" spans="1:12" x14ac:dyDescent="0.25">
      <c r="A434">
        <v>433</v>
      </c>
      <c r="B434" s="3">
        <v>0.12834020667274867</v>
      </c>
      <c r="C434" s="3">
        <v>7.712444257213924E-2</v>
      </c>
      <c r="D434" s="1">
        <v>350541.90387722477</v>
      </c>
      <c r="E434" s="1">
        <v>13037900</v>
      </c>
      <c r="F434" s="1">
        <v>49345108</v>
      </c>
      <c r="G434" s="16">
        <v>15828.644865440321</v>
      </c>
      <c r="H434">
        <v>47.27</v>
      </c>
      <c r="I434" s="1">
        <v>183.64000000000001</v>
      </c>
      <c r="J434" s="16">
        <v>366370.54874266509</v>
      </c>
      <c r="K434" s="5">
        <v>5.0935718600964311E-2</v>
      </c>
      <c r="L434" s="10">
        <v>206146.03640000001</v>
      </c>
    </row>
    <row r="435" spans="1:12" x14ac:dyDescent="0.25">
      <c r="A435">
        <v>434</v>
      </c>
      <c r="B435" s="3">
        <v>0.19034122045366514</v>
      </c>
      <c r="C435" s="3">
        <v>4.3343984251411227E-2</v>
      </c>
      <c r="D435" s="1">
        <v>74094.781823394791</v>
      </c>
      <c r="E435" s="1">
        <v>2612666</v>
      </c>
      <c r="F435" s="1">
        <v>12063697</v>
      </c>
      <c r="G435" s="16">
        <v>11761.617837313572</v>
      </c>
      <c r="H435">
        <v>51.05</v>
      </c>
      <c r="I435" s="1">
        <v>166.39</v>
      </c>
      <c r="J435" s="16">
        <v>85856.399660708368</v>
      </c>
      <c r="K435" s="5">
        <v>0.11979490652468773</v>
      </c>
      <c r="L435" s="10">
        <v>183900.519</v>
      </c>
    </row>
    <row r="436" spans="1:12" x14ac:dyDescent="0.25">
      <c r="A436">
        <v>435</v>
      </c>
      <c r="B436" s="3">
        <v>0.10559724090654843</v>
      </c>
      <c r="C436" s="3">
        <v>4.6970200342836471E-2</v>
      </c>
      <c r="D436" s="1">
        <v>230492.87992980328</v>
      </c>
      <c r="E436" s="1">
        <v>7536935</v>
      </c>
      <c r="F436" s="1">
        <v>46732823</v>
      </c>
      <c r="G436" s="16">
        <v>64683.186454398354</v>
      </c>
      <c r="H436">
        <v>212.46</v>
      </c>
      <c r="I436" s="1">
        <v>499.59000000000003</v>
      </c>
      <c r="J436" s="16">
        <v>295176.06638420164</v>
      </c>
      <c r="K436" s="5">
        <v>0.31492105063057085</v>
      </c>
      <c r="L436" s="10">
        <v>1574363.5364000001</v>
      </c>
    </row>
    <row r="437" spans="1:12" x14ac:dyDescent="0.25">
      <c r="A437">
        <v>436</v>
      </c>
      <c r="B437" s="3">
        <v>0.12964814406986364</v>
      </c>
      <c r="C437" s="3">
        <v>3.3032087395631765E-2</v>
      </c>
      <c r="D437" s="1">
        <v>312923.19011610764</v>
      </c>
      <c r="E437" s="1">
        <v>10206130</v>
      </c>
      <c r="F437" s="1">
        <v>42518210</v>
      </c>
      <c r="G437" s="16">
        <v>28598.590764777204</v>
      </c>
      <c r="H437">
        <v>113.69</v>
      </c>
      <c r="I437" s="1">
        <v>482.07</v>
      </c>
      <c r="J437" s="16">
        <v>341521.78088088485</v>
      </c>
      <c r="K437" s="5">
        <v>9.8693462962941791E-2</v>
      </c>
      <c r="L437" s="10">
        <v>816019.32030000002</v>
      </c>
    </row>
    <row r="438" spans="1:12" x14ac:dyDescent="0.25">
      <c r="A438">
        <v>437</v>
      </c>
      <c r="B438" s="3">
        <v>0.22311473881480393</v>
      </c>
      <c r="C438" s="3">
        <v>7.1348785334838641E-2</v>
      </c>
      <c r="D438" s="1">
        <v>130166.36487848179</v>
      </c>
      <c r="E438" s="1">
        <v>6687657</v>
      </c>
      <c r="F438" s="1">
        <v>28964967</v>
      </c>
      <c r="G438" s="16">
        <v>21243.13317031577</v>
      </c>
      <c r="H438">
        <v>187.3</v>
      </c>
      <c r="I438" s="1">
        <v>667.29</v>
      </c>
      <c r="J438" s="16">
        <v>151409.49804879757</v>
      </c>
      <c r="K438" s="5">
        <v>3.1015828300873058E-2</v>
      </c>
      <c r="L438" s="10">
        <v>90005.026400000002</v>
      </c>
    </row>
    <row r="439" spans="1:12" x14ac:dyDescent="0.25">
      <c r="A439">
        <v>438</v>
      </c>
      <c r="B439" s="3">
        <v>0.20229754086583412</v>
      </c>
      <c r="C439" s="3">
        <v>5.3796376970822138E-2</v>
      </c>
      <c r="D439" s="1">
        <v>63370.632476950435</v>
      </c>
      <c r="E439" s="1">
        <v>2336515</v>
      </c>
      <c r="F439" s="1">
        <v>15633968</v>
      </c>
      <c r="G439" s="16">
        <v>29187.73122588182</v>
      </c>
      <c r="H439">
        <v>213.49</v>
      </c>
      <c r="I439" s="1">
        <v>572.81999999999994</v>
      </c>
      <c r="J439" s="16">
        <v>92558.363702832256</v>
      </c>
      <c r="K439" s="5">
        <v>0.13387122252812844</v>
      </c>
      <c r="L439" s="10">
        <v>185428.90179999999</v>
      </c>
    </row>
    <row r="440" spans="1:12" x14ac:dyDescent="0.25">
      <c r="A440">
        <v>439</v>
      </c>
      <c r="B440" s="3">
        <v>0.12712367102781069</v>
      </c>
      <c r="C440" s="3">
        <v>6.2771462165432043E-2</v>
      </c>
      <c r="D440" s="1">
        <v>193761.87695246874</v>
      </c>
      <c r="E440" s="1">
        <v>5452718</v>
      </c>
      <c r="F440" s="1">
        <v>21434886</v>
      </c>
      <c r="G440" s="16">
        <v>75127.700944983648</v>
      </c>
      <c r="H440">
        <v>335.63</v>
      </c>
      <c r="I440" s="1">
        <v>1056.08</v>
      </c>
      <c r="J440" s="16">
        <v>268889.5778974524</v>
      </c>
      <c r="K440" s="5">
        <v>2.8396613725503804E-2</v>
      </c>
      <c r="L440" s="10">
        <v>113057.7721</v>
      </c>
    </row>
    <row r="441" spans="1:12" x14ac:dyDescent="0.25">
      <c r="A441">
        <v>440</v>
      </c>
      <c r="B441" s="3">
        <v>0.2096738132861421</v>
      </c>
      <c r="C441" s="3">
        <v>5.9264325035065873E-2</v>
      </c>
      <c r="D441" s="1">
        <v>47978.801126235456</v>
      </c>
      <c r="E441" s="1">
        <v>1819002</v>
      </c>
      <c r="F441" s="1">
        <v>16873063</v>
      </c>
      <c r="G441" s="16">
        <v>8394.7192702662269</v>
      </c>
      <c r="H441">
        <v>51.88</v>
      </c>
      <c r="I441" s="1">
        <v>212.28</v>
      </c>
      <c r="J441" s="16">
        <v>56373.520396501684</v>
      </c>
      <c r="K441" s="5">
        <v>0.21867526205203119</v>
      </c>
      <c r="L441" s="10">
        <v>175378.1403</v>
      </c>
    </row>
    <row r="442" spans="1:12" x14ac:dyDescent="0.25">
      <c r="A442">
        <v>441</v>
      </c>
      <c r="B442" s="3">
        <v>0.15028570769338198</v>
      </c>
      <c r="C442" s="3">
        <v>4.6472329318752469E-2</v>
      </c>
      <c r="D442" s="1">
        <v>165280.98092168925</v>
      </c>
      <c r="E442" s="1">
        <v>5933816</v>
      </c>
      <c r="F442" s="1">
        <v>23996315</v>
      </c>
      <c r="G442" s="16">
        <v>16243.641171299543</v>
      </c>
      <c r="H442">
        <v>64.930000000000007</v>
      </c>
      <c r="I442" s="1">
        <v>216.07</v>
      </c>
      <c r="J442" s="16">
        <v>181524.62209298878</v>
      </c>
      <c r="K442" s="5">
        <v>5.3465406856002075E-2</v>
      </c>
      <c r="L442" s="10">
        <v>190732.3578</v>
      </c>
    </row>
    <row r="443" spans="1:12" x14ac:dyDescent="0.25">
      <c r="A443">
        <v>442</v>
      </c>
      <c r="B443" s="3">
        <v>0.24972311965386579</v>
      </c>
      <c r="C443" s="3">
        <v>4.8300159937177026E-2</v>
      </c>
      <c r="D443" s="1">
        <v>229473.05200231099</v>
      </c>
      <c r="E443" s="1">
        <v>18064535</v>
      </c>
      <c r="F443" s="1">
        <v>69390223</v>
      </c>
      <c r="G443" s="16">
        <v>18407.980160916431</v>
      </c>
      <c r="H443">
        <v>275.68</v>
      </c>
      <c r="I443" s="1">
        <v>893.79</v>
      </c>
      <c r="J443" s="16">
        <v>247881.03216322741</v>
      </c>
      <c r="K443" s="5">
        <v>0.1887117822537363</v>
      </c>
      <c r="L443" s="10">
        <v>765321.01370000001</v>
      </c>
    </row>
    <row r="444" spans="1:12" x14ac:dyDescent="0.25">
      <c r="A444">
        <v>443</v>
      </c>
      <c r="B444" s="3">
        <v>0.14170855457104725</v>
      </c>
      <c r="C444" s="3">
        <v>3.1235457890963332E-2</v>
      </c>
      <c r="D444" s="1">
        <v>467025.53940902709</v>
      </c>
      <c r="E444" s="1">
        <v>18765914</v>
      </c>
      <c r="F444" s="1">
        <v>59315253</v>
      </c>
      <c r="G444" s="16">
        <v>20789.898588510707</v>
      </c>
      <c r="H444">
        <v>78.09</v>
      </c>
      <c r="I444" s="1">
        <v>230.73</v>
      </c>
      <c r="J444" s="16">
        <v>487815.43799753778</v>
      </c>
      <c r="K444" s="5">
        <v>-6.6449715961798994E-2</v>
      </c>
      <c r="L444" s="10">
        <v>-764753.42870000005</v>
      </c>
    </row>
    <row r="445" spans="1:12" x14ac:dyDescent="0.25">
      <c r="A445">
        <v>444</v>
      </c>
      <c r="B445" s="3">
        <v>0.24956090431307457</v>
      </c>
      <c r="C445" s="3">
        <v>3.1877103372211377E-2</v>
      </c>
      <c r="D445" s="1">
        <v>170581.6526183566</v>
      </c>
      <c r="E445" s="1">
        <v>10066381</v>
      </c>
      <c r="F445" s="1">
        <v>30255724</v>
      </c>
      <c r="G445" s="16">
        <v>17321.264808363423</v>
      </c>
      <c r="H445">
        <v>194.54</v>
      </c>
      <c r="I445" s="1">
        <v>568.35</v>
      </c>
      <c r="J445" s="16">
        <v>187902.91742672003</v>
      </c>
      <c r="K445" s="5">
        <v>0.26906771364147331</v>
      </c>
      <c r="L445" s="10">
        <v>1330065.6233999999</v>
      </c>
    </row>
    <row r="446" spans="1:12" x14ac:dyDescent="0.25">
      <c r="A446">
        <v>445</v>
      </c>
      <c r="B446" s="3">
        <v>0.15474046564422494</v>
      </c>
      <c r="C446" s="3">
        <v>6.0836550260467109E-2</v>
      </c>
      <c r="D446" s="1">
        <v>275596.366540602</v>
      </c>
      <c r="E446" s="1">
        <v>10104521</v>
      </c>
      <c r="F446" s="1">
        <v>38928899</v>
      </c>
      <c r="G446" s="16">
        <v>50509.234964933203</v>
      </c>
      <c r="H446">
        <v>246.27</v>
      </c>
      <c r="I446" s="1">
        <v>548.63</v>
      </c>
      <c r="J446" s="16">
        <v>326105.60150553519</v>
      </c>
      <c r="K446" s="5">
        <v>0.23797773720162926</v>
      </c>
      <c r="L446" s="10">
        <v>861555.79489999998</v>
      </c>
    </row>
    <row r="447" spans="1:12" x14ac:dyDescent="0.25">
      <c r="A447">
        <v>446</v>
      </c>
      <c r="B447" s="3">
        <v>0.14718252062582138</v>
      </c>
      <c r="C447" s="3">
        <v>5.0469706573593495E-2</v>
      </c>
      <c r="D447" s="1">
        <v>97179.991074805148</v>
      </c>
      <c r="E447" s="1">
        <v>2932325</v>
      </c>
      <c r="F447" s="1">
        <v>13359872</v>
      </c>
      <c r="G447" s="16">
        <v>42877.751781913525</v>
      </c>
      <c r="H447">
        <v>196.62</v>
      </c>
      <c r="I447" s="1">
        <v>676.32999999999993</v>
      </c>
      <c r="J447" s="16">
        <v>140057.74285671866</v>
      </c>
      <c r="K447" s="5">
        <v>0.14135047357418498</v>
      </c>
      <c r="L447" s="10">
        <v>292775.60729999997</v>
      </c>
    </row>
    <row r="448" spans="1:12" x14ac:dyDescent="0.25">
      <c r="A448">
        <v>447</v>
      </c>
      <c r="B448" s="3">
        <v>0.11365268179311118</v>
      </c>
      <c r="C448" s="3">
        <v>4.1761221180615829E-2</v>
      </c>
      <c r="D448" s="1">
        <v>355378.53761415923</v>
      </c>
      <c r="E448" s="1">
        <v>12158344</v>
      </c>
      <c r="F448" s="1">
        <v>45134105</v>
      </c>
      <c r="G448" s="16">
        <v>15275.469502937054</v>
      </c>
      <c r="H448">
        <v>41.96</v>
      </c>
      <c r="I448" s="1">
        <v>152.5</v>
      </c>
      <c r="J448" s="16">
        <v>370654.00711709628</v>
      </c>
      <c r="K448" s="5">
        <v>-3.7520337973009257E-2</v>
      </c>
      <c r="L448" s="10">
        <v>-226125.0526</v>
      </c>
    </row>
    <row r="449" spans="1:12" x14ac:dyDescent="0.25">
      <c r="A449">
        <v>448</v>
      </c>
      <c r="B449" s="3">
        <v>0.21095532378696691</v>
      </c>
      <c r="C449" s="3">
        <v>5.2364707610972408E-2</v>
      </c>
      <c r="D449" s="1">
        <v>107306.65414599802</v>
      </c>
      <c r="E449" s="1">
        <v>5181114</v>
      </c>
      <c r="F449" s="1">
        <v>22484274</v>
      </c>
      <c r="G449" s="16">
        <v>37493.830661521832</v>
      </c>
      <c r="H449">
        <v>296.48</v>
      </c>
      <c r="I449" s="1">
        <v>754.29</v>
      </c>
      <c r="J449" s="16">
        <v>144800.48480751985</v>
      </c>
      <c r="K449" s="5">
        <v>0.28403453943390194</v>
      </c>
      <c r="L449" s="10">
        <v>588376.95360000001</v>
      </c>
    </row>
    <row r="450" spans="1:12" x14ac:dyDescent="0.25">
      <c r="A450">
        <v>449</v>
      </c>
      <c r="B450" s="3">
        <v>0.10576241179396367</v>
      </c>
      <c r="C450" s="3">
        <v>4.6709418954624903E-2</v>
      </c>
      <c r="D450" s="1">
        <v>208809.4930272052</v>
      </c>
      <c r="E450" s="1">
        <v>6111407</v>
      </c>
      <c r="F450" s="1">
        <v>24620149</v>
      </c>
      <c r="G450" s="16">
        <v>29247.459079986318</v>
      </c>
      <c r="H450">
        <v>86.02</v>
      </c>
      <c r="I450" s="1">
        <v>261.12</v>
      </c>
      <c r="J450" s="16">
        <v>238056.95210719152</v>
      </c>
      <c r="K450" s="5">
        <v>4.7439126113230333E-2</v>
      </c>
      <c r="L450" s="10">
        <v>233474.0385</v>
      </c>
    </row>
    <row r="451" spans="1:12" x14ac:dyDescent="0.25">
      <c r="A451">
        <v>450</v>
      </c>
      <c r="B451" s="3">
        <v>0.23095107200310261</v>
      </c>
      <c r="C451" s="3">
        <v>2.3662868243616048E-2</v>
      </c>
      <c r="D451" s="1">
        <v>88004.557890014708</v>
      </c>
      <c r="E451" s="1">
        <v>4708604</v>
      </c>
      <c r="F451" s="1">
        <v>24690768</v>
      </c>
      <c r="G451" s="16">
        <v>10879.96091777185</v>
      </c>
      <c r="H451">
        <v>79.12</v>
      </c>
      <c r="I451" s="1">
        <v>330.36</v>
      </c>
      <c r="J451" s="16">
        <v>98884.518807786561</v>
      </c>
      <c r="K451" s="5">
        <v>0.15890217537721046</v>
      </c>
      <c r="L451" s="10">
        <v>616706.81770000001</v>
      </c>
    </row>
    <row r="452" spans="1:12" x14ac:dyDescent="0.25">
      <c r="A452">
        <v>451</v>
      </c>
      <c r="B452" s="3">
        <v>0.18959705274580654</v>
      </c>
      <c r="C452" s="3">
        <v>5.1348496941482691E-2</v>
      </c>
      <c r="D452" s="1">
        <v>118547.02346435675</v>
      </c>
      <c r="E452" s="1">
        <v>5143859</v>
      </c>
      <c r="F452" s="1">
        <v>22635624</v>
      </c>
      <c r="G452" s="16">
        <v>29129.949242109353</v>
      </c>
      <c r="H452">
        <v>190.96</v>
      </c>
      <c r="I452" s="1">
        <v>532.16999999999996</v>
      </c>
      <c r="J452" s="16">
        <v>147676.9727064661</v>
      </c>
      <c r="K452" s="5">
        <v>0.12566871580465727</v>
      </c>
      <c r="L452" s="10">
        <v>291979.4276</v>
      </c>
    </row>
    <row r="453" spans="1:12" x14ac:dyDescent="0.25">
      <c r="A453">
        <v>452</v>
      </c>
      <c r="B453" s="3">
        <v>0.23384250699064002</v>
      </c>
      <c r="C453" s="3">
        <v>7.2850914664666089E-2</v>
      </c>
      <c r="D453" s="1">
        <v>91213.6935326393</v>
      </c>
      <c r="E453" s="1">
        <v>4954400</v>
      </c>
      <c r="F453" s="1">
        <v>29209986</v>
      </c>
      <c r="G453" s="16">
        <v>7538.9756997374725</v>
      </c>
      <c r="H453">
        <v>56.02</v>
      </c>
      <c r="I453" s="1">
        <v>232.31</v>
      </c>
      <c r="J453" s="16">
        <v>98752.669232376778</v>
      </c>
      <c r="K453" s="5">
        <v>0.11071871577130406</v>
      </c>
      <c r="L453" s="10">
        <v>127165.51730000001</v>
      </c>
    </row>
    <row r="454" spans="1:12" x14ac:dyDescent="0.25">
      <c r="A454">
        <v>453</v>
      </c>
      <c r="B454" s="3">
        <v>0.14343574604128206</v>
      </c>
      <c r="C454" s="3">
        <v>5.8374870083444233E-2</v>
      </c>
      <c r="D454" s="1">
        <v>284516.30192696862</v>
      </c>
      <c r="E454" s="1">
        <v>11548090</v>
      </c>
      <c r="F454" s="1">
        <v>44135217</v>
      </c>
      <c r="G454" s="16">
        <v>56328.067958294247</v>
      </c>
      <c r="H454">
        <v>292.77999999999997</v>
      </c>
      <c r="I454" s="1">
        <v>1043.33</v>
      </c>
      <c r="J454" s="16">
        <v>340844.36988526286</v>
      </c>
      <c r="K454" s="5">
        <v>8.2129578159352207E-2</v>
      </c>
      <c r="L454" s="10">
        <v>380584.23719999997</v>
      </c>
    </row>
    <row r="455" spans="1:12" x14ac:dyDescent="0.25">
      <c r="A455">
        <v>454</v>
      </c>
      <c r="B455" s="3">
        <v>0.18157458958012995</v>
      </c>
      <c r="C455" s="3">
        <v>7.321719686258546E-2</v>
      </c>
      <c r="D455" s="1">
        <v>204554.39181754339</v>
      </c>
      <c r="E455" s="1">
        <v>8532870</v>
      </c>
      <c r="F455" s="1">
        <v>34570878</v>
      </c>
      <c r="G455" s="16">
        <v>38006.222884228715</v>
      </c>
      <c r="H455">
        <v>232.46</v>
      </c>
      <c r="I455" s="1">
        <v>636.47</v>
      </c>
      <c r="J455" s="16">
        <v>242560.61470177211</v>
      </c>
      <c r="K455" s="5">
        <v>0.15994634453077677</v>
      </c>
      <c r="L455" s="10">
        <v>358203.56959999999</v>
      </c>
    </row>
    <row r="456" spans="1:12" x14ac:dyDescent="0.25">
      <c r="A456">
        <v>455</v>
      </c>
      <c r="B456" s="3">
        <v>0.15598493447138712</v>
      </c>
      <c r="C456" s="3">
        <v>4.9876912243932606E-2</v>
      </c>
      <c r="D456" s="1">
        <v>109133.702636703</v>
      </c>
      <c r="E456" s="1">
        <v>3397119</v>
      </c>
      <c r="F456" s="1">
        <v>16659992</v>
      </c>
      <c r="G456" s="16">
        <v>41025.382684217955</v>
      </c>
      <c r="H456">
        <v>202.28</v>
      </c>
      <c r="I456" s="1">
        <v>555.09</v>
      </c>
      <c r="J456" s="16">
        <v>150159.08532092097</v>
      </c>
      <c r="K456" s="5">
        <v>7.2882084771348429E-3</v>
      </c>
      <c r="L456" s="10">
        <v>30785.887500000001</v>
      </c>
    </row>
    <row r="457" spans="1:12" x14ac:dyDescent="0.25">
      <c r="A457">
        <v>456</v>
      </c>
      <c r="B457" s="3">
        <v>0.15085472066147265</v>
      </c>
      <c r="C457" s="3">
        <v>7.7169923430126214E-2</v>
      </c>
      <c r="D457" s="1">
        <v>58157.220157514661</v>
      </c>
      <c r="E457" s="1">
        <v>1777706</v>
      </c>
      <c r="F457" s="1">
        <v>11505157</v>
      </c>
      <c r="G457" s="16">
        <v>47994.90899686695</v>
      </c>
      <c r="H457">
        <v>227.01</v>
      </c>
      <c r="I457" s="1">
        <v>614.72</v>
      </c>
      <c r="J457" s="16">
        <v>106152.1291543816</v>
      </c>
      <c r="K457" s="5">
        <v>0.20120595755298976</v>
      </c>
      <c r="L457" s="10">
        <v>188760.73360000001</v>
      </c>
    </row>
    <row r="458" spans="1:12" x14ac:dyDescent="0.25">
      <c r="A458">
        <v>457</v>
      </c>
      <c r="B458" s="3">
        <v>0.18676335944240322</v>
      </c>
      <c r="C458" s="3">
        <v>6.4681391977954444E-2</v>
      </c>
      <c r="D458" s="1">
        <v>130933.4090394597</v>
      </c>
      <c r="E458" s="1">
        <v>5602546</v>
      </c>
      <c r="F458" s="1">
        <v>27389507</v>
      </c>
      <c r="G458" s="16">
        <v>16669.203167821117</v>
      </c>
      <c r="H458">
        <v>86.73</v>
      </c>
      <c r="I458" s="1">
        <v>308.39999999999998</v>
      </c>
      <c r="J458" s="16">
        <v>147602.61220728082</v>
      </c>
      <c r="K458" s="5">
        <v>0.18187272457977804</v>
      </c>
      <c r="L458" s="10">
        <v>300678.19280000002</v>
      </c>
    </row>
    <row r="459" spans="1:12" x14ac:dyDescent="0.25">
      <c r="A459">
        <v>458</v>
      </c>
      <c r="B459" s="3">
        <v>0.1747201935968353</v>
      </c>
      <c r="C459" s="3">
        <v>2.049247556872286E-2</v>
      </c>
      <c r="D459" s="1">
        <v>511658.46453779173</v>
      </c>
      <c r="E459" s="1">
        <v>25013616</v>
      </c>
      <c r="F459" s="1">
        <v>81101978</v>
      </c>
      <c r="G459" s="16">
        <v>12333.807804771173</v>
      </c>
      <c r="H459">
        <v>58.68</v>
      </c>
      <c r="I459" s="1">
        <v>209.25</v>
      </c>
      <c r="J459" s="16">
        <v>523992.27234256291</v>
      </c>
      <c r="K459" s="5">
        <v>7.2507507007742084E-2</v>
      </c>
      <c r="L459" s="10">
        <v>1757128.4938999999</v>
      </c>
    </row>
    <row r="460" spans="1:12" x14ac:dyDescent="0.25">
      <c r="A460">
        <v>459</v>
      </c>
      <c r="B460" s="3">
        <v>0.14545148971465052</v>
      </c>
      <c r="C460" s="3">
        <v>4.1780939514134613E-2</v>
      </c>
      <c r="D460" s="1">
        <v>86494.159015602781</v>
      </c>
      <c r="E460" s="1">
        <v>2594056</v>
      </c>
      <c r="F460" s="1">
        <v>14432525</v>
      </c>
      <c r="G460" s="16">
        <v>18923.276831364947</v>
      </c>
      <c r="H460">
        <v>62.54</v>
      </c>
      <c r="I460" s="1">
        <v>172.98</v>
      </c>
      <c r="J460" s="16">
        <v>105417.43584696772</v>
      </c>
      <c r="K460" s="5">
        <v>0.16361874669871759</v>
      </c>
      <c r="L460" s="10">
        <v>338071.57150000002</v>
      </c>
    </row>
    <row r="461" spans="1:12" x14ac:dyDescent="0.25">
      <c r="A461">
        <v>460</v>
      </c>
      <c r="B461" s="3">
        <v>0.17568429003065711</v>
      </c>
      <c r="C461" s="3">
        <v>4.8024473700714915E-2</v>
      </c>
      <c r="D461" s="1">
        <v>126690.20888778509</v>
      </c>
      <c r="E461" s="1">
        <v>4233180</v>
      </c>
      <c r="F461" s="1">
        <v>16353209</v>
      </c>
      <c r="G461" s="16">
        <v>78509.04068506317</v>
      </c>
      <c r="H461">
        <v>553.99</v>
      </c>
      <c r="I461" s="1">
        <v>1297.1099999999999</v>
      </c>
      <c r="J461" s="16">
        <v>205199.24957284826</v>
      </c>
      <c r="K461" s="5">
        <v>0.23562745100771976</v>
      </c>
      <c r="L461" s="10">
        <v>755208.41949999996</v>
      </c>
    </row>
    <row r="462" spans="1:12" x14ac:dyDescent="0.25">
      <c r="A462">
        <v>461</v>
      </c>
      <c r="B462" s="3">
        <v>0.13636841149315859</v>
      </c>
      <c r="C462" s="3">
        <v>5.2802350836892803E-2</v>
      </c>
      <c r="D462" s="1">
        <v>108899.72111768871</v>
      </c>
      <c r="E462" s="1">
        <v>3663664</v>
      </c>
      <c r="F462" s="1">
        <v>31918746</v>
      </c>
      <c r="G462" s="16">
        <v>33141.77813852275</v>
      </c>
      <c r="H462">
        <v>139.07</v>
      </c>
      <c r="I462" s="1">
        <v>426.87</v>
      </c>
      <c r="J462" s="16">
        <v>142041.49925621145</v>
      </c>
      <c r="K462" s="5">
        <v>0.15794377236166382</v>
      </c>
      <c r="L462" s="10">
        <v>398659.06760000001</v>
      </c>
    </row>
    <row r="463" spans="1:12" x14ac:dyDescent="0.25">
      <c r="A463">
        <v>462</v>
      </c>
      <c r="B463" s="3">
        <v>0.23506041767610478</v>
      </c>
      <c r="C463" s="3">
        <v>3.0544924591082694E-2</v>
      </c>
      <c r="D463" s="1">
        <v>132676.7669350151</v>
      </c>
      <c r="E463" s="1">
        <v>9481174</v>
      </c>
      <c r="F463" s="1">
        <v>43459105</v>
      </c>
      <c r="G463" s="16">
        <v>14351.690148905269</v>
      </c>
      <c r="H463">
        <v>140.94999999999999</v>
      </c>
      <c r="I463" s="1">
        <v>461.09</v>
      </c>
      <c r="J463" s="16">
        <v>147028.45708392037</v>
      </c>
      <c r="K463" s="5">
        <v>0.23770572918681118</v>
      </c>
      <c r="L463" s="10">
        <v>1001521.3256</v>
      </c>
    </row>
    <row r="464" spans="1:12" x14ac:dyDescent="0.25">
      <c r="A464">
        <v>463</v>
      </c>
      <c r="B464" s="3">
        <v>0.17240452691308117</v>
      </c>
      <c r="C464" s="3">
        <v>2.6684073569348949E-2</v>
      </c>
      <c r="D464" s="1">
        <v>107079.97808819822</v>
      </c>
      <c r="E464" s="1">
        <v>3535545</v>
      </c>
      <c r="F464" s="1">
        <v>20731822</v>
      </c>
      <c r="G464" s="16">
        <v>28792.402292081995</v>
      </c>
      <c r="H464">
        <v>163.09</v>
      </c>
      <c r="I464" s="1">
        <v>418.08000000000004</v>
      </c>
      <c r="J464" s="16">
        <v>135872.3803802802</v>
      </c>
      <c r="K464" s="5">
        <v>0.20571865650188814</v>
      </c>
      <c r="L464" s="10">
        <v>915571.96550000005</v>
      </c>
    </row>
    <row r="465" spans="1:12" x14ac:dyDescent="0.25">
      <c r="A465">
        <v>464</v>
      </c>
      <c r="B465" s="3">
        <v>0.20316737030662935</v>
      </c>
      <c r="C465" s="3">
        <v>4.064922812698156E-2</v>
      </c>
      <c r="D465" s="1">
        <v>143318.93510174306</v>
      </c>
      <c r="E465" s="1">
        <v>6653310</v>
      </c>
      <c r="F465" s="1">
        <v>27757701</v>
      </c>
      <c r="G465" s="16">
        <v>15323.063225917764</v>
      </c>
      <c r="H465">
        <v>89.98</v>
      </c>
      <c r="I465" s="1">
        <v>346.78000000000003</v>
      </c>
      <c r="J465" s="16">
        <v>158641.99832766081</v>
      </c>
      <c r="K465" s="5">
        <v>7.9656479771591793E-3</v>
      </c>
      <c r="L465" s="10">
        <v>55571.531199999998</v>
      </c>
    </row>
    <row r="466" spans="1:12" x14ac:dyDescent="0.25">
      <c r="A466">
        <v>465</v>
      </c>
      <c r="B466" s="3">
        <v>0.23562856244238314</v>
      </c>
      <c r="C466" s="3">
        <v>3.1712208232213747E-2</v>
      </c>
      <c r="D466" s="1">
        <v>46655.658275477595</v>
      </c>
      <c r="E466" s="1">
        <v>1955210</v>
      </c>
      <c r="F466" s="1">
        <v>13543676</v>
      </c>
      <c r="G466" s="16">
        <v>14229.912510973545</v>
      </c>
      <c r="H466">
        <v>140.30000000000001</v>
      </c>
      <c r="I466" s="1">
        <v>605.8599999999999</v>
      </c>
      <c r="J466" s="16">
        <v>60885.570786451142</v>
      </c>
      <c r="K466" s="5">
        <v>1.5931012334867458E-2</v>
      </c>
      <c r="L466" s="10">
        <v>38387.661200000002</v>
      </c>
    </row>
    <row r="467" spans="1:12" x14ac:dyDescent="0.25">
      <c r="A467">
        <v>466</v>
      </c>
      <c r="B467" s="3">
        <v>0.21252892478642513</v>
      </c>
      <c r="C467" s="3">
        <v>3.8741370717376385E-2</v>
      </c>
      <c r="D467" s="1">
        <v>60998.532215501305</v>
      </c>
      <c r="E467" s="1">
        <v>2337856</v>
      </c>
      <c r="F467" s="1">
        <v>16951026</v>
      </c>
      <c r="G467" s="16">
        <v>13704.871048441266</v>
      </c>
      <c r="H467">
        <v>86.5</v>
      </c>
      <c r="I467" s="1">
        <v>290.19</v>
      </c>
      <c r="J467" s="16">
        <v>74703.403263942571</v>
      </c>
      <c r="K467" s="5">
        <v>0.29022964813595559</v>
      </c>
      <c r="L467" s="10">
        <v>490633.71759999997</v>
      </c>
    </row>
    <row r="468" spans="1:12" x14ac:dyDescent="0.25">
      <c r="A468">
        <v>467</v>
      </c>
      <c r="B468" s="3">
        <v>0.17790740295346363</v>
      </c>
      <c r="C468" s="3">
        <v>2.4200798222644315E-2</v>
      </c>
      <c r="D468" s="1">
        <v>246568.13490902638</v>
      </c>
      <c r="E468" s="1">
        <v>10103148</v>
      </c>
      <c r="F468" s="1">
        <v>36697644</v>
      </c>
      <c r="G468" s="16">
        <v>17899.051740655552</v>
      </c>
      <c r="H468">
        <v>87.15</v>
      </c>
      <c r="I468" s="1">
        <v>332.35</v>
      </c>
      <c r="J468" s="16">
        <v>264467.18664968194</v>
      </c>
      <c r="K468" s="5">
        <v>8.9221957476216807E-4</v>
      </c>
      <c r="L468" s="10">
        <v>54474.864999999998</v>
      </c>
    </row>
    <row r="469" spans="1:12" x14ac:dyDescent="0.25">
      <c r="A469">
        <v>468</v>
      </c>
      <c r="B469" s="3">
        <v>0.21071656880167533</v>
      </c>
      <c r="C469" s="3">
        <v>7.5999844371691827E-2</v>
      </c>
      <c r="D469" s="1">
        <v>228940.31914270451</v>
      </c>
      <c r="E469" s="1">
        <v>11040627</v>
      </c>
      <c r="F469" s="1">
        <v>39997441</v>
      </c>
      <c r="G469" s="16">
        <v>28140.112691081315</v>
      </c>
      <c r="H469">
        <v>221.63</v>
      </c>
      <c r="I469" s="1">
        <v>511.5</v>
      </c>
      <c r="J469" s="16">
        <v>257080.43183378581</v>
      </c>
      <c r="K469" s="5">
        <v>0.12045243832821968</v>
      </c>
      <c r="L469" s="10">
        <v>301837.31640000001</v>
      </c>
    </row>
    <row r="470" spans="1:12" x14ac:dyDescent="0.25">
      <c r="A470">
        <v>469</v>
      </c>
      <c r="B470" s="3">
        <v>0.23354877947964892</v>
      </c>
      <c r="C470" s="3">
        <v>2.7760785927119083E-2</v>
      </c>
      <c r="D470" s="1">
        <v>141531.79947741947</v>
      </c>
      <c r="E470" s="1">
        <v>5883059</v>
      </c>
      <c r="F470" s="1">
        <v>18036663</v>
      </c>
      <c r="G470" s="16">
        <v>14861.308894524976</v>
      </c>
      <c r="H470">
        <v>110.08</v>
      </c>
      <c r="I470" s="1">
        <v>341.67</v>
      </c>
      <c r="J470" s="16">
        <v>156393.10837194446</v>
      </c>
      <c r="K470" s="5">
        <v>0.10713508057703049</v>
      </c>
      <c r="L470" s="10">
        <v>515966.58529999998</v>
      </c>
    </row>
    <row r="471" spans="1:12" x14ac:dyDescent="0.25">
      <c r="A471">
        <v>470</v>
      </c>
      <c r="B471" s="3">
        <v>0.24397604202219664</v>
      </c>
      <c r="C471" s="3">
        <v>5.2789209845866922E-2</v>
      </c>
      <c r="D471" s="1">
        <v>44108.997288164508</v>
      </c>
      <c r="E471" s="1">
        <v>2526897</v>
      </c>
      <c r="F471" s="1">
        <v>24276953</v>
      </c>
      <c r="G471" s="16">
        <v>10253.893404173494</v>
      </c>
      <c r="H471">
        <v>82.58</v>
      </c>
      <c r="I471" s="1">
        <v>228.27999999999997</v>
      </c>
      <c r="J471" s="16">
        <v>54362.890692337998</v>
      </c>
      <c r="K471" s="5">
        <v>0.14670006871589986</v>
      </c>
      <c r="L471" s="10">
        <v>131830.48689999999</v>
      </c>
    </row>
    <row r="472" spans="1:12" x14ac:dyDescent="0.25">
      <c r="A472">
        <v>471</v>
      </c>
      <c r="B472" s="3">
        <v>0.12961277122870857</v>
      </c>
      <c r="C472" s="3">
        <v>7.0397735942311829E-2</v>
      </c>
      <c r="D472" s="1">
        <v>161086.75450819754</v>
      </c>
      <c r="E472" s="1">
        <v>5253060</v>
      </c>
      <c r="F472" s="1">
        <v>31596371</v>
      </c>
      <c r="G472" s="16">
        <v>64289.003480219275</v>
      </c>
      <c r="H472">
        <v>255.36</v>
      </c>
      <c r="I472" s="1">
        <v>633.75</v>
      </c>
      <c r="J472" s="16">
        <v>225375.75798841682</v>
      </c>
      <c r="K472" s="5">
        <v>0.10786786531808545</v>
      </c>
      <c r="L472" s="10">
        <v>252294.7702</v>
      </c>
    </row>
    <row r="473" spans="1:12" x14ac:dyDescent="0.25">
      <c r="A473">
        <v>472</v>
      </c>
      <c r="B473" s="3">
        <v>0.14446120298416204</v>
      </c>
      <c r="C473" s="3">
        <v>3.5495805653900404E-2</v>
      </c>
      <c r="D473" s="1">
        <v>271960.46175558842</v>
      </c>
      <c r="E473" s="1">
        <v>9500571</v>
      </c>
      <c r="F473" s="1">
        <v>37118487</v>
      </c>
      <c r="G473" s="16">
        <v>63461.17214616602</v>
      </c>
      <c r="H473">
        <v>332.77</v>
      </c>
      <c r="I473" s="1">
        <v>871.69999999999993</v>
      </c>
      <c r="J473" s="16">
        <v>335421.63390175445</v>
      </c>
      <c r="K473" s="5">
        <v>0.16460916882979459</v>
      </c>
      <c r="L473" s="10">
        <v>1263760.0027999999</v>
      </c>
    </row>
    <row r="474" spans="1:12" x14ac:dyDescent="0.25">
      <c r="A474">
        <v>473</v>
      </c>
      <c r="B474" s="3">
        <v>0.15720065165136216</v>
      </c>
      <c r="C474" s="3">
        <v>3.134381729853479E-2</v>
      </c>
      <c r="D474" s="1">
        <v>177421.46328898065</v>
      </c>
      <c r="E474" s="1">
        <v>5546721</v>
      </c>
      <c r="F474" s="1">
        <v>20536619</v>
      </c>
      <c r="G474" s="16">
        <v>40561.394978333381</v>
      </c>
      <c r="H474">
        <v>202.14</v>
      </c>
      <c r="I474" s="1">
        <v>495.84999999999997</v>
      </c>
      <c r="J474" s="16">
        <v>217982.85826731403</v>
      </c>
      <c r="K474" s="5">
        <v>2.1005859825124186E-2</v>
      </c>
      <c r="L474" s="10">
        <v>117908.7806</v>
      </c>
    </row>
    <row r="475" spans="1:12" x14ac:dyDescent="0.25">
      <c r="A475">
        <v>474</v>
      </c>
      <c r="B475" s="3">
        <v>0.21625697844222849</v>
      </c>
      <c r="C475" s="3">
        <v>3.0450232666617987E-2</v>
      </c>
      <c r="D475" s="1">
        <v>172982.55925483463</v>
      </c>
      <c r="E475" s="1">
        <v>10948052</v>
      </c>
      <c r="F475" s="1">
        <v>49996341</v>
      </c>
      <c r="G475" s="16">
        <v>21954.723084243538</v>
      </c>
      <c r="H475">
        <v>181.82</v>
      </c>
      <c r="I475" s="1">
        <v>576.6099999999999</v>
      </c>
      <c r="J475" s="16">
        <v>194937.28233907817</v>
      </c>
      <c r="K475" s="5">
        <v>0.10088460774233837</v>
      </c>
      <c r="L475" s="10">
        <v>615757.01850000001</v>
      </c>
    </row>
    <row r="476" spans="1:12" x14ac:dyDescent="0.25">
      <c r="A476">
        <v>475</v>
      </c>
      <c r="B476" s="3">
        <v>0.1533674810163668</v>
      </c>
      <c r="C476" s="3">
        <v>2.1659121469888219E-2</v>
      </c>
      <c r="D476" s="1">
        <v>112948.215762632</v>
      </c>
      <c r="E476" s="1">
        <v>3483352</v>
      </c>
      <c r="F476" s="1">
        <v>21446325</v>
      </c>
      <c r="G476" s="16">
        <v>35171.779547905011</v>
      </c>
      <c r="H476">
        <v>169.67</v>
      </c>
      <c r="I476" s="1">
        <v>506.45999999999992</v>
      </c>
      <c r="J476" s="16">
        <v>148119.99531053699</v>
      </c>
      <c r="K476" s="5">
        <v>1.1900973477051702E-2</v>
      </c>
      <c r="L476" s="10">
        <v>100162.18730000001</v>
      </c>
    </row>
    <row r="477" spans="1:12" x14ac:dyDescent="0.25">
      <c r="A477">
        <v>476</v>
      </c>
      <c r="B477" s="3">
        <v>0.24933665731218235</v>
      </c>
      <c r="C477" s="3">
        <v>2.094693484297229E-2</v>
      </c>
      <c r="D477" s="1">
        <v>87094.356883523826</v>
      </c>
      <c r="E477" s="1">
        <v>3853514</v>
      </c>
      <c r="F477" s="1">
        <v>20077800</v>
      </c>
      <c r="G477" s="16">
        <v>10329.328987574962</v>
      </c>
      <c r="H477">
        <v>86.93</v>
      </c>
      <c r="I477" s="1">
        <v>248.74</v>
      </c>
      <c r="J477" s="16">
        <v>97423.685871098787</v>
      </c>
      <c r="K477" s="5">
        <v>0.16635104837085646</v>
      </c>
      <c r="L477" s="10">
        <v>712335.12470000004</v>
      </c>
    </row>
    <row r="478" spans="1:12" x14ac:dyDescent="0.25">
      <c r="A478">
        <v>477</v>
      </c>
      <c r="B478" s="3">
        <v>0.15194771645788815</v>
      </c>
      <c r="C478" s="3">
        <v>4.7082445596681663E-2</v>
      </c>
      <c r="D478" s="1">
        <v>215724.52633707598</v>
      </c>
      <c r="E478" s="1">
        <v>7805711</v>
      </c>
      <c r="F478" s="1">
        <v>34206754</v>
      </c>
      <c r="G478" s="16">
        <v>30292.408452745534</v>
      </c>
      <c r="H478">
        <v>144.29</v>
      </c>
      <c r="I478" s="1">
        <v>594.85</v>
      </c>
      <c r="J478" s="16">
        <v>246016.93478982151</v>
      </c>
      <c r="K478" s="5">
        <v>7.6872030323027279E-2</v>
      </c>
      <c r="L478" s="10">
        <v>343069.68070000003</v>
      </c>
    </row>
    <row r="479" spans="1:12" x14ac:dyDescent="0.25">
      <c r="A479">
        <v>478</v>
      </c>
      <c r="B479" s="3">
        <v>0.10587834222245017</v>
      </c>
      <c r="C479" s="3">
        <v>4.7626822943442088E-2</v>
      </c>
      <c r="D479" s="1">
        <v>360532.87338493566</v>
      </c>
      <c r="E479" s="1">
        <v>10557493</v>
      </c>
      <c r="F479" s="1">
        <v>42178476</v>
      </c>
      <c r="G479" s="16">
        <v>39162.260116446902</v>
      </c>
      <c r="H479">
        <v>115.47</v>
      </c>
      <c r="I479" s="1">
        <v>274.48</v>
      </c>
      <c r="J479" s="16">
        <v>399695.13350138254</v>
      </c>
      <c r="K479" s="5">
        <v>6.2548263657804581E-2</v>
      </c>
      <c r="L479" s="10">
        <v>420472.37540000002</v>
      </c>
    </row>
    <row r="480" spans="1:12" x14ac:dyDescent="0.25">
      <c r="A480">
        <v>479</v>
      </c>
      <c r="B480" s="3">
        <v>0.22468090126926601</v>
      </c>
      <c r="C480" s="3">
        <v>7.4732629212266477E-2</v>
      </c>
      <c r="D480" s="1">
        <v>105463.76952456844</v>
      </c>
      <c r="E480" s="1">
        <v>5462412</v>
      </c>
      <c r="F480" s="1">
        <v>28664314</v>
      </c>
      <c r="G480" s="16">
        <v>22855.742805056689</v>
      </c>
      <c r="H480">
        <v>204.45</v>
      </c>
      <c r="I480" s="1">
        <v>657.96</v>
      </c>
      <c r="J480" s="16">
        <v>128319.51232962514</v>
      </c>
      <c r="K480" s="5">
        <v>0.23646459930646901</v>
      </c>
      <c r="L480" s="10">
        <v>279779.16879999998</v>
      </c>
    </row>
    <row r="481" spans="1:12" x14ac:dyDescent="0.25">
      <c r="A481">
        <v>480</v>
      </c>
      <c r="B481" s="3">
        <v>0.12968307144273439</v>
      </c>
      <c r="C481" s="3">
        <v>2.1134479526028208E-2</v>
      </c>
      <c r="D481" s="1">
        <v>116327.4046220593</v>
      </c>
      <c r="E481" s="1">
        <v>3302577</v>
      </c>
      <c r="F481" s="1">
        <v>16497268</v>
      </c>
      <c r="G481" s="16">
        <v>24211.792014061564</v>
      </c>
      <c r="H481">
        <v>83.76</v>
      </c>
      <c r="I481" s="1">
        <v>353.22</v>
      </c>
      <c r="J481" s="16">
        <v>140539.19663612088</v>
      </c>
      <c r="K481" s="5">
        <v>0.1482237648922185</v>
      </c>
      <c r="L481" s="10">
        <v>877107.04509999999</v>
      </c>
    </row>
    <row r="482" spans="1:12" x14ac:dyDescent="0.25">
      <c r="A482">
        <v>481</v>
      </c>
      <c r="B482" s="3">
        <v>0.1847975724895482</v>
      </c>
      <c r="C482" s="3">
        <v>5.0503448779224178E-2</v>
      </c>
      <c r="D482" s="1">
        <v>131802.51407024584</v>
      </c>
      <c r="E482" s="1">
        <v>5585534</v>
      </c>
      <c r="F482" s="1">
        <v>27320929</v>
      </c>
      <c r="G482" s="16">
        <v>31948.856087702596</v>
      </c>
      <c r="H482">
        <v>200.93</v>
      </c>
      <c r="I482" s="1">
        <v>580.93000000000006</v>
      </c>
      <c r="J482" s="16">
        <v>163751.37015794843</v>
      </c>
      <c r="K482" s="5">
        <v>2.4071822918152186E-3</v>
      </c>
      <c r="L482" s="10">
        <v>36629.6924</v>
      </c>
    </row>
    <row r="483" spans="1:12" x14ac:dyDescent="0.25">
      <c r="A483">
        <v>482</v>
      </c>
      <c r="B483" s="3">
        <v>0.24291249130859216</v>
      </c>
      <c r="C483" s="3">
        <v>2.1499328362732648E-2</v>
      </c>
      <c r="D483" s="1">
        <v>177550.36588409505</v>
      </c>
      <c r="E483" s="1">
        <v>13359616</v>
      </c>
      <c r="F483" s="1">
        <v>45927404</v>
      </c>
      <c r="G483" s="16">
        <v>24611.512295256831</v>
      </c>
      <c r="H483">
        <v>343.19</v>
      </c>
      <c r="I483" s="1">
        <v>971.1400000000001</v>
      </c>
      <c r="J483" s="16">
        <v>202161.87817935189</v>
      </c>
      <c r="K483" s="5">
        <v>0.18736121006318832</v>
      </c>
      <c r="L483" s="10">
        <v>1548210.2045</v>
      </c>
    </row>
    <row r="484" spans="1:12" x14ac:dyDescent="0.25">
      <c r="A484">
        <v>483</v>
      </c>
      <c r="B484" s="3">
        <v>0.19669335531301829</v>
      </c>
      <c r="C484" s="3">
        <v>3.1003181667394429E-2</v>
      </c>
      <c r="D484" s="1">
        <v>59968.770112384431</v>
      </c>
      <c r="E484" s="1">
        <v>2165130</v>
      </c>
      <c r="F484" s="1">
        <v>19415544</v>
      </c>
      <c r="G484" s="16">
        <v>26319.992514769066</v>
      </c>
      <c r="H484">
        <v>183.28</v>
      </c>
      <c r="I484" s="1">
        <v>449.84000000000003</v>
      </c>
      <c r="J484" s="16">
        <v>86288.762627153497</v>
      </c>
      <c r="K484" s="5">
        <v>0.1065533951719517</v>
      </c>
      <c r="L484" s="10">
        <v>298026.60739999998</v>
      </c>
    </row>
    <row r="485" spans="1:12" x14ac:dyDescent="0.25">
      <c r="A485">
        <v>484</v>
      </c>
      <c r="B485" s="3">
        <v>0.1914446206124894</v>
      </c>
      <c r="C485" s="3">
        <v>7.0544469340111771E-2</v>
      </c>
      <c r="D485" s="1">
        <v>117465.07250000074</v>
      </c>
      <c r="E485" s="1">
        <v>4158939</v>
      </c>
      <c r="F485" s="1">
        <v>17435403</v>
      </c>
      <c r="G485" s="16">
        <v>35828.804183891458</v>
      </c>
      <c r="H485">
        <v>238.76</v>
      </c>
      <c r="I485" s="1">
        <v>595.77</v>
      </c>
      <c r="J485" s="16">
        <v>153293.87668389219</v>
      </c>
      <c r="K485" s="5">
        <v>0.12043594027346684</v>
      </c>
      <c r="L485" s="10">
        <v>181394.00270000001</v>
      </c>
    </row>
    <row r="486" spans="1:12" x14ac:dyDescent="0.25">
      <c r="A486">
        <v>485</v>
      </c>
      <c r="B486" s="3">
        <v>0.22070718772801312</v>
      </c>
      <c r="C486" s="3">
        <v>4.7906029894740187E-2</v>
      </c>
      <c r="D486" s="1">
        <v>153427.82322588528</v>
      </c>
      <c r="E486" s="1">
        <v>7785811</v>
      </c>
      <c r="F486" s="1">
        <v>32978820</v>
      </c>
      <c r="G486" s="16">
        <v>10572.010600948008</v>
      </c>
      <c r="H486">
        <v>71.08</v>
      </c>
      <c r="I486" s="1">
        <v>311.36</v>
      </c>
      <c r="J486" s="16">
        <v>163999.83382683329</v>
      </c>
      <c r="K486" s="5">
        <v>0.10109263812873467</v>
      </c>
      <c r="L486" s="10">
        <v>276234.22090000001</v>
      </c>
    </row>
    <row r="487" spans="1:12" x14ac:dyDescent="0.25">
      <c r="A487">
        <v>486</v>
      </c>
      <c r="B487" s="3">
        <v>0.16740720756670774</v>
      </c>
      <c r="C487" s="3">
        <v>7.9313960656263047E-2</v>
      </c>
      <c r="D487" s="1">
        <v>316554.27105473494</v>
      </c>
      <c r="E487" s="1">
        <v>12328784</v>
      </c>
      <c r="F487" s="1">
        <v>36649826</v>
      </c>
      <c r="G487" s="16">
        <v>15759.853783825181</v>
      </c>
      <c r="H487">
        <v>71.2</v>
      </c>
      <c r="I487" s="1">
        <v>227.8</v>
      </c>
      <c r="J487" s="16">
        <v>332314.12483856012</v>
      </c>
      <c r="K487" s="5">
        <v>7.0296427460941419E-2</v>
      </c>
      <c r="L487" s="10">
        <v>213150.12030000001</v>
      </c>
    </row>
    <row r="488" spans="1:12" x14ac:dyDescent="0.25">
      <c r="A488">
        <v>487</v>
      </c>
      <c r="B488" s="3">
        <v>0.11580291742103077</v>
      </c>
      <c r="C488" s="3">
        <v>3.1658178171611706E-2</v>
      </c>
      <c r="D488" s="1">
        <v>317203.32328628615</v>
      </c>
      <c r="E488" s="1">
        <v>9712793</v>
      </c>
      <c r="F488" s="1">
        <v>27957148</v>
      </c>
      <c r="G488" s="16">
        <v>39575.502859332344</v>
      </c>
      <c r="H488">
        <v>141.18</v>
      </c>
      <c r="I488" s="1">
        <v>425.39</v>
      </c>
      <c r="J488" s="16">
        <v>356778.82614561851</v>
      </c>
      <c r="K488" s="5">
        <v>-4.5550956242176935E-3</v>
      </c>
      <c r="L488" s="10">
        <v>-18792.202600000001</v>
      </c>
    </row>
    <row r="489" spans="1:12" x14ac:dyDescent="0.25">
      <c r="A489">
        <v>488</v>
      </c>
      <c r="B489" s="3">
        <v>0.11308144587365725</v>
      </c>
      <c r="C489" s="3">
        <v>3.9483804863416197E-2</v>
      </c>
      <c r="D489" s="1">
        <v>91939.583008608548</v>
      </c>
      <c r="E489" s="1">
        <v>2466345</v>
      </c>
      <c r="F489" s="1">
        <v>14763696</v>
      </c>
      <c r="G489" s="16">
        <v>103363.1029563421</v>
      </c>
      <c r="H489">
        <v>406.54</v>
      </c>
      <c r="I489" s="1">
        <v>1013.8299999999999</v>
      </c>
      <c r="J489" s="16">
        <v>195302.68596495065</v>
      </c>
      <c r="K489" s="5">
        <v>-2.1852054683420861E-2</v>
      </c>
      <c r="L489" s="10">
        <v>-62744.398200000003</v>
      </c>
    </row>
    <row r="490" spans="1:12" x14ac:dyDescent="0.25">
      <c r="A490">
        <v>489</v>
      </c>
      <c r="B490" s="3">
        <v>0.20286138664849668</v>
      </c>
      <c r="C490" s="3">
        <v>5.1963790610899174E-2</v>
      </c>
      <c r="D490" s="1">
        <v>142639.56290321433</v>
      </c>
      <c r="E490" s="1">
        <v>6611618</v>
      </c>
      <c r="F490" s="1">
        <v>34023799</v>
      </c>
      <c r="G490" s="16">
        <v>17138.532649694287</v>
      </c>
      <c r="H490">
        <v>100.45</v>
      </c>
      <c r="I490" s="1">
        <v>314.39</v>
      </c>
      <c r="J490" s="16">
        <v>159778.09555290861</v>
      </c>
      <c r="K490" s="5">
        <v>0.15861104986468841</v>
      </c>
      <c r="L490" s="10">
        <v>387645.76990000001</v>
      </c>
    </row>
    <row r="491" spans="1:12" x14ac:dyDescent="0.25">
      <c r="A491">
        <v>490</v>
      </c>
      <c r="B491" s="3">
        <v>0.16448514632310407</v>
      </c>
      <c r="C491" s="3">
        <v>5.338266382332453E-2</v>
      </c>
      <c r="D491" s="1">
        <v>199072.31010104323</v>
      </c>
      <c r="E491" s="1">
        <v>7645338</v>
      </c>
      <c r="F491" s="1">
        <v>40693029</v>
      </c>
      <c r="G491" s="16">
        <v>43020.130808841212</v>
      </c>
      <c r="H491">
        <v>227.76</v>
      </c>
      <c r="I491" s="1">
        <v>597.04</v>
      </c>
      <c r="J491" s="16">
        <v>242092.44090988443</v>
      </c>
      <c r="K491" s="5">
        <v>0.11059597438285329</v>
      </c>
      <c r="L491" s="10">
        <v>376946.60820000002</v>
      </c>
    </row>
    <row r="492" spans="1:12" x14ac:dyDescent="0.25">
      <c r="A492">
        <v>491</v>
      </c>
      <c r="B492" s="3">
        <v>0.13488721409872215</v>
      </c>
      <c r="C492" s="3">
        <v>5.6048966027358746E-2</v>
      </c>
      <c r="D492" s="1">
        <v>131502.86560155329</v>
      </c>
      <c r="E492" s="1">
        <v>4393871</v>
      </c>
      <c r="F492" s="1">
        <v>27739889</v>
      </c>
      <c r="G492" s="16">
        <v>38406.173927653086</v>
      </c>
      <c r="H492">
        <v>159.21</v>
      </c>
      <c r="I492" s="1">
        <v>556.38</v>
      </c>
      <c r="J492" s="16">
        <v>169909.03952920638</v>
      </c>
      <c r="K492" s="5">
        <v>3.3679435573903002E-2</v>
      </c>
      <c r="L492" s="10">
        <v>93450.817899999995</v>
      </c>
    </row>
    <row r="493" spans="1:12" x14ac:dyDescent="0.25">
      <c r="A493">
        <v>492</v>
      </c>
      <c r="B493" s="3">
        <v>0.10410889323586171</v>
      </c>
      <c r="C493" s="3">
        <v>6.6271679847657972E-2</v>
      </c>
      <c r="D493" s="1">
        <v>131263.83501018424</v>
      </c>
      <c r="E493" s="1">
        <v>3813527</v>
      </c>
      <c r="F493" s="1">
        <v>24919902</v>
      </c>
      <c r="G493" s="16">
        <v>25581.220979852766</v>
      </c>
      <c r="H493">
        <v>74.55</v>
      </c>
      <c r="I493" s="1">
        <v>256.01</v>
      </c>
      <c r="J493" s="16">
        <v>156845.05599003701</v>
      </c>
      <c r="K493" s="5">
        <v>0.27562251136700222</v>
      </c>
      <c r="L493" s="10">
        <v>487857.24469999998</v>
      </c>
    </row>
    <row r="494" spans="1:12" x14ac:dyDescent="0.25">
      <c r="A494">
        <v>493</v>
      </c>
      <c r="B494" s="3">
        <v>0.20902307536800174</v>
      </c>
      <c r="C494" s="3">
        <v>7.7072724063287718E-2</v>
      </c>
      <c r="D494" s="1">
        <v>107413.92571700912</v>
      </c>
      <c r="E494" s="1">
        <v>5135805</v>
      </c>
      <c r="F494" s="1">
        <v>28463064</v>
      </c>
      <c r="G494" s="16">
        <v>16843.108994914153</v>
      </c>
      <c r="H494">
        <v>130.53</v>
      </c>
      <c r="I494" s="1">
        <v>393.52</v>
      </c>
      <c r="J494" s="16">
        <v>124257.03471192328</v>
      </c>
      <c r="K494" s="5">
        <v>0.2895114654473499</v>
      </c>
      <c r="L494" s="10">
        <v>327508.81650000002</v>
      </c>
    </row>
    <row r="495" spans="1:12" x14ac:dyDescent="0.25">
      <c r="A495">
        <v>494</v>
      </c>
      <c r="B495" s="3">
        <v>0.18197581264946305</v>
      </c>
      <c r="C495" s="3">
        <v>5.9652738416573661E-2</v>
      </c>
      <c r="D495" s="1">
        <v>154379.79660371382</v>
      </c>
      <c r="E495" s="1">
        <v>6452511</v>
      </c>
      <c r="F495" s="1">
        <v>25651860</v>
      </c>
      <c r="G495" s="16">
        <v>17628.170903214079</v>
      </c>
      <c r="H495">
        <v>88.45</v>
      </c>
      <c r="I495" s="1">
        <v>243.49</v>
      </c>
      <c r="J495" s="16">
        <v>172007.9675069279</v>
      </c>
      <c r="K495" s="5">
        <v>0.12071652015818615</v>
      </c>
      <c r="L495" s="10">
        <v>249423.8095</v>
      </c>
    </row>
    <row r="496" spans="1:12" x14ac:dyDescent="0.25">
      <c r="A496">
        <v>495</v>
      </c>
      <c r="B496" s="3">
        <v>0.14756629056967888</v>
      </c>
      <c r="C496" s="3">
        <v>3.4285237441560049E-2</v>
      </c>
      <c r="D496" s="1">
        <v>379187.18070434476</v>
      </c>
      <c r="E496" s="1">
        <v>13440436</v>
      </c>
      <c r="F496" s="1">
        <v>39717323</v>
      </c>
      <c r="G496" s="16">
        <v>41043.027611460275</v>
      </c>
      <c r="H496">
        <v>221.66</v>
      </c>
      <c r="I496" s="1">
        <v>837.74999999999989</v>
      </c>
      <c r="J496" s="16">
        <v>420230.20831580507</v>
      </c>
      <c r="K496" s="5">
        <v>3.4254740044969825E-2</v>
      </c>
      <c r="L496" s="10">
        <v>365860.5589</v>
      </c>
    </row>
    <row r="497" spans="1:12" x14ac:dyDescent="0.25">
      <c r="A497">
        <v>496</v>
      </c>
      <c r="B497" s="3">
        <v>0.19990562083251853</v>
      </c>
      <c r="C497" s="3">
        <v>7.2404692157265263E-2</v>
      </c>
      <c r="D497" s="1">
        <v>363993.80655119393</v>
      </c>
      <c r="E497" s="1">
        <v>20777364</v>
      </c>
      <c r="F497" s="1">
        <v>84718560</v>
      </c>
      <c r="G497" s="16">
        <v>7470.5737169556987</v>
      </c>
      <c r="H497">
        <v>42.87</v>
      </c>
      <c r="I497" s="1">
        <v>203.44</v>
      </c>
      <c r="J497" s="16">
        <v>371464.38026814966</v>
      </c>
      <c r="K497" s="5">
        <v>9.1401109349566606E-2</v>
      </c>
      <c r="L497" s="10">
        <v>364354.86090000003</v>
      </c>
    </row>
    <row r="498" spans="1:12" x14ac:dyDescent="0.25">
      <c r="A498">
        <v>497</v>
      </c>
      <c r="B498" s="3">
        <v>0.1598471578632418</v>
      </c>
      <c r="C498" s="3">
        <v>3.7542929271390017E-2</v>
      </c>
      <c r="D498" s="1">
        <v>199691.29735618786</v>
      </c>
      <c r="E498" s="1">
        <v>7501161</v>
      </c>
      <c r="F498" s="1">
        <v>36039459</v>
      </c>
      <c r="G498" s="16">
        <v>27438.385389003313</v>
      </c>
      <c r="H498">
        <v>139.58000000000001</v>
      </c>
      <c r="I498" s="1">
        <v>418.88</v>
      </c>
      <c r="J498" s="16">
        <v>227129.68274519118</v>
      </c>
      <c r="K498" s="5">
        <v>3.3239878052469772E-3</v>
      </c>
      <c r="L498" s="10">
        <v>24670.039799999999</v>
      </c>
    </row>
    <row r="499" spans="1:12" x14ac:dyDescent="0.25">
      <c r="A499">
        <v>498</v>
      </c>
      <c r="B499" s="3">
        <v>0.16124575169404862</v>
      </c>
      <c r="C499" s="3">
        <v>6.0469067186441072E-2</v>
      </c>
      <c r="D499" s="1">
        <v>129848.42746759082</v>
      </c>
      <c r="E499" s="1">
        <v>4910213</v>
      </c>
      <c r="F499" s="1">
        <v>21820117</v>
      </c>
      <c r="G499" s="16">
        <v>37908.0401701226</v>
      </c>
      <c r="H499">
        <v>195.44</v>
      </c>
      <c r="I499" s="1">
        <v>531.39</v>
      </c>
      <c r="J499" s="16">
        <v>167756.46763771342</v>
      </c>
      <c r="K499" s="5">
        <v>0.14724013523558319</v>
      </c>
      <c r="L499" s="10">
        <v>281553.94760000001</v>
      </c>
    </row>
    <row r="500" spans="1:12" x14ac:dyDescent="0.25">
      <c r="A500">
        <v>499</v>
      </c>
      <c r="B500" s="3">
        <v>0.13841506247848942</v>
      </c>
      <c r="C500" s="3">
        <v>2.2196965990334674E-2</v>
      </c>
      <c r="D500" s="1">
        <v>129689.71724805282</v>
      </c>
      <c r="E500" s="1">
        <v>3795017</v>
      </c>
      <c r="F500" s="1">
        <v>16894770</v>
      </c>
      <c r="G500" s="16">
        <v>30157.449086196317</v>
      </c>
      <c r="H500">
        <v>110.99</v>
      </c>
      <c r="I500" s="1">
        <v>378.93</v>
      </c>
      <c r="J500" s="16">
        <v>159847.16633424914</v>
      </c>
      <c r="K500" s="5">
        <v>0.29006000988341585</v>
      </c>
      <c r="L500" s="10">
        <v>1836643.2250000001</v>
      </c>
    </row>
    <row r="501" spans="1:12" x14ac:dyDescent="0.25">
      <c r="A501">
        <v>500</v>
      </c>
      <c r="B501" s="3">
        <v>0.19040162215522655</v>
      </c>
      <c r="C501" s="3">
        <v>6.0633661202975198E-2</v>
      </c>
      <c r="D501" s="1">
        <v>136059.04940271779</v>
      </c>
      <c r="E501" s="1">
        <v>5927226</v>
      </c>
      <c r="F501" s="1">
        <v>24264743</v>
      </c>
      <c r="G501" s="16">
        <v>25190.852041136786</v>
      </c>
      <c r="H501">
        <v>166.3</v>
      </c>
      <c r="I501" s="1">
        <v>416.45</v>
      </c>
      <c r="J501" s="16">
        <v>161249.90144385459</v>
      </c>
      <c r="K501" s="5">
        <v>0.1211916472717646</v>
      </c>
      <c r="L501" s="10">
        <v>248447.9437</v>
      </c>
    </row>
    <row r="502" spans="1:12" x14ac:dyDescent="0.25">
      <c r="A502">
        <v>501</v>
      </c>
      <c r="B502" s="3">
        <v>0.16135154772760221</v>
      </c>
      <c r="C502" s="3">
        <v>4.1717152964832402E-2</v>
      </c>
      <c r="D502" s="1">
        <v>190951.39955618914</v>
      </c>
      <c r="E502" s="1">
        <v>7224489</v>
      </c>
      <c r="F502" s="1">
        <v>23661586</v>
      </c>
      <c r="G502" s="16">
        <v>28437.89768051789</v>
      </c>
      <c r="H502">
        <v>123.03</v>
      </c>
      <c r="I502" s="1">
        <v>360.65</v>
      </c>
      <c r="J502" s="16">
        <v>219389.29723670703</v>
      </c>
      <c r="K502" s="5">
        <v>0.16312213578124102</v>
      </c>
      <c r="L502" s="10">
        <v>678308.50650000002</v>
      </c>
    </row>
    <row r="503" spans="1:12" x14ac:dyDescent="0.25">
      <c r="A503">
        <v>502</v>
      </c>
      <c r="B503" s="3">
        <v>0.24951906585182615</v>
      </c>
      <c r="C503" s="3">
        <v>7.4587972419478787E-2</v>
      </c>
      <c r="D503" s="1">
        <v>62049.078827128636</v>
      </c>
      <c r="E503" s="1">
        <v>3660830</v>
      </c>
      <c r="F503" s="1">
        <v>22661758</v>
      </c>
      <c r="G503" s="16">
        <v>24032.943526908079</v>
      </c>
      <c r="H503">
        <v>359.86</v>
      </c>
      <c r="I503" s="1">
        <v>1038.52</v>
      </c>
      <c r="J503" s="16">
        <v>86082.022354036715</v>
      </c>
      <c r="K503" s="5">
        <v>9.1534304376654163E-2</v>
      </c>
      <c r="L503" s="10">
        <v>85517.793600000005</v>
      </c>
    </row>
    <row r="504" spans="1:12" x14ac:dyDescent="0.25">
      <c r="A504">
        <v>503</v>
      </c>
      <c r="B504" s="3">
        <v>0.19754512628310295</v>
      </c>
      <c r="C504" s="3">
        <v>2.1741796306439316E-2</v>
      </c>
      <c r="D504" s="1">
        <v>66407.863669886094</v>
      </c>
      <c r="E504" s="1">
        <v>2997366</v>
      </c>
      <c r="F504" s="1">
        <v>25209151</v>
      </c>
      <c r="G504" s="16">
        <v>27060.66990720015</v>
      </c>
      <c r="H504">
        <v>236.72</v>
      </c>
      <c r="I504" s="1">
        <v>865.24</v>
      </c>
      <c r="J504" s="16">
        <v>93468.533577086244</v>
      </c>
      <c r="K504" s="5">
        <v>0.16777583522950015</v>
      </c>
      <c r="L504" s="10">
        <v>673551.39780000004</v>
      </c>
    </row>
    <row r="505" spans="1:12" x14ac:dyDescent="0.25">
      <c r="A505">
        <v>504</v>
      </c>
      <c r="B505" s="3">
        <v>0.16631184618332795</v>
      </c>
      <c r="C505" s="3">
        <v>6.6570259350764077E-2</v>
      </c>
      <c r="D505" s="1">
        <v>384280.79082418833</v>
      </c>
      <c r="E505" s="1">
        <v>17858029</v>
      </c>
      <c r="F505" s="1">
        <v>57805113</v>
      </c>
      <c r="G505" s="16">
        <v>38592.954337709634</v>
      </c>
      <c r="H505">
        <v>207.54</v>
      </c>
      <c r="I505" s="1">
        <v>615.15</v>
      </c>
      <c r="J505" s="16">
        <v>422873.74516189797</v>
      </c>
      <c r="K505" s="5">
        <v>-3.9448045681259418E-3</v>
      </c>
      <c r="L505" s="10">
        <v>15617.009599999999</v>
      </c>
    </row>
    <row r="506" spans="1:12" x14ac:dyDescent="0.25">
      <c r="A506">
        <v>505</v>
      </c>
      <c r="B506" s="3">
        <v>0.19843793900684448</v>
      </c>
      <c r="C506" s="3">
        <v>7.5643102860248335E-2</v>
      </c>
      <c r="D506" s="1">
        <v>297550.25075675838</v>
      </c>
      <c r="E506" s="1">
        <v>16829736</v>
      </c>
      <c r="F506" s="1">
        <v>58047830</v>
      </c>
      <c r="G506" s="16">
        <v>11006.804440759242</v>
      </c>
      <c r="H506">
        <v>62.45</v>
      </c>
      <c r="I506" s="1">
        <v>244.19</v>
      </c>
      <c r="J506" s="16">
        <v>308557.05519751762</v>
      </c>
      <c r="K506" s="5">
        <v>6.3695041600375396E-2</v>
      </c>
      <c r="L506" s="10">
        <v>180633.6937</v>
      </c>
    </row>
    <row r="507" spans="1:12" x14ac:dyDescent="0.25">
      <c r="A507">
        <v>506</v>
      </c>
      <c r="B507" s="3">
        <v>0.12847119444408414</v>
      </c>
      <c r="C507" s="3">
        <v>4.3624703364141842E-2</v>
      </c>
      <c r="D507" s="1">
        <v>134650.38269128388</v>
      </c>
      <c r="E507" s="1">
        <v>4368006</v>
      </c>
      <c r="F507" s="1">
        <v>26082770</v>
      </c>
      <c r="G507" s="16">
        <v>34798.990807337315</v>
      </c>
      <c r="H507">
        <v>119.7</v>
      </c>
      <c r="I507" s="1">
        <v>372.41</v>
      </c>
      <c r="J507" s="16">
        <v>169449.37349862119</v>
      </c>
      <c r="K507" s="5">
        <v>6.2765194482808151E-2</v>
      </c>
      <c r="L507" s="10">
        <v>184836.05189999999</v>
      </c>
    </row>
    <row r="508" spans="1:12" x14ac:dyDescent="0.25">
      <c r="A508">
        <v>507</v>
      </c>
      <c r="B508" s="3">
        <v>0.10465899064370175</v>
      </c>
      <c r="C508" s="3">
        <v>3.9213542834806832E-2</v>
      </c>
      <c r="D508" s="1">
        <v>65558.020851765483</v>
      </c>
      <c r="E508" s="1">
        <v>1530564</v>
      </c>
      <c r="F508" s="1">
        <v>10410211</v>
      </c>
      <c r="G508" s="16">
        <v>38154.077596081246</v>
      </c>
      <c r="H508">
        <v>111.39</v>
      </c>
      <c r="I508" s="1">
        <v>366.88</v>
      </c>
      <c r="J508" s="16">
        <v>103712.09844784673</v>
      </c>
      <c r="K508" s="5">
        <v>4.9994503930440415E-2</v>
      </c>
      <c r="L508" s="10">
        <v>124346.0762</v>
      </c>
    </row>
    <row r="509" spans="1:12" x14ac:dyDescent="0.25">
      <c r="A509">
        <v>508</v>
      </c>
      <c r="B509" s="3">
        <v>0.10837071865857464</v>
      </c>
      <c r="C509" s="3">
        <v>2.1172086034423769E-2</v>
      </c>
      <c r="D509" s="1">
        <v>363954.289727956</v>
      </c>
      <c r="E509" s="1">
        <v>10777352</v>
      </c>
      <c r="F509" s="1">
        <v>36717160</v>
      </c>
      <c r="G509" s="16">
        <v>43610.224099263556</v>
      </c>
      <c r="H509">
        <v>146.65</v>
      </c>
      <c r="I509" s="1">
        <v>400.92</v>
      </c>
      <c r="J509" s="16">
        <v>407564.51382721955</v>
      </c>
      <c r="K509" s="5">
        <v>-2.2486027770144894E-2</v>
      </c>
      <c r="L509" s="10">
        <v>-318750.59450000001</v>
      </c>
    </row>
    <row r="510" spans="1:12" x14ac:dyDescent="0.25">
      <c r="A510">
        <v>509</v>
      </c>
      <c r="B510" s="3">
        <v>0.15395983085968018</v>
      </c>
      <c r="C510" s="3">
        <v>7.6257352349196159E-2</v>
      </c>
      <c r="D510" s="1">
        <v>333646.76909221505</v>
      </c>
      <c r="E510" s="1">
        <v>12187805</v>
      </c>
      <c r="F510" s="1">
        <v>42627076</v>
      </c>
      <c r="G510" s="16">
        <v>17180.300124417732</v>
      </c>
      <c r="H510">
        <v>70.430000000000007</v>
      </c>
      <c r="I510" s="1">
        <v>271.81</v>
      </c>
      <c r="J510" s="16">
        <v>350827.06921663281</v>
      </c>
      <c r="K510" s="5">
        <v>8.5982347982380955E-2</v>
      </c>
      <c r="L510" s="10">
        <v>248329.48879999999</v>
      </c>
    </row>
    <row r="511" spans="1:12" x14ac:dyDescent="0.25">
      <c r="A511">
        <v>510</v>
      </c>
      <c r="B511" s="3">
        <v>0.14782961222496793</v>
      </c>
      <c r="C511" s="3">
        <v>3.4335407833125345E-2</v>
      </c>
      <c r="D511" s="1">
        <v>300845.64605055779</v>
      </c>
      <c r="E511" s="1">
        <v>12528949</v>
      </c>
      <c r="F511" s="1">
        <v>47183830</v>
      </c>
      <c r="G511" s="16">
        <v>30869.870941087673</v>
      </c>
      <c r="H511">
        <v>142.18</v>
      </c>
      <c r="I511" s="1">
        <v>579.44000000000005</v>
      </c>
      <c r="J511" s="16">
        <v>331715.51699164545</v>
      </c>
      <c r="K511" s="5">
        <v>0.16778081242129195</v>
      </c>
      <c r="L511" s="10">
        <v>1288508.3644000001</v>
      </c>
    </row>
    <row r="512" spans="1:12" x14ac:dyDescent="0.25">
      <c r="A512">
        <v>511</v>
      </c>
      <c r="B512" s="3">
        <v>0.22152956989699607</v>
      </c>
      <c r="C512" s="3">
        <v>6.187893263923791E-2</v>
      </c>
      <c r="D512" s="1">
        <v>177748.6094991795</v>
      </c>
      <c r="E512" s="1">
        <v>9058166</v>
      </c>
      <c r="F512" s="1">
        <v>34398950</v>
      </c>
      <c r="G512" s="16">
        <v>19517.81806844825</v>
      </c>
      <c r="H512">
        <v>169.42</v>
      </c>
      <c r="I512" s="1">
        <v>511.09000000000003</v>
      </c>
      <c r="J512" s="16">
        <v>197266.42756762775</v>
      </c>
      <c r="K512" s="5">
        <v>-1.932870308749092E-3</v>
      </c>
      <c r="L512" s="10">
        <v>22899.344499999999</v>
      </c>
    </row>
    <row r="513" spans="1:12" x14ac:dyDescent="0.25">
      <c r="A513">
        <v>512</v>
      </c>
      <c r="B513" s="3">
        <v>0.14952146547582856</v>
      </c>
      <c r="C513" s="3">
        <v>2.4698096750759801E-2</v>
      </c>
      <c r="D513" s="1">
        <v>307758.75228953699</v>
      </c>
      <c r="E513" s="1">
        <v>11009307</v>
      </c>
      <c r="F513" s="1">
        <v>42466276</v>
      </c>
      <c r="G513" s="16">
        <v>67167.650994659431</v>
      </c>
      <c r="H513">
        <v>369.03</v>
      </c>
      <c r="I513" s="1">
        <v>913.79</v>
      </c>
      <c r="J513" s="16">
        <v>374926.40328419639</v>
      </c>
      <c r="K513" s="5">
        <v>0.22068031256387821</v>
      </c>
      <c r="L513" s="10">
        <v>2823954.8588999999</v>
      </c>
    </row>
    <row r="514" spans="1:12" x14ac:dyDescent="0.25">
      <c r="A514">
        <v>513</v>
      </c>
      <c r="B514" s="3">
        <v>0.10170508280399609</v>
      </c>
      <c r="C514" s="3">
        <v>4.5439062418475312E-2</v>
      </c>
      <c r="D514" s="1">
        <v>107538.6613445298</v>
      </c>
      <c r="E514" s="1">
        <v>2776577</v>
      </c>
      <c r="F514" s="1">
        <v>13649509</v>
      </c>
      <c r="G514" s="16">
        <v>131236.63014046152</v>
      </c>
      <c r="H514">
        <v>465.14</v>
      </c>
      <c r="I514" s="1">
        <v>994.74</v>
      </c>
      <c r="J514" s="16">
        <v>238775.29148499132</v>
      </c>
      <c r="K514" s="5">
        <v>0.20983474089649337</v>
      </c>
      <c r="L514" s="10">
        <v>809288.28209999995</v>
      </c>
    </row>
    <row r="515" spans="1:12" x14ac:dyDescent="0.25">
      <c r="A515">
        <v>514</v>
      </c>
      <c r="B515" s="3">
        <v>0.10664900521323756</v>
      </c>
      <c r="C515" s="3">
        <v>2.8626573287728486E-2</v>
      </c>
      <c r="D515" s="1">
        <v>88855.618521020035</v>
      </c>
      <c r="E515" s="1">
        <v>2332497</v>
      </c>
      <c r="F515" s="1">
        <v>18365913</v>
      </c>
      <c r="G515" s="16">
        <v>78227.62434659501</v>
      </c>
      <c r="H515">
        <v>259.10000000000002</v>
      </c>
      <c r="I515" s="1">
        <v>618.25</v>
      </c>
      <c r="J515" s="16">
        <v>167083.24286761504</v>
      </c>
      <c r="K515" s="5">
        <v>0.2210509107409464</v>
      </c>
      <c r="L515" s="10">
        <v>1106239.7689</v>
      </c>
    </row>
    <row r="516" spans="1:12" x14ac:dyDescent="0.25">
      <c r="A516">
        <v>515</v>
      </c>
      <c r="B516" s="3">
        <v>0.17458241150071538</v>
      </c>
      <c r="C516" s="3">
        <v>4.9738158248211012E-2</v>
      </c>
      <c r="D516" s="1">
        <v>461009.42291838705</v>
      </c>
      <c r="E516" s="1">
        <v>22518733</v>
      </c>
      <c r="F516" s="1">
        <v>75119113</v>
      </c>
      <c r="G516" s="16">
        <v>28314.42516562598</v>
      </c>
      <c r="H516">
        <v>162.88</v>
      </c>
      <c r="I516" s="1">
        <v>463.90999999999997</v>
      </c>
      <c r="J516" s="16">
        <v>489323.84808401304</v>
      </c>
      <c r="K516" s="5">
        <v>0.14235437333876447</v>
      </c>
      <c r="L516" s="10">
        <v>989834.66890000005</v>
      </c>
    </row>
    <row r="517" spans="1:12" x14ac:dyDescent="0.25">
      <c r="A517">
        <v>516</v>
      </c>
      <c r="B517" s="3">
        <v>0.23905856466678602</v>
      </c>
      <c r="C517" s="3">
        <v>3.8790896244345438E-2</v>
      </c>
      <c r="D517" s="1">
        <v>75972.946644710188</v>
      </c>
      <c r="E517" s="1">
        <v>4240891</v>
      </c>
      <c r="F517" s="1">
        <v>23431144</v>
      </c>
      <c r="G517" s="16">
        <v>8782.2866143518659</v>
      </c>
      <c r="H517">
        <v>68.13</v>
      </c>
      <c r="I517" s="1">
        <v>329.86</v>
      </c>
      <c r="J517" s="16">
        <v>84755.23325906205</v>
      </c>
      <c r="K517" s="5">
        <v>0.11713021958191479</v>
      </c>
      <c r="L517" s="10">
        <v>207486.62539999999</v>
      </c>
    </row>
    <row r="518" spans="1:12" x14ac:dyDescent="0.25">
      <c r="A518">
        <v>517</v>
      </c>
      <c r="B518" s="3">
        <v>0.10800220326647758</v>
      </c>
      <c r="C518" s="3">
        <v>7.1649892463260451E-2</v>
      </c>
      <c r="D518" s="1">
        <v>216902.07774124696</v>
      </c>
      <c r="E518" s="1">
        <v>6412252</v>
      </c>
      <c r="F518" s="1">
        <v>30846406</v>
      </c>
      <c r="G518" s="16">
        <v>32735.460387783758</v>
      </c>
      <c r="H518">
        <v>97.94</v>
      </c>
      <c r="I518" s="1">
        <v>293.06</v>
      </c>
      <c r="J518" s="16">
        <v>249637.53812903073</v>
      </c>
      <c r="K518" s="5">
        <v>0.15565853900403626</v>
      </c>
      <c r="L518" s="10">
        <v>387975.31160000002</v>
      </c>
    </row>
    <row r="519" spans="1:12" x14ac:dyDescent="0.25">
      <c r="A519">
        <v>518</v>
      </c>
      <c r="B519" s="3">
        <v>0.22541977110766506</v>
      </c>
      <c r="C519" s="3">
        <v>3.2483191622981418E-2</v>
      </c>
      <c r="D519" s="1">
        <v>114196.65719229751</v>
      </c>
      <c r="E519" s="1">
        <v>4598926</v>
      </c>
      <c r="F519" s="1">
        <v>16606680</v>
      </c>
      <c r="G519" s="16">
        <v>21810.830598898679</v>
      </c>
      <c r="H519">
        <v>196.13</v>
      </c>
      <c r="I519" s="1">
        <v>662.53</v>
      </c>
      <c r="J519" s="16">
        <v>136007.48779119618</v>
      </c>
      <c r="K519" s="5">
        <v>-3.6799049111848767E-2</v>
      </c>
      <c r="L519" s="10">
        <v>-112153.8383</v>
      </c>
    </row>
    <row r="520" spans="1:12" x14ac:dyDescent="0.25">
      <c r="A520">
        <v>519</v>
      </c>
      <c r="B520" s="3">
        <v>0.13779025041002019</v>
      </c>
      <c r="C520" s="3">
        <v>3.733201796207327E-2</v>
      </c>
      <c r="D520" s="1">
        <v>126371.54737830293</v>
      </c>
      <c r="E520" s="1">
        <v>3689894</v>
      </c>
      <c r="F520" s="1">
        <v>14127353</v>
      </c>
      <c r="G520" s="16">
        <v>40247.154640778113</v>
      </c>
      <c r="H520">
        <v>170.87</v>
      </c>
      <c r="I520" s="1">
        <v>470.55</v>
      </c>
      <c r="J520" s="16">
        <v>166618.70201908104</v>
      </c>
      <c r="K520" s="5">
        <v>-2.6369025130185918E-2</v>
      </c>
      <c r="L520" s="10">
        <v>-73011.465800000005</v>
      </c>
    </row>
    <row r="521" spans="1:12" x14ac:dyDescent="0.25">
      <c r="A521">
        <v>520</v>
      </c>
      <c r="B521" s="3">
        <v>0.13672719310090023</v>
      </c>
      <c r="C521" s="3">
        <v>4.8522549742491275E-2</v>
      </c>
      <c r="D521" s="1">
        <v>136490.69665650791</v>
      </c>
      <c r="E521" s="1">
        <v>4599533</v>
      </c>
      <c r="F521" s="1">
        <v>23962449</v>
      </c>
      <c r="G521" s="16">
        <v>25389.707908995748</v>
      </c>
      <c r="H521">
        <v>92.29</v>
      </c>
      <c r="I521" s="1">
        <v>302.02000000000004</v>
      </c>
      <c r="J521" s="16">
        <v>161880.40456550365</v>
      </c>
      <c r="K521" s="5">
        <v>0.17686301164924939</v>
      </c>
      <c r="L521" s="10">
        <v>494085.00929999998</v>
      </c>
    </row>
    <row r="522" spans="1:12" x14ac:dyDescent="0.25">
      <c r="A522">
        <v>521</v>
      </c>
      <c r="B522" s="3">
        <v>0.2011524576277412</v>
      </c>
      <c r="C522" s="3">
        <v>6.362013819052488E-2</v>
      </c>
      <c r="D522" s="1">
        <v>196682.68896949221</v>
      </c>
      <c r="E522" s="1">
        <v>11314866</v>
      </c>
      <c r="F522" s="1">
        <v>46818839</v>
      </c>
      <c r="G522" s="16">
        <v>31935.508776626913</v>
      </c>
      <c r="H522">
        <v>231.25</v>
      </c>
      <c r="I522" s="1">
        <v>599.25</v>
      </c>
      <c r="J522" s="16">
        <v>228618.19774611911</v>
      </c>
      <c r="K522" s="5">
        <v>8.8647198607783945E-2</v>
      </c>
      <c r="L522" s="10">
        <v>245611.93969999999</v>
      </c>
    </row>
    <row r="523" spans="1:12" x14ac:dyDescent="0.25">
      <c r="A523">
        <v>522</v>
      </c>
      <c r="B523" s="3">
        <v>0.10722636227884551</v>
      </c>
      <c r="C523" s="3">
        <v>7.4767204760818301E-2</v>
      </c>
      <c r="D523" s="1">
        <v>136924.69701578023</v>
      </c>
      <c r="E523" s="1">
        <v>4033843</v>
      </c>
      <c r="F523" s="1">
        <v>21706611</v>
      </c>
      <c r="G523" s="16">
        <v>92881.883610241406</v>
      </c>
      <c r="H523">
        <v>346.13</v>
      </c>
      <c r="I523" s="1">
        <v>872.48</v>
      </c>
      <c r="J523" s="16">
        <v>229806.58062602163</v>
      </c>
      <c r="K523" s="5">
        <v>0.18017781742123556</v>
      </c>
      <c r="L523" s="10">
        <v>367902.4558</v>
      </c>
    </row>
    <row r="524" spans="1:12" x14ac:dyDescent="0.25">
      <c r="A524">
        <v>523</v>
      </c>
      <c r="B524" s="3">
        <v>0.18250250108834304</v>
      </c>
      <c r="C524" s="3">
        <v>3.6392590466502672E-2</v>
      </c>
      <c r="D524" s="1">
        <v>130482.1129940853</v>
      </c>
      <c r="E524" s="1">
        <v>4469865</v>
      </c>
      <c r="F524" s="1">
        <v>21290615</v>
      </c>
      <c r="G524" s="16">
        <v>15007.072737590075</v>
      </c>
      <c r="H524">
        <v>75.63</v>
      </c>
      <c r="I524" s="1">
        <v>269.35000000000002</v>
      </c>
      <c r="J524" s="16">
        <v>145489.18573167536</v>
      </c>
      <c r="K524" s="5">
        <v>8.8447049894185142E-3</v>
      </c>
      <c r="L524" s="10">
        <v>47966.015599999999</v>
      </c>
    </row>
    <row r="525" spans="1:12" x14ac:dyDescent="0.25">
      <c r="A525">
        <v>524</v>
      </c>
      <c r="B525" s="3">
        <v>0.17093865693314553</v>
      </c>
      <c r="C525" s="3">
        <v>4.7629976887697684E-2</v>
      </c>
      <c r="D525" s="1">
        <v>44716.382305734398</v>
      </c>
      <c r="E525" s="1">
        <v>1217579</v>
      </c>
      <c r="F525" s="1">
        <v>9248198</v>
      </c>
      <c r="G525" s="16">
        <v>37093.228347976918</v>
      </c>
      <c r="H525">
        <v>207.25</v>
      </c>
      <c r="I525" s="1">
        <v>626.74</v>
      </c>
      <c r="J525" s="16">
        <v>81809.610653711308</v>
      </c>
      <c r="K525" s="5">
        <v>4.5811505574546572E-2</v>
      </c>
      <c r="L525" s="10">
        <v>73123.868100000007</v>
      </c>
    </row>
    <row r="526" spans="1:12" x14ac:dyDescent="0.25">
      <c r="A526">
        <v>525</v>
      </c>
      <c r="B526" s="3">
        <v>0.24638290244275704</v>
      </c>
      <c r="C526" s="3">
        <v>5.8221438023013231E-2</v>
      </c>
      <c r="D526" s="1">
        <v>97768.800613781292</v>
      </c>
      <c r="E526" s="1">
        <v>4275141</v>
      </c>
      <c r="F526" s="1">
        <v>19303560</v>
      </c>
      <c r="G526" s="16">
        <v>16073.377996635834</v>
      </c>
      <c r="H526">
        <v>175.14</v>
      </c>
      <c r="I526" s="1">
        <v>511.51</v>
      </c>
      <c r="J526" s="16">
        <v>113842.17861041712</v>
      </c>
      <c r="K526" s="5">
        <v>0.2399410068411541</v>
      </c>
      <c r="L526" s="10">
        <v>342484.7672</v>
      </c>
    </row>
    <row r="527" spans="1:12" x14ac:dyDescent="0.25">
      <c r="A527">
        <v>526</v>
      </c>
      <c r="B527" s="3">
        <v>0.1511646426283835</v>
      </c>
      <c r="C527" s="3">
        <v>2.5826821775562264E-2</v>
      </c>
      <c r="D527" s="1">
        <v>96790.801841752735</v>
      </c>
      <c r="E527" s="1">
        <v>2961872</v>
      </c>
      <c r="F527" s="1">
        <v>14144139</v>
      </c>
      <c r="G527" s="16">
        <v>31772.639150816369</v>
      </c>
      <c r="H527">
        <v>150.65</v>
      </c>
      <c r="I527" s="1">
        <v>410.83000000000004</v>
      </c>
      <c r="J527" s="16">
        <v>128563.4409925691</v>
      </c>
      <c r="K527" s="5">
        <v>0.15139270874939331</v>
      </c>
      <c r="L527" s="10">
        <v>638332.49439999997</v>
      </c>
    </row>
    <row r="528" spans="1:12" x14ac:dyDescent="0.25">
      <c r="A528">
        <v>527</v>
      </c>
      <c r="B528" s="3">
        <v>0.24701420380937497</v>
      </c>
      <c r="C528" s="3">
        <v>4.449939101738936E-2</v>
      </c>
      <c r="D528" s="1">
        <v>64177.535390046403</v>
      </c>
      <c r="E528" s="1">
        <v>2813359</v>
      </c>
      <c r="F528" s="1">
        <v>14961842</v>
      </c>
      <c r="G528" s="16">
        <v>17577.722785323611</v>
      </c>
      <c r="H528">
        <v>192.47</v>
      </c>
      <c r="I528" s="1">
        <v>620.48</v>
      </c>
      <c r="J528" s="16">
        <v>81755.258175370021</v>
      </c>
      <c r="K528" s="5">
        <v>9.4989982262270872E-2</v>
      </c>
      <c r="L528" s="10">
        <v>150694.34770000001</v>
      </c>
    </row>
    <row r="529" spans="1:12" x14ac:dyDescent="0.25">
      <c r="A529">
        <v>528</v>
      </c>
      <c r="B529" s="3">
        <v>0.11776797468775699</v>
      </c>
      <c r="C529" s="3">
        <v>7.0008663985405256E-2</v>
      </c>
      <c r="D529" s="1">
        <v>397792.68402247597</v>
      </c>
      <c r="E529" s="1">
        <v>13929817</v>
      </c>
      <c r="F529" s="1">
        <v>50134128</v>
      </c>
      <c r="G529" s="16">
        <v>24176.227113727353</v>
      </c>
      <c r="H529">
        <v>76.87</v>
      </c>
      <c r="I529" s="1">
        <v>223.74</v>
      </c>
      <c r="J529" s="16">
        <v>421968.91113620333</v>
      </c>
      <c r="K529" s="5">
        <v>0.13172344958866064</v>
      </c>
      <c r="L529" s="10">
        <v>506780.28450000001</v>
      </c>
    </row>
    <row r="530" spans="1:12" x14ac:dyDescent="0.25">
      <c r="A530">
        <v>529</v>
      </c>
      <c r="B530" s="3">
        <v>0.22583526931964504</v>
      </c>
      <c r="C530" s="3">
        <v>2.8690276677937922E-2</v>
      </c>
      <c r="D530" s="1">
        <v>261818.11226039141</v>
      </c>
      <c r="E530" s="1">
        <v>17621189</v>
      </c>
      <c r="F530" s="1">
        <v>54423845</v>
      </c>
      <c r="G530" s="16">
        <v>20183.370915312491</v>
      </c>
      <c r="H530">
        <v>182.45</v>
      </c>
      <c r="I530" s="1">
        <v>466.5</v>
      </c>
      <c r="J530" s="16">
        <v>282001.48317570391</v>
      </c>
      <c r="K530" s="5">
        <v>0.10086581783352848</v>
      </c>
      <c r="L530" s="10">
        <v>875605.80180000002</v>
      </c>
    </row>
    <row r="531" spans="1:12" x14ac:dyDescent="0.25">
      <c r="A531">
        <v>530</v>
      </c>
      <c r="B531" s="3">
        <v>0.10517564109775526</v>
      </c>
      <c r="C531" s="3">
        <v>4.9391257509392501E-2</v>
      </c>
      <c r="D531" s="1">
        <v>171042.02384288877</v>
      </c>
      <c r="E531" s="1">
        <v>4992917</v>
      </c>
      <c r="F531" s="1">
        <v>28729119</v>
      </c>
      <c r="G531" s="16">
        <v>69784.148736485105</v>
      </c>
      <c r="H531">
        <v>228.48</v>
      </c>
      <c r="I531" s="1">
        <v>753.88000000000011</v>
      </c>
      <c r="J531" s="16">
        <v>240826.17257937387</v>
      </c>
      <c r="K531" s="5">
        <v>0.18634507582890597</v>
      </c>
      <c r="L531" s="10">
        <v>717862.64009999996</v>
      </c>
    </row>
    <row r="532" spans="1:12" x14ac:dyDescent="0.25">
      <c r="A532">
        <v>531</v>
      </c>
      <c r="B532" s="3">
        <v>0.12626476826147381</v>
      </c>
      <c r="C532" s="3">
        <v>2.0299022349892611E-2</v>
      </c>
      <c r="D532" s="1">
        <v>563890.75840721489</v>
      </c>
      <c r="E532" s="1">
        <v>20725202</v>
      </c>
      <c r="F532" s="1">
        <v>66122097</v>
      </c>
      <c r="G532" s="16">
        <v>60084.591712114867</v>
      </c>
      <c r="H532">
        <v>232.45</v>
      </c>
      <c r="I532" s="1">
        <v>571.19000000000005</v>
      </c>
      <c r="J532" s="16">
        <v>623975.35011932976</v>
      </c>
      <c r="K532" s="5">
        <v>6.868418617676128E-2</v>
      </c>
      <c r="L532" s="10">
        <v>1828799.9228000001</v>
      </c>
    </row>
    <row r="533" spans="1:12" x14ac:dyDescent="0.25">
      <c r="A533">
        <v>532</v>
      </c>
      <c r="B533" s="3">
        <v>0.13091065062356974</v>
      </c>
      <c r="C533" s="3">
        <v>3.8744434646365344E-2</v>
      </c>
      <c r="D533" s="1">
        <v>95102.830563786367</v>
      </c>
      <c r="E533" s="1">
        <v>2711462</v>
      </c>
      <c r="F533" s="1">
        <v>14491119</v>
      </c>
      <c r="G533" s="16">
        <v>68665.738881231082</v>
      </c>
      <c r="H533">
        <v>276</v>
      </c>
      <c r="I533" s="1">
        <v>763.38</v>
      </c>
      <c r="J533" s="16">
        <v>163768.56944501743</v>
      </c>
      <c r="K533" s="5">
        <v>5.4936291086369438E-2</v>
      </c>
      <c r="L533" s="10">
        <v>209434.17540000001</v>
      </c>
    </row>
    <row r="534" spans="1:12" x14ac:dyDescent="0.25">
      <c r="A534">
        <v>533</v>
      </c>
      <c r="B534" s="3">
        <v>0.21748899766939639</v>
      </c>
      <c r="C534" s="3">
        <v>3.7040141527277061E-2</v>
      </c>
      <c r="D534" s="1">
        <v>116094.64153300883</v>
      </c>
      <c r="E534" s="1">
        <v>5794995</v>
      </c>
      <c r="F534" s="1">
        <v>23136558</v>
      </c>
      <c r="G534" s="16">
        <v>11475.985609527766</v>
      </c>
      <c r="H534">
        <v>96.06</v>
      </c>
      <c r="I534" s="1">
        <v>409.61</v>
      </c>
      <c r="J534" s="16">
        <v>127570.6271425366</v>
      </c>
      <c r="K534" s="5">
        <v>0.13959676767072121</v>
      </c>
      <c r="L534" s="10">
        <v>405830.67300000001</v>
      </c>
    </row>
    <row r="535" spans="1:12" x14ac:dyDescent="0.25">
      <c r="A535">
        <v>534</v>
      </c>
      <c r="B535" s="3">
        <v>0.19111128295969287</v>
      </c>
      <c r="C535" s="3">
        <v>3.3743611928680292E-2</v>
      </c>
      <c r="D535" s="1">
        <v>235478.90298576633</v>
      </c>
      <c r="E535" s="1">
        <v>10294358</v>
      </c>
      <c r="F535" s="1">
        <v>33485027</v>
      </c>
      <c r="G535" s="16">
        <v>25861.317144602803</v>
      </c>
      <c r="H535">
        <v>171.52</v>
      </c>
      <c r="I535" s="1">
        <v>455.04000000000008</v>
      </c>
      <c r="J535" s="16">
        <v>261340.22013036913</v>
      </c>
      <c r="K535" s="5">
        <v>0.19709732584998693</v>
      </c>
      <c r="L535" s="10">
        <v>1247603.2217000001</v>
      </c>
    </row>
    <row r="536" spans="1:12" x14ac:dyDescent="0.25">
      <c r="A536">
        <v>535</v>
      </c>
      <c r="B536" s="3">
        <v>0.24054635387501908</v>
      </c>
      <c r="C536" s="3">
        <v>7.6815542385875082E-2</v>
      </c>
      <c r="D536" s="1">
        <v>138511.85254969526</v>
      </c>
      <c r="E536" s="1">
        <v>7792640</v>
      </c>
      <c r="F536" s="1">
        <v>36891647</v>
      </c>
      <c r="G536" s="16">
        <v>19810.078610348039</v>
      </c>
      <c r="H536">
        <v>204.87</v>
      </c>
      <c r="I536" s="1">
        <v>577.39</v>
      </c>
      <c r="J536" s="16">
        <v>158321.93116004331</v>
      </c>
      <c r="K536" s="5">
        <v>0.19770761099924114</v>
      </c>
      <c r="L536" s="10">
        <v>269058.1911</v>
      </c>
    </row>
    <row r="537" spans="1:12" x14ac:dyDescent="0.25">
      <c r="A537">
        <v>536</v>
      </c>
      <c r="B537" s="3">
        <v>0.18161052430338137</v>
      </c>
      <c r="C537" s="3">
        <v>4.443302967645954E-2</v>
      </c>
      <c r="D537" s="1">
        <v>152266.89346590071</v>
      </c>
      <c r="E537" s="1">
        <v>5199094</v>
      </c>
      <c r="F537" s="1">
        <v>19669500</v>
      </c>
      <c r="G537" s="16">
        <v>24454.848802759505</v>
      </c>
      <c r="H537">
        <v>122.48</v>
      </c>
      <c r="I537" s="1">
        <v>299.95</v>
      </c>
      <c r="J537" s="16">
        <v>176721.74226866022</v>
      </c>
      <c r="K537" s="5">
        <v>0.14394488758203688</v>
      </c>
      <c r="L537" s="10">
        <v>444579.76419999998</v>
      </c>
    </row>
    <row r="538" spans="1:12" x14ac:dyDescent="0.25">
      <c r="A538">
        <v>537</v>
      </c>
      <c r="B538" s="3">
        <v>0.15685896467979249</v>
      </c>
      <c r="C538" s="3">
        <v>3.6780006284717948E-2</v>
      </c>
      <c r="D538" s="1">
        <v>247785.13521405956</v>
      </c>
      <c r="E538" s="1">
        <v>9176505</v>
      </c>
      <c r="F538" s="1">
        <v>37114354</v>
      </c>
      <c r="G538" s="16">
        <v>51297.220867615622</v>
      </c>
      <c r="H538">
        <v>302.14</v>
      </c>
      <c r="I538" s="1">
        <v>864.6</v>
      </c>
      <c r="J538" s="16">
        <v>299082.35608167516</v>
      </c>
      <c r="K538" s="5">
        <v>0.26621534087525267</v>
      </c>
      <c r="L538" s="10">
        <v>1738442.4704</v>
      </c>
    </row>
    <row r="539" spans="1:12" x14ac:dyDescent="0.25">
      <c r="A539">
        <v>538</v>
      </c>
      <c r="B539" s="3">
        <v>0.13307651356578465</v>
      </c>
      <c r="C539" s="3">
        <v>4.940378666568903E-2</v>
      </c>
      <c r="D539" s="1">
        <v>170243.2688317211</v>
      </c>
      <c r="E539" s="1">
        <v>5640914</v>
      </c>
      <c r="F539" s="1">
        <v>30402526</v>
      </c>
      <c r="G539" s="16">
        <v>44889.363145775089</v>
      </c>
      <c r="H539">
        <v>183.73</v>
      </c>
      <c r="I539" s="1">
        <v>618.19000000000005</v>
      </c>
      <c r="J539" s="16">
        <v>215132.6319774962</v>
      </c>
      <c r="K539" s="5">
        <v>1.6925148710495053E-2</v>
      </c>
      <c r="L539" s="10">
        <v>109014.4853</v>
      </c>
    </row>
    <row r="540" spans="1:12" x14ac:dyDescent="0.25">
      <c r="A540">
        <v>539</v>
      </c>
      <c r="B540" s="3">
        <v>0.21743650582108645</v>
      </c>
      <c r="C540" s="3">
        <v>3.9926319207950402E-2</v>
      </c>
      <c r="D540" s="1">
        <v>182901.34539084593</v>
      </c>
      <c r="E540" s="1">
        <v>9127280</v>
      </c>
      <c r="F540" s="1">
        <v>35561176</v>
      </c>
      <c r="G540" s="16">
        <v>19663.902723513282</v>
      </c>
      <c r="H540">
        <v>164.55</v>
      </c>
      <c r="I540" s="1">
        <v>434.09000000000003</v>
      </c>
      <c r="J540" s="16">
        <v>202565.24811435922</v>
      </c>
      <c r="K540" s="5">
        <v>0.16215627523895398</v>
      </c>
      <c r="L540" s="10">
        <v>676663.56400000001</v>
      </c>
    </row>
    <row r="541" spans="1:12" x14ac:dyDescent="0.25">
      <c r="A541">
        <v>540</v>
      </c>
      <c r="B541" s="3">
        <v>0.16585719099489055</v>
      </c>
      <c r="C541" s="3">
        <v>7.8303196763661903E-2</v>
      </c>
      <c r="D541" s="1">
        <v>435940.02667017735</v>
      </c>
      <c r="E541" s="1">
        <v>20203550</v>
      </c>
      <c r="F541" s="1">
        <v>60363847</v>
      </c>
      <c r="G541" s="16">
        <v>28932.792796830614</v>
      </c>
      <c r="H541">
        <v>155.01</v>
      </c>
      <c r="I541" s="1">
        <v>460.86</v>
      </c>
      <c r="J541" s="16">
        <v>464872.81946700794</v>
      </c>
      <c r="K541" s="5">
        <v>0.12146919793366584</v>
      </c>
      <c r="L541" s="10">
        <v>420133.1985</v>
      </c>
    </row>
    <row r="542" spans="1:12" x14ac:dyDescent="0.25">
      <c r="A542">
        <v>541</v>
      </c>
      <c r="B542" s="3">
        <v>0.15519979987348059</v>
      </c>
      <c r="C542" s="3">
        <v>5.0513988674829119E-2</v>
      </c>
      <c r="D542" s="1">
        <v>109763.32139711714</v>
      </c>
      <c r="E542" s="1">
        <v>4033148</v>
      </c>
      <c r="F542" s="1">
        <v>24611656</v>
      </c>
      <c r="G542" s="16">
        <v>37657.486928164406</v>
      </c>
      <c r="H542">
        <v>184.52</v>
      </c>
      <c r="I542" s="1">
        <v>541.12</v>
      </c>
      <c r="J542" s="16">
        <v>147420.80832528154</v>
      </c>
      <c r="K542" s="5">
        <v>0.13968925636321797</v>
      </c>
      <c r="L542" s="10">
        <v>348420.29389999999</v>
      </c>
    </row>
    <row r="543" spans="1:12" x14ac:dyDescent="0.25">
      <c r="A543">
        <v>542</v>
      </c>
      <c r="B543" s="3">
        <v>0.14516786489915856</v>
      </c>
      <c r="C543" s="3">
        <v>7.4566905518491156E-2</v>
      </c>
      <c r="D543" s="1">
        <v>136315.9502733007</v>
      </c>
      <c r="E543" s="1">
        <v>4777783</v>
      </c>
      <c r="F543" s="1">
        <v>22564130</v>
      </c>
      <c r="G543" s="16">
        <v>15662.286912511818</v>
      </c>
      <c r="H543">
        <v>60.35</v>
      </c>
      <c r="I543" s="1">
        <v>248.23999999999998</v>
      </c>
      <c r="J543" s="16">
        <v>151978.23718581253</v>
      </c>
      <c r="K543" s="5">
        <v>0.20093012102580221</v>
      </c>
      <c r="L543" s="10">
        <v>306856.25689999998</v>
      </c>
    </row>
    <row r="544" spans="1:12" x14ac:dyDescent="0.25">
      <c r="A544">
        <v>543</v>
      </c>
      <c r="B544" s="3">
        <v>0.18501177797070401</v>
      </c>
      <c r="C544" s="3">
        <v>5.8050583613961898E-2</v>
      </c>
      <c r="D544" s="1">
        <v>85683.583154734108</v>
      </c>
      <c r="E544" s="1">
        <v>2962421</v>
      </c>
      <c r="F544" s="1">
        <v>21425290</v>
      </c>
      <c r="G544" s="16">
        <v>20951.11891124941</v>
      </c>
      <c r="H544">
        <v>131.85</v>
      </c>
      <c r="I544" s="1">
        <v>392.34000000000003</v>
      </c>
      <c r="J544" s="16">
        <v>106634.70206598353</v>
      </c>
      <c r="K544" s="5">
        <v>-3.2094585406666584E-2</v>
      </c>
      <c r="L544" s="10">
        <v>-12049.6669</v>
      </c>
    </row>
    <row r="545" spans="1:12" x14ac:dyDescent="0.25">
      <c r="A545">
        <v>544</v>
      </c>
      <c r="B545" s="3">
        <v>0.24010927563013063</v>
      </c>
      <c r="C545" s="3">
        <v>2.5606958490902727E-2</v>
      </c>
      <c r="D545" s="1">
        <v>127160.24471460172</v>
      </c>
      <c r="E545" s="1">
        <v>7137557</v>
      </c>
      <c r="F545" s="1">
        <v>28911372</v>
      </c>
      <c r="G545" s="16">
        <v>24499.037628625694</v>
      </c>
      <c r="H545">
        <v>251.99</v>
      </c>
      <c r="I545" s="1">
        <v>688.61</v>
      </c>
      <c r="J545" s="16">
        <v>151659.28234322742</v>
      </c>
      <c r="K545" s="5">
        <v>-1.7162206257618565E-3</v>
      </c>
      <c r="L545" s="10">
        <v>33522.733699999997</v>
      </c>
    </row>
    <row r="546" spans="1:12" x14ac:dyDescent="0.25">
      <c r="A546">
        <v>545</v>
      </c>
      <c r="B546" s="3">
        <v>0.15382774619149969</v>
      </c>
      <c r="C546" s="3">
        <v>4.1027081227307804E-2</v>
      </c>
      <c r="D546" s="1">
        <v>222287.93505978462</v>
      </c>
      <c r="E546" s="1">
        <v>8114909</v>
      </c>
      <c r="F546" s="1">
        <v>41027138</v>
      </c>
      <c r="G546" s="16">
        <v>36430.374666749973</v>
      </c>
      <c r="H546">
        <v>176.52</v>
      </c>
      <c r="I546" s="1">
        <v>504.85</v>
      </c>
      <c r="J546" s="16">
        <v>258718.30972653459</v>
      </c>
      <c r="K546" s="5">
        <v>0.16538734686132153</v>
      </c>
      <c r="L546" s="10">
        <v>817122.84420000005</v>
      </c>
    </row>
    <row r="547" spans="1:12" x14ac:dyDescent="0.25">
      <c r="A547">
        <v>546</v>
      </c>
      <c r="B547" s="3">
        <v>0.1660479825261314</v>
      </c>
      <c r="C547" s="3">
        <v>4.1383305132040887E-2</v>
      </c>
      <c r="D547" s="1">
        <v>135060.1651660814</v>
      </c>
      <c r="E547" s="1">
        <v>5225955</v>
      </c>
      <c r="F547" s="1">
        <v>25725059</v>
      </c>
      <c r="G547" s="16">
        <v>31754.025273024392</v>
      </c>
      <c r="H547">
        <v>170.35</v>
      </c>
      <c r="I547" s="1">
        <v>624.23</v>
      </c>
      <c r="J547" s="16">
        <v>166814.19043910579</v>
      </c>
      <c r="K547" s="5">
        <v>0.18396283687105267</v>
      </c>
      <c r="L547" s="10">
        <v>597449.74569999997</v>
      </c>
    </row>
    <row r="548" spans="1:12" x14ac:dyDescent="0.25">
      <c r="A548">
        <v>547</v>
      </c>
      <c r="B548" s="3">
        <v>0.20275011814780558</v>
      </c>
      <c r="C548" s="3">
        <v>7.8236855710008477E-2</v>
      </c>
      <c r="D548" s="1">
        <v>141168.65617432879</v>
      </c>
      <c r="E548" s="1">
        <v>6539790</v>
      </c>
      <c r="F548" s="1">
        <v>25864122</v>
      </c>
      <c r="G548" s="16">
        <v>8151.8226896908109</v>
      </c>
      <c r="H548">
        <v>38.06</v>
      </c>
      <c r="I548" s="1">
        <v>130.99</v>
      </c>
      <c r="J548" s="16">
        <v>149320.47886401959</v>
      </c>
      <c r="K548" s="5">
        <v>0.1671944032395461</v>
      </c>
      <c r="L548" s="10">
        <v>223421.63699999999</v>
      </c>
    </row>
    <row r="549" spans="1:12" x14ac:dyDescent="0.25">
      <c r="A549">
        <v>548</v>
      </c>
      <c r="B549" s="3">
        <v>0.1051467802637379</v>
      </c>
      <c r="C549" s="3">
        <v>6.1440316216243893E-2</v>
      </c>
      <c r="D549" s="1">
        <v>191812.25849553331</v>
      </c>
      <c r="E549" s="1">
        <v>5598504</v>
      </c>
      <c r="F549" s="1">
        <v>28524120</v>
      </c>
      <c r="G549" s="16">
        <v>101345.32779504398</v>
      </c>
      <c r="H549">
        <v>370.75</v>
      </c>
      <c r="I549" s="1">
        <v>949.41</v>
      </c>
      <c r="J549" s="16">
        <v>293157.58629057731</v>
      </c>
      <c r="K549" s="5">
        <v>8.2663723667609108E-3</v>
      </c>
      <c r="L549" s="10">
        <v>57621.253599999996</v>
      </c>
    </row>
    <row r="550" spans="1:12" x14ac:dyDescent="0.25">
      <c r="A550">
        <v>549</v>
      </c>
      <c r="B550" s="3">
        <v>0.24041170896426092</v>
      </c>
      <c r="C550" s="3">
        <v>7.3146232949426196E-2</v>
      </c>
      <c r="D550" s="1">
        <v>77014.938839547554</v>
      </c>
      <c r="E550" s="1">
        <v>4329767</v>
      </c>
      <c r="F550" s="1">
        <v>23543515</v>
      </c>
      <c r="G550" s="16">
        <v>8178.5075267512429</v>
      </c>
      <c r="H550">
        <v>64.06</v>
      </c>
      <c r="I550" s="1">
        <v>240.12</v>
      </c>
      <c r="J550" s="16">
        <v>85193.446366298798</v>
      </c>
      <c r="K550" s="5">
        <v>6.7098474340647973E-2</v>
      </c>
      <c r="L550" s="10">
        <v>51698.048000000003</v>
      </c>
    </row>
    <row r="551" spans="1:12" x14ac:dyDescent="0.25">
      <c r="A551">
        <v>550</v>
      </c>
      <c r="B551" s="3">
        <v>0.19888988547368586</v>
      </c>
      <c r="C551" s="3">
        <v>4.2612662197894599E-2</v>
      </c>
      <c r="D551" s="1">
        <v>81964.792058954248</v>
      </c>
      <c r="E551" s="1">
        <v>2983689</v>
      </c>
      <c r="F551" s="1">
        <v>16200327</v>
      </c>
      <c r="G551" s="16">
        <v>16995.239525885278</v>
      </c>
      <c r="H551">
        <v>96.76</v>
      </c>
      <c r="I551" s="1">
        <v>336.95</v>
      </c>
      <c r="J551" s="16">
        <v>98960.031584839526</v>
      </c>
      <c r="K551" s="5">
        <v>4.0958269029121031E-2</v>
      </c>
      <c r="L551" s="10">
        <v>88477.999899999995</v>
      </c>
    </row>
    <row r="552" spans="1:12" x14ac:dyDescent="0.25">
      <c r="A552">
        <v>551</v>
      </c>
      <c r="B552" s="3">
        <v>0.21673960950554116</v>
      </c>
      <c r="C552" s="3">
        <v>4.5508181884660201E-2</v>
      </c>
      <c r="D552" s="1">
        <v>204232.20726049828</v>
      </c>
      <c r="E552" s="1">
        <v>12965708</v>
      </c>
      <c r="F552" s="1">
        <v>43304612</v>
      </c>
      <c r="G552" s="16">
        <v>25251.971474417798</v>
      </c>
      <c r="H552">
        <v>209.94</v>
      </c>
      <c r="I552" s="1">
        <v>519.70000000000005</v>
      </c>
      <c r="J552" s="16">
        <v>229484.17873491609</v>
      </c>
      <c r="K552" s="5">
        <v>5.5338771261413053E-2</v>
      </c>
      <c r="L552" s="10">
        <v>226656.81030000001</v>
      </c>
    </row>
    <row r="553" spans="1:12" x14ac:dyDescent="0.25">
      <c r="A553">
        <v>552</v>
      </c>
      <c r="B553" s="3">
        <v>0.18594145200866119</v>
      </c>
      <c r="C553" s="3">
        <v>5.4826497873907337E-2</v>
      </c>
      <c r="D553" s="1">
        <v>435872.99261986528</v>
      </c>
      <c r="E553" s="1">
        <v>28030389</v>
      </c>
      <c r="F553" s="1">
        <v>95839985</v>
      </c>
      <c r="G553" s="16">
        <v>51699.257637055249</v>
      </c>
      <c r="H553">
        <v>403.35</v>
      </c>
      <c r="I553" s="1">
        <v>1359.56</v>
      </c>
      <c r="J553" s="16">
        <v>487572.25025692052</v>
      </c>
      <c r="K553" s="5">
        <v>7.0690931430285847E-2</v>
      </c>
      <c r="L553" s="10">
        <v>451007.69270000001</v>
      </c>
    </row>
    <row r="554" spans="1:12" x14ac:dyDescent="0.25">
      <c r="A554">
        <v>553</v>
      </c>
      <c r="B554" s="3">
        <v>0.1710224015977625</v>
      </c>
      <c r="C554" s="3">
        <v>7.9163876443490724E-2</v>
      </c>
      <c r="D554" s="1">
        <v>185530.04387845407</v>
      </c>
      <c r="E554" s="1">
        <v>7352687</v>
      </c>
      <c r="F554" s="1">
        <v>29047280</v>
      </c>
      <c r="G554" s="16">
        <v>12399.031041763281</v>
      </c>
      <c r="H554">
        <v>47.62</v>
      </c>
      <c r="I554" s="1">
        <v>186.05</v>
      </c>
      <c r="J554" s="16">
        <v>197929.07492021736</v>
      </c>
      <c r="K554" s="5">
        <v>0.17267946853899979</v>
      </c>
      <c r="L554" s="10">
        <v>279827.12070000003</v>
      </c>
    </row>
    <row r="555" spans="1:12" x14ac:dyDescent="0.25">
      <c r="A555">
        <v>554</v>
      </c>
      <c r="B555" s="3">
        <v>0.18263713729752729</v>
      </c>
      <c r="C555" s="3">
        <v>3.211315153481438E-2</v>
      </c>
      <c r="D555" s="1">
        <v>110473.4291442269</v>
      </c>
      <c r="E555" s="1">
        <v>3786317</v>
      </c>
      <c r="F555" s="1">
        <v>18178615</v>
      </c>
      <c r="G555" s="16">
        <v>28069.505190631469</v>
      </c>
      <c r="H555">
        <v>141.72</v>
      </c>
      <c r="I555" s="1">
        <v>363.88</v>
      </c>
      <c r="J555" s="16">
        <v>138542.93433485838</v>
      </c>
      <c r="K555" s="5">
        <v>6.6524656542602298E-2</v>
      </c>
      <c r="L555" s="10">
        <v>242214.38949999999</v>
      </c>
    </row>
    <row r="556" spans="1:12" x14ac:dyDescent="0.25">
      <c r="A556">
        <v>555</v>
      </c>
      <c r="B556" s="3">
        <v>0.14377846706302122</v>
      </c>
      <c r="C556" s="3">
        <v>3.197898621582615E-2</v>
      </c>
      <c r="D556" s="1">
        <v>193290.80362944634</v>
      </c>
      <c r="E556" s="1">
        <v>6730841</v>
      </c>
      <c r="F556" s="1">
        <v>25255714</v>
      </c>
      <c r="G556" s="16">
        <v>25209.314568399128</v>
      </c>
      <c r="H556">
        <v>96.27</v>
      </c>
      <c r="I556" s="1">
        <v>289.11</v>
      </c>
      <c r="J556" s="16">
        <v>218500.11819784547</v>
      </c>
      <c r="K556" s="5">
        <v>0.10866981945509707</v>
      </c>
      <c r="L556" s="10">
        <v>619402.81299999997</v>
      </c>
    </row>
    <row r="557" spans="1:12" x14ac:dyDescent="0.25">
      <c r="A557">
        <v>556</v>
      </c>
      <c r="B557" s="3">
        <v>0.1457574282229625</v>
      </c>
      <c r="C557" s="3">
        <v>6.484464784008552E-2</v>
      </c>
      <c r="D557" s="1">
        <v>221750.66215338331</v>
      </c>
      <c r="E557" s="1">
        <v>7793668</v>
      </c>
      <c r="F557" s="1">
        <v>32102590</v>
      </c>
      <c r="G557" s="16">
        <v>14409.330116478779</v>
      </c>
      <c r="H557">
        <v>47.71</v>
      </c>
      <c r="I557" s="1">
        <v>176.79</v>
      </c>
      <c r="J557" s="16">
        <v>236159.99226986209</v>
      </c>
      <c r="K557" s="5">
        <v>0.27486692670250734</v>
      </c>
      <c r="L557" s="10">
        <v>704231.69620000001</v>
      </c>
    </row>
    <row r="558" spans="1:12" x14ac:dyDescent="0.25">
      <c r="A558">
        <v>557</v>
      </c>
      <c r="B558" s="3">
        <v>0.15358246517120888</v>
      </c>
      <c r="C558" s="3">
        <v>4.2898416635625235E-2</v>
      </c>
      <c r="D558" s="1">
        <v>126705.05541575517</v>
      </c>
      <c r="E558" s="1">
        <v>4620168</v>
      </c>
      <c r="F558" s="1">
        <v>30504898</v>
      </c>
      <c r="G558" s="16">
        <v>43951.118714499404</v>
      </c>
      <c r="H558">
        <v>212.63</v>
      </c>
      <c r="I558" s="1">
        <v>727.46</v>
      </c>
      <c r="J558" s="16">
        <v>170656.17413025457</v>
      </c>
      <c r="K558" s="5">
        <v>0.21869977748251773</v>
      </c>
      <c r="L558" s="10">
        <v>737045.23809999996</v>
      </c>
    </row>
    <row r="559" spans="1:12" x14ac:dyDescent="0.25">
      <c r="A559">
        <v>558</v>
      </c>
      <c r="B559" s="3">
        <v>0.17103456536819384</v>
      </c>
      <c r="C559" s="3">
        <v>7.9039226296821377E-2</v>
      </c>
      <c r="D559" s="1">
        <v>100139.59492036505</v>
      </c>
      <c r="E559" s="1">
        <v>3968836</v>
      </c>
      <c r="F559" s="1">
        <v>25561661</v>
      </c>
      <c r="G559" s="16">
        <v>25771.449984425017</v>
      </c>
      <c r="H559">
        <v>144.06</v>
      </c>
      <c r="I559" s="1">
        <v>419.1</v>
      </c>
      <c r="J559" s="16">
        <v>125911.04490479006</v>
      </c>
      <c r="K559" s="5">
        <v>4.4032771687891374E-2</v>
      </c>
      <c r="L559" s="10">
        <v>49988.3511</v>
      </c>
    </row>
    <row r="560" spans="1:12" x14ac:dyDescent="0.25">
      <c r="A560">
        <v>559</v>
      </c>
      <c r="B560" s="3">
        <v>0.16874111705061995</v>
      </c>
      <c r="C560" s="3">
        <v>4.2300855587366501E-2</v>
      </c>
      <c r="D560" s="1">
        <v>63214.908534263268</v>
      </c>
      <c r="E560" s="1">
        <v>2059747</v>
      </c>
      <c r="F560" s="1">
        <v>11624528</v>
      </c>
      <c r="G560" s="16">
        <v>20498.105739619044</v>
      </c>
      <c r="H560">
        <v>93.6</v>
      </c>
      <c r="I560" s="1">
        <v>340.89</v>
      </c>
      <c r="J560" s="16">
        <v>83713.01427388232</v>
      </c>
      <c r="K560" s="5">
        <v>6.6254793828206163E-2</v>
      </c>
      <c r="L560" s="10">
        <v>108392.85400000001</v>
      </c>
    </row>
    <row r="561" spans="1:12" x14ac:dyDescent="0.25">
      <c r="A561">
        <v>560</v>
      </c>
      <c r="B561" s="3">
        <v>0.10092751127101274</v>
      </c>
      <c r="C561" s="3">
        <v>7.8012569076214816E-2</v>
      </c>
      <c r="D561" s="1">
        <v>100906.7622832862</v>
      </c>
      <c r="E561" s="1">
        <v>2598601</v>
      </c>
      <c r="F561" s="1">
        <v>15162027</v>
      </c>
      <c r="G561" s="16">
        <v>53061.942089588389</v>
      </c>
      <c r="H561">
        <v>168.38</v>
      </c>
      <c r="I561" s="1">
        <v>440.23</v>
      </c>
      <c r="J561" s="16">
        <v>153968.70437287458</v>
      </c>
      <c r="K561" s="5">
        <v>0.22542657877842459</v>
      </c>
      <c r="L561" s="10">
        <v>284757.68459999998</v>
      </c>
    </row>
    <row r="562" spans="1:12" x14ac:dyDescent="0.25">
      <c r="A562">
        <v>561</v>
      </c>
      <c r="B562" s="3">
        <v>0.21054253263840184</v>
      </c>
      <c r="C562" s="3">
        <v>6.7486552374139683E-2</v>
      </c>
      <c r="D562" s="1">
        <v>74865.015013221942</v>
      </c>
      <c r="E562" s="1">
        <v>2847713</v>
      </c>
      <c r="F562" s="1">
        <v>16142640</v>
      </c>
      <c r="G562" s="16">
        <v>11166.081748324563</v>
      </c>
      <c r="H562">
        <v>69.48</v>
      </c>
      <c r="I562" s="1">
        <v>228.70999999999998</v>
      </c>
      <c r="J562" s="16">
        <v>86031.096761546505</v>
      </c>
      <c r="K562" s="5">
        <v>0.21735307835536724</v>
      </c>
      <c r="L562" s="10">
        <v>190365.87789999999</v>
      </c>
    </row>
    <row r="563" spans="1:12" x14ac:dyDescent="0.25">
      <c r="A563">
        <v>562</v>
      </c>
      <c r="B563" s="3">
        <v>0.10525119367723107</v>
      </c>
      <c r="C563" s="3">
        <v>3.4851599291229891E-2</v>
      </c>
      <c r="D563" s="1">
        <v>530414.0557698604</v>
      </c>
      <c r="E563" s="1">
        <v>17310615</v>
      </c>
      <c r="F563" s="1">
        <v>44677205</v>
      </c>
      <c r="G563" s="16">
        <v>48715.324556788939</v>
      </c>
      <c r="H563">
        <v>159.81</v>
      </c>
      <c r="I563" s="1">
        <v>485.63000000000005</v>
      </c>
      <c r="J563" s="16">
        <v>579129.38032664929</v>
      </c>
      <c r="K563" s="5">
        <v>0.20119983620850976</v>
      </c>
      <c r="L563" s="10">
        <v>2601212.7718000002</v>
      </c>
    </row>
    <row r="564" spans="1:12" x14ac:dyDescent="0.25">
      <c r="A564">
        <v>563</v>
      </c>
      <c r="B564" s="3">
        <v>0.17362089415084841</v>
      </c>
      <c r="C564" s="3">
        <v>7.6759824932560478E-2</v>
      </c>
      <c r="D564" s="1">
        <v>65071.448393457496</v>
      </c>
      <c r="E564" s="1">
        <v>2611415</v>
      </c>
      <c r="F564" s="1">
        <v>23966218</v>
      </c>
      <c r="G564" s="16">
        <v>47496.679320875388</v>
      </c>
      <c r="H564">
        <v>271.52</v>
      </c>
      <c r="I564" s="1">
        <v>696.88</v>
      </c>
      <c r="J564" s="16">
        <v>112568.12771433289</v>
      </c>
      <c r="K564" s="5">
        <v>0.13567351533411381</v>
      </c>
      <c r="L564" s="10">
        <v>132718.36420000001</v>
      </c>
    </row>
    <row r="565" spans="1:12" x14ac:dyDescent="0.25">
      <c r="A565">
        <v>564</v>
      </c>
      <c r="B565" s="3">
        <v>0.18161772193163847</v>
      </c>
      <c r="C565" s="3">
        <v>7.784832516077457E-2</v>
      </c>
      <c r="D565" s="1">
        <v>77119.176077456621</v>
      </c>
      <c r="E565" s="1">
        <v>3217659</v>
      </c>
      <c r="F565" s="1">
        <v>30004909</v>
      </c>
      <c r="G565" s="16">
        <v>31741.557495306904</v>
      </c>
      <c r="H565">
        <v>194.41</v>
      </c>
      <c r="I565" s="1">
        <v>620.14</v>
      </c>
      <c r="J565" s="16">
        <v>108860.73357276352</v>
      </c>
      <c r="K565" s="5">
        <v>0.10519491917412661</v>
      </c>
      <c r="L565" s="10">
        <v>100270.2748</v>
      </c>
    </row>
    <row r="566" spans="1:12" x14ac:dyDescent="0.25">
      <c r="A566">
        <v>565</v>
      </c>
      <c r="B566" s="3">
        <v>0.13242692795868943</v>
      </c>
      <c r="C566" s="3">
        <v>7.4006743505932421E-2</v>
      </c>
      <c r="D566" s="1">
        <v>140615.22858715095</v>
      </c>
      <c r="E566" s="1">
        <v>4645274</v>
      </c>
      <c r="F566" s="1">
        <v>27286446</v>
      </c>
      <c r="G566" s="16">
        <v>11915.505512448921</v>
      </c>
      <c r="H566">
        <v>36.49</v>
      </c>
      <c r="I566" s="1">
        <v>151.76000000000002</v>
      </c>
      <c r="J566" s="16">
        <v>152530.73409959988</v>
      </c>
      <c r="K566" s="5">
        <v>0.30744642227806612</v>
      </c>
      <c r="L566" s="10">
        <v>459099.09220000001</v>
      </c>
    </row>
    <row r="567" spans="1:12" x14ac:dyDescent="0.25">
      <c r="A567">
        <v>566</v>
      </c>
      <c r="B567" s="3">
        <v>0.11323463024891427</v>
      </c>
      <c r="C567" s="3">
        <v>4.16767330464657E-2</v>
      </c>
      <c r="D567" s="1">
        <v>120147.82433660921</v>
      </c>
      <c r="E567" s="1">
        <v>3224725</v>
      </c>
      <c r="F567" s="1">
        <v>15119807</v>
      </c>
      <c r="G567" s="16">
        <v>57853.424486123753</v>
      </c>
      <c r="H567">
        <v>227.76</v>
      </c>
      <c r="I567" s="1">
        <v>791.41</v>
      </c>
      <c r="J567" s="16">
        <v>178001.24882273294</v>
      </c>
      <c r="K567" s="5">
        <v>6.5357291704130904E-2</v>
      </c>
      <c r="L567" s="10">
        <v>251740.77350000001</v>
      </c>
    </row>
    <row r="568" spans="1:12" x14ac:dyDescent="0.25">
      <c r="A568">
        <v>567</v>
      </c>
      <c r="B568" s="3">
        <v>0.15912874673352922</v>
      </c>
      <c r="C568" s="3">
        <v>7.651190376976888E-2</v>
      </c>
      <c r="D568" s="1">
        <v>225928.43327309983</v>
      </c>
      <c r="E568" s="1">
        <v>8457772</v>
      </c>
      <c r="F568" s="1">
        <v>31023757</v>
      </c>
      <c r="G568" s="16">
        <v>89220.946127358795</v>
      </c>
      <c r="H568">
        <v>536.78</v>
      </c>
      <c r="I568" s="1">
        <v>1246.03</v>
      </c>
      <c r="J568" s="16">
        <v>315149.37940045865</v>
      </c>
      <c r="K568" s="5">
        <v>0.1667771246573167</v>
      </c>
      <c r="L568" s="10">
        <v>426564.96899999998</v>
      </c>
    </row>
    <row r="569" spans="1:12" x14ac:dyDescent="0.25">
      <c r="A569">
        <v>568</v>
      </c>
      <c r="B569" s="3">
        <v>0.12095858999601422</v>
      </c>
      <c r="C569" s="3">
        <v>5.5648823361385144E-2</v>
      </c>
      <c r="D569" s="1">
        <v>185902.16759232269</v>
      </c>
      <c r="E569" s="1">
        <v>5827066</v>
      </c>
      <c r="F569" s="1">
        <v>27474551</v>
      </c>
      <c r="G569" s="16">
        <v>58951.836249870728</v>
      </c>
      <c r="H569">
        <v>248.78</v>
      </c>
      <c r="I569" s="1">
        <v>876.79</v>
      </c>
      <c r="J569" s="16">
        <v>244854.0038421934</v>
      </c>
      <c r="K569" s="5">
        <v>0.21596454431329284</v>
      </c>
      <c r="L569" s="10">
        <v>674265.78529999999</v>
      </c>
    </row>
    <row r="570" spans="1:12" x14ac:dyDescent="0.25">
      <c r="A570">
        <v>569</v>
      </c>
      <c r="B570" s="3">
        <v>0.12968617558718742</v>
      </c>
      <c r="C570" s="3">
        <v>3.9818286326488178E-2</v>
      </c>
      <c r="D570" s="1">
        <v>257360.13407675002</v>
      </c>
      <c r="E570" s="1">
        <v>8395378</v>
      </c>
      <c r="F570" s="1">
        <v>34464388</v>
      </c>
      <c r="G570" s="16">
        <v>146120.77679157857</v>
      </c>
      <c r="H570">
        <v>767.46</v>
      </c>
      <c r="I570" s="1">
        <v>1901.1399999999999</v>
      </c>
      <c r="J570" s="16">
        <v>403480.91086832859</v>
      </c>
      <c r="K570" s="5">
        <v>0.14967647162717868</v>
      </c>
      <c r="L570" s="10">
        <v>1189134.0412999999</v>
      </c>
    </row>
    <row r="571" spans="1:12" x14ac:dyDescent="0.25">
      <c r="A571">
        <v>570</v>
      </c>
      <c r="B571" s="3">
        <v>0.14465484357368646</v>
      </c>
      <c r="C571" s="3">
        <v>2.8374079353582243E-2</v>
      </c>
      <c r="D571" s="1">
        <v>120604.99220410059</v>
      </c>
      <c r="E571" s="1">
        <v>3606969</v>
      </c>
      <c r="F571" s="1">
        <v>14706405</v>
      </c>
      <c r="G571" s="16">
        <v>58266.35875706045</v>
      </c>
      <c r="H571">
        <v>261.74</v>
      </c>
      <c r="I571" s="1">
        <v>748.86999999999989</v>
      </c>
      <c r="J571" s="16">
        <v>178871.35096116105</v>
      </c>
      <c r="K571" s="5">
        <v>4.6116481297796483E-2</v>
      </c>
      <c r="L571" s="10">
        <v>249452.74479999999</v>
      </c>
    </row>
    <row r="572" spans="1:12" x14ac:dyDescent="0.25">
      <c r="A572">
        <v>571</v>
      </c>
      <c r="B572" s="3">
        <v>0.15954468594393922</v>
      </c>
      <c r="C572" s="3">
        <v>3.9767072068667794E-2</v>
      </c>
      <c r="D572" s="1">
        <v>165624.53652791216</v>
      </c>
      <c r="E572" s="1">
        <v>6212533</v>
      </c>
      <c r="F572" s="1">
        <v>22984488</v>
      </c>
      <c r="G572" s="16">
        <v>12490.618654356595</v>
      </c>
      <c r="H572">
        <v>44.83</v>
      </c>
      <c r="I572" s="1">
        <v>157.51</v>
      </c>
      <c r="J572" s="16">
        <v>178115.15518226876</v>
      </c>
      <c r="K572" s="5">
        <v>5.832191045898677E-2</v>
      </c>
      <c r="L572" s="10">
        <v>225964.09450000001</v>
      </c>
    </row>
    <row r="573" spans="1:12" x14ac:dyDescent="0.25">
      <c r="A573">
        <v>572</v>
      </c>
      <c r="B573" s="3">
        <v>0.16199613256590739</v>
      </c>
      <c r="C573" s="3">
        <v>6.102229841881758E-2</v>
      </c>
      <c r="D573" s="1">
        <v>150896.06293570503</v>
      </c>
      <c r="E573" s="1">
        <v>4798906</v>
      </c>
      <c r="F573" s="1">
        <v>16980366</v>
      </c>
      <c r="G573" s="16">
        <v>31507.716930306335</v>
      </c>
      <c r="H573">
        <v>163.72</v>
      </c>
      <c r="I573" s="1">
        <v>485.43999999999994</v>
      </c>
      <c r="J573" s="16">
        <v>182403.77986601138</v>
      </c>
      <c r="K573" s="5">
        <v>5.8856288756607769E-2</v>
      </c>
      <c r="L573" s="10">
        <v>130660.9878</v>
      </c>
    </row>
    <row r="574" spans="1:12" x14ac:dyDescent="0.25">
      <c r="A574">
        <v>573</v>
      </c>
      <c r="B574" s="3">
        <v>0.17267048299088472</v>
      </c>
      <c r="C574" s="3">
        <v>7.4197696200353727E-2</v>
      </c>
      <c r="D574" s="1">
        <v>273054.06287264865</v>
      </c>
      <c r="E574" s="1">
        <v>13184356</v>
      </c>
      <c r="F574" s="1">
        <v>58293717</v>
      </c>
      <c r="G574" s="16">
        <v>31295.674519372922</v>
      </c>
      <c r="H574">
        <v>177.49</v>
      </c>
      <c r="I574" s="1">
        <v>558.48</v>
      </c>
      <c r="J574" s="16">
        <v>304349.73739202158</v>
      </c>
      <c r="K574" s="5">
        <v>-2.3125297468824836E-3</v>
      </c>
      <c r="L574" s="10">
        <v>24503.352999999999</v>
      </c>
    </row>
    <row r="575" spans="1:12" x14ac:dyDescent="0.25">
      <c r="A575">
        <v>574</v>
      </c>
      <c r="B575" s="3">
        <v>0.23768948429178827</v>
      </c>
      <c r="C575" s="3">
        <v>2.4716260159271693E-2</v>
      </c>
      <c r="D575" s="1">
        <v>139243.30470112877</v>
      </c>
      <c r="E575" s="1">
        <v>7717021</v>
      </c>
      <c r="F575" s="1">
        <v>26412626</v>
      </c>
      <c r="G575" s="16">
        <v>7670.9125348019643</v>
      </c>
      <c r="H575">
        <v>44.86</v>
      </c>
      <c r="I575" s="1">
        <v>166.26</v>
      </c>
      <c r="J575" s="16">
        <v>146914.21723593073</v>
      </c>
      <c r="K575" s="5">
        <v>6.4606726957051511E-2</v>
      </c>
      <c r="L575" s="10">
        <v>327791.46519999998</v>
      </c>
    </row>
    <row r="576" spans="1:12" x14ac:dyDescent="0.25">
      <c r="A576">
        <v>575</v>
      </c>
      <c r="B576" s="3">
        <v>0.16701658003259384</v>
      </c>
      <c r="C576" s="3">
        <v>4.0317104398905124E-2</v>
      </c>
      <c r="D576" s="1">
        <v>120165.45359023855</v>
      </c>
      <c r="E576" s="1">
        <v>4671288</v>
      </c>
      <c r="F576" s="1">
        <v>26338544</v>
      </c>
      <c r="G576" s="16">
        <v>63195.96867195161</v>
      </c>
      <c r="H576">
        <v>410.26</v>
      </c>
      <c r="I576" s="1">
        <v>1021.6399999999999</v>
      </c>
      <c r="J576" s="16">
        <v>183361.42226219017</v>
      </c>
      <c r="K576" s="5">
        <v>8.1093215923274481E-2</v>
      </c>
      <c r="L576" s="10">
        <v>339049.42219999997</v>
      </c>
    </row>
    <row r="577" spans="1:12" x14ac:dyDescent="0.25">
      <c r="A577">
        <v>576</v>
      </c>
      <c r="B577" s="3">
        <v>0.12629146660761734</v>
      </c>
      <c r="C577" s="3">
        <v>4.6212634481700599E-2</v>
      </c>
      <c r="D577" s="1">
        <v>116744.15087615508</v>
      </c>
      <c r="E577" s="1">
        <v>3275962</v>
      </c>
      <c r="F577" s="1">
        <v>19451723</v>
      </c>
      <c r="G577" s="16">
        <v>5886.5938095286256</v>
      </c>
      <c r="H577">
        <v>15.15</v>
      </c>
      <c r="I577" s="1">
        <v>85.750000000000014</v>
      </c>
      <c r="J577" s="16">
        <v>122630.74468568371</v>
      </c>
      <c r="K577" s="5">
        <v>0.21901547082465278</v>
      </c>
      <c r="L577" s="10">
        <v>467008.99109999998</v>
      </c>
    </row>
    <row r="578" spans="1:12" x14ac:dyDescent="0.25">
      <c r="A578">
        <v>577</v>
      </c>
      <c r="B578" s="3">
        <v>0.22305117197801078</v>
      </c>
      <c r="C578" s="3">
        <v>4.6643317367499888E-2</v>
      </c>
      <c r="D578" s="1">
        <v>158706.76851345235</v>
      </c>
      <c r="E578" s="1">
        <v>8151329</v>
      </c>
      <c r="F578" s="1">
        <v>35711539</v>
      </c>
      <c r="G578" s="16">
        <v>28382.083460447589</v>
      </c>
      <c r="H578">
        <v>321.29000000000002</v>
      </c>
      <c r="I578" s="1">
        <v>1043.3899999999999</v>
      </c>
      <c r="J578" s="16">
        <v>187088.85197389993</v>
      </c>
      <c r="K578" s="5">
        <v>3.1824390804508218E-2</v>
      </c>
      <c r="L578" s="10">
        <v>84696.946500000005</v>
      </c>
    </row>
    <row r="579" spans="1:12" x14ac:dyDescent="0.25">
      <c r="A579">
        <v>578</v>
      </c>
      <c r="B579" s="3">
        <v>0.18914034290545292</v>
      </c>
      <c r="C579" s="3">
        <v>3.1888420657887891E-2</v>
      </c>
      <c r="D579" s="1">
        <v>137465.07093427322</v>
      </c>
      <c r="E579" s="1">
        <v>5951308</v>
      </c>
      <c r="F579" s="1">
        <v>26285221</v>
      </c>
      <c r="G579" s="16">
        <v>9136.7929495967601</v>
      </c>
      <c r="H579">
        <v>39.200000000000003</v>
      </c>
      <c r="I579" s="1">
        <v>163.26</v>
      </c>
      <c r="J579" s="16">
        <v>146601.86388386998</v>
      </c>
      <c r="K579" s="5">
        <v>0.1950474011331384</v>
      </c>
      <c r="L579" s="10">
        <v>760824.16590000002</v>
      </c>
    </row>
    <row r="580" spans="1:12" x14ac:dyDescent="0.25">
      <c r="A580">
        <v>579</v>
      </c>
      <c r="B580" s="3">
        <v>0.24125249368419494</v>
      </c>
      <c r="C580" s="3">
        <v>7.4647502262731744E-2</v>
      </c>
      <c r="D580" s="1">
        <v>111984.01949853651</v>
      </c>
      <c r="E580" s="1">
        <v>6323673</v>
      </c>
      <c r="F580" s="1">
        <v>31976767</v>
      </c>
      <c r="G580" s="16">
        <v>13339.782062433767</v>
      </c>
      <c r="H580">
        <v>138.65</v>
      </c>
      <c r="I580" s="1">
        <v>465.95000000000005</v>
      </c>
      <c r="J580" s="16">
        <v>125323.80156097027</v>
      </c>
      <c r="K580" s="5">
        <v>0.16990639700520604</v>
      </c>
      <c r="L580" s="10">
        <v>204894.37119999999</v>
      </c>
    </row>
    <row r="581" spans="1:12" x14ac:dyDescent="0.25">
      <c r="A581">
        <v>580</v>
      </c>
      <c r="B581" s="3">
        <v>0.14096508469898011</v>
      </c>
      <c r="C581" s="3">
        <v>5.494852060940647E-2</v>
      </c>
      <c r="D581" s="1">
        <v>38474.377433904607</v>
      </c>
      <c r="E581" s="1">
        <v>975784</v>
      </c>
      <c r="F581" s="1">
        <v>6768989</v>
      </c>
      <c r="G581" s="16">
        <v>30056.267916525121</v>
      </c>
      <c r="H581">
        <v>130.88999999999999</v>
      </c>
      <c r="I581" s="1">
        <v>463.86</v>
      </c>
      <c r="J581" s="16">
        <v>68530.645350429724</v>
      </c>
      <c r="K581" s="5">
        <v>-1.8487124394643929E-2</v>
      </c>
      <c r="L581" s="10">
        <v>-18702.309700000002</v>
      </c>
    </row>
    <row r="582" spans="1:12" x14ac:dyDescent="0.25">
      <c r="A582">
        <v>581</v>
      </c>
      <c r="B582" s="3">
        <v>0.13050269301617845</v>
      </c>
      <c r="C582" s="3">
        <v>2.3846436425009627E-2</v>
      </c>
      <c r="D582" s="1">
        <v>96582.158343666917</v>
      </c>
      <c r="E582" s="1">
        <v>2749762</v>
      </c>
      <c r="F582" s="1">
        <v>16453628</v>
      </c>
      <c r="G582" s="16">
        <v>46606.71297766942</v>
      </c>
      <c r="H582">
        <v>186.59</v>
      </c>
      <c r="I582" s="1">
        <v>519.13</v>
      </c>
      <c r="J582" s="16">
        <v>143188.87132133634</v>
      </c>
      <c r="K582" s="5">
        <v>8.970060627994092E-2</v>
      </c>
      <c r="L582" s="10">
        <v>468310.75170000002</v>
      </c>
    </row>
    <row r="583" spans="1:12" x14ac:dyDescent="0.25">
      <c r="A583">
        <v>582</v>
      </c>
      <c r="B583" s="3">
        <v>0.12157517732324831</v>
      </c>
      <c r="C583" s="3">
        <v>2.2474248480374069E-2</v>
      </c>
      <c r="D583" s="1">
        <v>635565.26353598654</v>
      </c>
      <c r="E583" s="1">
        <v>22742599</v>
      </c>
      <c r="F583" s="1">
        <v>77710373</v>
      </c>
      <c r="G583" s="16">
        <v>65075.113470994358</v>
      </c>
      <c r="H583">
        <v>242.39</v>
      </c>
      <c r="I583" s="1">
        <v>753.67</v>
      </c>
      <c r="J583" s="16">
        <v>700640.37700698094</v>
      </c>
      <c r="K583" s="5">
        <v>0.21965782776124287</v>
      </c>
      <c r="L583" s="10">
        <v>5976195.0196000002</v>
      </c>
    </row>
    <row r="584" spans="1:12" x14ac:dyDescent="0.25">
      <c r="A584">
        <v>583</v>
      </c>
      <c r="B584" s="3">
        <v>0.18306516331961104</v>
      </c>
      <c r="C584" s="3">
        <v>5.6675739493441249E-2</v>
      </c>
      <c r="D584" s="1">
        <v>143740.64457189073</v>
      </c>
      <c r="E584" s="1">
        <v>4934240</v>
      </c>
      <c r="F584" s="1">
        <v>21047860</v>
      </c>
      <c r="G584" s="16">
        <v>19900.31462309308</v>
      </c>
      <c r="H584">
        <v>100.81</v>
      </c>
      <c r="I584" s="1">
        <v>275.78999999999996</v>
      </c>
      <c r="J584" s="16">
        <v>163640.95919498382</v>
      </c>
      <c r="K584" s="5">
        <v>0.16378191404242723</v>
      </c>
      <c r="L584" s="10">
        <v>362569.67489999998</v>
      </c>
    </row>
    <row r="585" spans="1:12" x14ac:dyDescent="0.25">
      <c r="A585">
        <v>584</v>
      </c>
      <c r="B585" s="3">
        <v>0.21253602000619981</v>
      </c>
      <c r="C585" s="3">
        <v>5.8204992611877421E-2</v>
      </c>
      <c r="D585" s="1">
        <v>175691.99878522765</v>
      </c>
      <c r="E585" s="1">
        <v>8551299</v>
      </c>
      <c r="F585" s="1">
        <v>34029339</v>
      </c>
      <c r="G585" s="16">
        <v>25208.9272620548</v>
      </c>
      <c r="H585">
        <v>201.77</v>
      </c>
      <c r="I585" s="1">
        <v>519.77</v>
      </c>
      <c r="J585" s="16">
        <v>200900.92604728247</v>
      </c>
      <c r="K585" s="5">
        <v>0.10206846520160391</v>
      </c>
      <c r="L585" s="10">
        <v>248084.54060000001</v>
      </c>
    </row>
    <row r="586" spans="1:12" x14ac:dyDescent="0.25">
      <c r="A586">
        <v>585</v>
      </c>
      <c r="B586" s="3">
        <v>0.14965809291287777</v>
      </c>
      <c r="C586" s="3">
        <v>3.5440959295231896E-2</v>
      </c>
      <c r="D586" s="1">
        <v>296138.05306170101</v>
      </c>
      <c r="E586" s="1">
        <v>12466062</v>
      </c>
      <c r="F586" s="1">
        <v>47636946</v>
      </c>
      <c r="G586" s="16">
        <v>23979.562772836452</v>
      </c>
      <c r="H586">
        <v>95.4</v>
      </c>
      <c r="I586" s="1">
        <v>300.07000000000005</v>
      </c>
      <c r="J586" s="16">
        <v>320117.61583453749</v>
      </c>
      <c r="K586" s="5">
        <v>4.1653969781404315E-2</v>
      </c>
      <c r="L586" s="10">
        <v>358779.5809</v>
      </c>
    </row>
    <row r="587" spans="1:12" x14ac:dyDescent="0.25">
      <c r="A587">
        <v>586</v>
      </c>
      <c r="B587" s="3">
        <v>0.18557356376869794</v>
      </c>
      <c r="C587" s="3">
        <v>2.4469584017038751E-2</v>
      </c>
      <c r="D587" s="1">
        <v>118713.61384256367</v>
      </c>
      <c r="E587" s="1">
        <v>4112898</v>
      </c>
      <c r="F587" s="1">
        <v>18474098</v>
      </c>
      <c r="G587" s="16">
        <v>31601.844781879608</v>
      </c>
      <c r="H587">
        <v>200.02</v>
      </c>
      <c r="I587" s="1">
        <v>560.24</v>
      </c>
      <c r="J587" s="16">
        <v>150315.45862444327</v>
      </c>
      <c r="K587" s="5">
        <v>0.11616764630674568</v>
      </c>
      <c r="L587" s="10">
        <v>631994.92550000001</v>
      </c>
    </row>
    <row r="588" spans="1:12" x14ac:dyDescent="0.25">
      <c r="A588">
        <v>587</v>
      </c>
      <c r="B588" s="3">
        <v>0.24429527592788267</v>
      </c>
      <c r="C588" s="3">
        <v>2.4023057650661189E-2</v>
      </c>
      <c r="D588" s="1">
        <v>132749.09635184737</v>
      </c>
      <c r="E588" s="1">
        <v>7617732</v>
      </c>
      <c r="F588" s="1">
        <v>31294544</v>
      </c>
      <c r="G588" s="16">
        <v>28985.970774555833</v>
      </c>
      <c r="H588">
        <v>309.33999999999997</v>
      </c>
      <c r="I588" s="1">
        <v>723.56999999999994</v>
      </c>
      <c r="J588" s="16">
        <v>161735.06712640321</v>
      </c>
      <c r="K588" s="5">
        <v>0.18545734721479032</v>
      </c>
      <c r="L588" s="10">
        <v>1066061.8021</v>
      </c>
    </row>
    <row r="589" spans="1:12" x14ac:dyDescent="0.25">
      <c r="A589">
        <v>588</v>
      </c>
      <c r="B589" s="3">
        <v>0.10958196513853888</v>
      </c>
      <c r="C589" s="3">
        <v>2.4339675819586768E-2</v>
      </c>
      <c r="D589" s="1">
        <v>163968.87689893108</v>
      </c>
      <c r="E589" s="1">
        <v>4881895</v>
      </c>
      <c r="F589" s="1">
        <v>29273666</v>
      </c>
      <c r="G589" s="16">
        <v>43042.265018415332</v>
      </c>
      <c r="H589">
        <v>145.82</v>
      </c>
      <c r="I589" s="1">
        <v>462.45</v>
      </c>
      <c r="J589" s="16">
        <v>207011.14191734639</v>
      </c>
      <c r="K589" s="5">
        <v>0.1314446798253556</v>
      </c>
      <c r="L589" s="10">
        <v>998070.58759999997</v>
      </c>
    </row>
    <row r="590" spans="1:12" x14ac:dyDescent="0.25">
      <c r="A590">
        <v>589</v>
      </c>
      <c r="B590" s="3">
        <v>0.13906610677552109</v>
      </c>
      <c r="C590" s="3">
        <v>7.7762499783575453E-2</v>
      </c>
      <c r="D590" s="1">
        <v>188735.62231653446</v>
      </c>
      <c r="E590" s="1">
        <v>6429509</v>
      </c>
      <c r="F590" s="1">
        <v>26278103</v>
      </c>
      <c r="G590" s="16">
        <v>45017.469361719443</v>
      </c>
      <c r="H590">
        <v>224.28</v>
      </c>
      <c r="I590" s="1">
        <v>788.13</v>
      </c>
      <c r="J590" s="16">
        <v>233753.0916782539</v>
      </c>
      <c r="K590" s="5">
        <v>0.15355243600526824</v>
      </c>
      <c r="L590" s="10">
        <v>315815.27960000001</v>
      </c>
    </row>
    <row r="591" spans="1:12" x14ac:dyDescent="0.25">
      <c r="A591">
        <v>590</v>
      </c>
      <c r="B591" s="3">
        <v>0.16670542842850469</v>
      </c>
      <c r="C591" s="3">
        <v>7.1390238924451219E-2</v>
      </c>
      <c r="D591" s="1">
        <v>235448.2382862161</v>
      </c>
      <c r="E591" s="1">
        <v>10967436</v>
      </c>
      <c r="F591" s="1">
        <v>44255795</v>
      </c>
      <c r="G591" s="16">
        <v>13851.471676645038</v>
      </c>
      <c r="H591">
        <v>62.25</v>
      </c>
      <c r="I591" s="1">
        <v>239.91</v>
      </c>
      <c r="J591" s="16">
        <v>249299.70996286115</v>
      </c>
      <c r="K591" s="5">
        <v>0.27378978670918702</v>
      </c>
      <c r="L591" s="10">
        <v>666541.17810000002</v>
      </c>
    </row>
    <row r="592" spans="1:12" x14ac:dyDescent="0.25">
      <c r="A592">
        <v>591</v>
      </c>
      <c r="B592" s="3">
        <v>0.24651049468474076</v>
      </c>
      <c r="C592" s="3">
        <v>7.6761419755876956E-2</v>
      </c>
      <c r="D592" s="1">
        <v>127310.86677933473</v>
      </c>
      <c r="E592" s="1">
        <v>7391962</v>
      </c>
      <c r="F592" s="1">
        <v>32814542</v>
      </c>
      <c r="G592" s="16">
        <v>16706.142296123977</v>
      </c>
      <c r="H592">
        <v>137.34</v>
      </c>
      <c r="I592" s="1">
        <v>370.39</v>
      </c>
      <c r="J592" s="16">
        <v>144017.00907545871</v>
      </c>
      <c r="K592" s="5">
        <v>0.19407422498909299</v>
      </c>
      <c r="L592" s="10">
        <v>231701.9492</v>
      </c>
    </row>
    <row r="593" spans="1:12" x14ac:dyDescent="0.25">
      <c r="A593">
        <v>592</v>
      </c>
      <c r="B593" s="3">
        <v>0.185984024548557</v>
      </c>
      <c r="C593" s="3">
        <v>3.5780451089544446E-2</v>
      </c>
      <c r="D593" s="1">
        <v>128186.2023221815</v>
      </c>
      <c r="E593" s="1">
        <v>5464024</v>
      </c>
      <c r="F593" s="1">
        <v>28648351</v>
      </c>
      <c r="G593" s="16">
        <v>17274.70742210804</v>
      </c>
      <c r="H593">
        <v>89.35</v>
      </c>
      <c r="I593" s="1">
        <v>290.66999999999996</v>
      </c>
      <c r="J593" s="16">
        <v>145460.90974428953</v>
      </c>
      <c r="K593" s="5">
        <v>0.17750960726918322</v>
      </c>
      <c r="L593" s="10">
        <v>598554.16929999995</v>
      </c>
    </row>
    <row r="594" spans="1:12" x14ac:dyDescent="0.25">
      <c r="A594">
        <v>593</v>
      </c>
      <c r="B594" s="3">
        <v>0.23980078782718925</v>
      </c>
      <c r="C594" s="3">
        <v>7.360135642931416E-2</v>
      </c>
      <c r="D594" s="1">
        <v>43743.018190360177</v>
      </c>
      <c r="E594" s="1">
        <v>1863496</v>
      </c>
      <c r="F594" s="1">
        <v>11200925</v>
      </c>
      <c r="G594" s="16">
        <v>27432.930047440354</v>
      </c>
      <c r="H594">
        <v>281.23</v>
      </c>
      <c r="I594" s="1">
        <v>670.22</v>
      </c>
      <c r="J594" s="16">
        <v>71175.948237800534</v>
      </c>
      <c r="K594" s="5">
        <v>-4.3213546772410585E-2</v>
      </c>
      <c r="L594" s="10">
        <v>-20572.639500000001</v>
      </c>
    </row>
    <row r="595" spans="1:12" x14ac:dyDescent="0.25">
      <c r="A595">
        <v>594</v>
      </c>
      <c r="B595" s="3">
        <v>0.24049084165377047</v>
      </c>
      <c r="C595" s="3">
        <v>3.0648678240573903E-2</v>
      </c>
      <c r="D595" s="1">
        <v>105317.87982431971</v>
      </c>
      <c r="E595" s="1">
        <v>5923428</v>
      </c>
      <c r="F595" s="1">
        <v>26292496</v>
      </c>
      <c r="G595" s="16">
        <v>18778.757229494287</v>
      </c>
      <c r="H595">
        <v>193.85</v>
      </c>
      <c r="I595" s="1">
        <v>614.42000000000007</v>
      </c>
      <c r="J595" s="16">
        <v>124096.63705381399</v>
      </c>
      <c r="K595" s="5">
        <v>-2.6933333780660325E-2</v>
      </c>
      <c r="L595" s="10">
        <v>-102060.0071</v>
      </c>
    </row>
    <row r="596" spans="1:12" x14ac:dyDescent="0.25">
      <c r="A596">
        <v>595</v>
      </c>
      <c r="B596" s="3">
        <v>0.12803925914074943</v>
      </c>
      <c r="C596" s="3">
        <v>2.6847971138518389E-2</v>
      </c>
      <c r="D596" s="1">
        <v>59202.306400242698</v>
      </c>
      <c r="E596" s="1">
        <v>1457293</v>
      </c>
      <c r="F596" s="1">
        <v>7587633</v>
      </c>
      <c r="G596" s="16">
        <v>36234.875110490597</v>
      </c>
      <c r="H596">
        <v>123.99</v>
      </c>
      <c r="I596" s="1">
        <v>319.52</v>
      </c>
      <c r="J596" s="16">
        <v>95437.181510733295</v>
      </c>
      <c r="K596" s="5">
        <v>0.12002136985793933</v>
      </c>
      <c r="L596" s="10">
        <v>369746.38909999997</v>
      </c>
    </row>
    <row r="597" spans="1:12" x14ac:dyDescent="0.25">
      <c r="A597">
        <v>596</v>
      </c>
      <c r="B597" s="3">
        <v>0.23303386037218024</v>
      </c>
      <c r="C597" s="3">
        <v>4.2038845428972085E-2</v>
      </c>
      <c r="D597" s="1">
        <v>44261.041495389363</v>
      </c>
      <c r="E597" s="1">
        <v>1408224</v>
      </c>
      <c r="F597" s="1">
        <v>7655164</v>
      </c>
      <c r="G597" s="16">
        <v>15817.482642664159</v>
      </c>
      <c r="H597">
        <v>152.46</v>
      </c>
      <c r="I597" s="1">
        <v>561.78</v>
      </c>
      <c r="J597" s="16">
        <v>60078.524138053523</v>
      </c>
      <c r="K597" s="5">
        <v>-3.6506300837242538E-2</v>
      </c>
      <c r="L597" s="10">
        <v>-36272.472000000002</v>
      </c>
    </row>
    <row r="598" spans="1:12" x14ac:dyDescent="0.25">
      <c r="A598">
        <v>597</v>
      </c>
      <c r="B598" s="3">
        <v>0.22474604756561165</v>
      </c>
      <c r="C598" s="3">
        <v>6.9058924535212604E-2</v>
      </c>
      <c r="D598" s="1">
        <v>100808.09883098332</v>
      </c>
      <c r="E598" s="1">
        <v>5223022</v>
      </c>
      <c r="F598" s="1">
        <v>23911224</v>
      </c>
      <c r="G598" s="16">
        <v>12688.061137297887</v>
      </c>
      <c r="H598">
        <v>113.37</v>
      </c>
      <c r="I598" s="1">
        <v>440.81000000000006</v>
      </c>
      <c r="J598" s="16">
        <v>113496.15996828121</v>
      </c>
      <c r="K598" s="5">
        <v>0.18059198936102078</v>
      </c>
      <c r="L598" s="10">
        <v>237940.3854</v>
      </c>
    </row>
    <row r="599" spans="1:12" x14ac:dyDescent="0.25">
      <c r="A599">
        <v>598</v>
      </c>
      <c r="B599" s="3">
        <v>0.16573381980371921</v>
      </c>
      <c r="C599" s="3">
        <v>7.4591760882315311E-2</v>
      </c>
      <c r="D599" s="1">
        <v>62662.766585636571</v>
      </c>
      <c r="E599" s="1">
        <v>2019753</v>
      </c>
      <c r="F599" s="1">
        <v>20260469</v>
      </c>
      <c r="G599" s="16">
        <v>11254.795238198447</v>
      </c>
      <c r="H599">
        <v>41.92</v>
      </c>
      <c r="I599" s="1">
        <v>160.06</v>
      </c>
      <c r="J599" s="16">
        <v>73917.561823835014</v>
      </c>
      <c r="K599" s="5">
        <v>1.7668108282536156E-2</v>
      </c>
      <c r="L599" s="10">
        <v>20088.565299999998</v>
      </c>
    </row>
    <row r="600" spans="1:12" x14ac:dyDescent="0.25">
      <c r="A600">
        <v>599</v>
      </c>
      <c r="B600" s="3">
        <v>0.20664678654526253</v>
      </c>
      <c r="C600" s="3">
        <v>2.8372522172158517E-2</v>
      </c>
      <c r="D600" s="1">
        <v>66312.214825747054</v>
      </c>
      <c r="E600" s="1">
        <v>2485402</v>
      </c>
      <c r="F600" s="1">
        <v>16481322</v>
      </c>
      <c r="G600" s="16">
        <v>18605.541616386698</v>
      </c>
      <c r="H600">
        <v>141.54</v>
      </c>
      <c r="I600" s="1">
        <v>454.70000000000005</v>
      </c>
      <c r="J600" s="16">
        <v>84917.756442133745</v>
      </c>
      <c r="K600" s="5">
        <v>0.15455522192392382</v>
      </c>
      <c r="L600" s="10">
        <v>418666.26980000001</v>
      </c>
    </row>
    <row r="601" spans="1:12" x14ac:dyDescent="0.25">
      <c r="A601">
        <v>600</v>
      </c>
      <c r="B601" s="3">
        <v>0.21644617228552618</v>
      </c>
      <c r="C601" s="3">
        <v>6.50578261919042E-2</v>
      </c>
      <c r="D601" s="1">
        <v>171997.40236889408</v>
      </c>
      <c r="E601" s="1">
        <v>8539838</v>
      </c>
      <c r="F601" s="1">
        <v>30565120</v>
      </c>
      <c r="G601" s="16">
        <v>14774.407405732825</v>
      </c>
      <c r="H601">
        <v>96.08</v>
      </c>
      <c r="I601" s="1">
        <v>285.45999999999998</v>
      </c>
      <c r="J601" s="16">
        <v>186771.80977462692</v>
      </c>
      <c r="K601" s="5">
        <v>8.0648686730995886E-2</v>
      </c>
      <c r="L601" s="10">
        <v>169591.5209</v>
      </c>
    </row>
    <row r="602" spans="1:12" x14ac:dyDescent="0.25">
      <c r="A602">
        <v>601</v>
      </c>
      <c r="B602" s="3">
        <v>0.2117254419639378</v>
      </c>
      <c r="C602" s="3">
        <v>2.454900978775312E-2</v>
      </c>
      <c r="D602" s="1">
        <v>44298.724475148978</v>
      </c>
      <c r="E602" s="1">
        <v>1692626</v>
      </c>
      <c r="F602" s="1">
        <v>11687408</v>
      </c>
      <c r="G602" s="16">
        <v>34504.090581882556</v>
      </c>
      <c r="H602">
        <v>348.25</v>
      </c>
      <c r="I602" s="1">
        <v>900.90000000000009</v>
      </c>
      <c r="J602" s="16">
        <v>78802.815057031534</v>
      </c>
      <c r="K602" s="5">
        <v>0.17660272256084755</v>
      </c>
      <c r="L602" s="10">
        <v>510087.98609999998</v>
      </c>
    </row>
    <row r="603" spans="1:12" x14ac:dyDescent="0.25">
      <c r="A603">
        <v>602</v>
      </c>
      <c r="B603" s="3">
        <v>0.12051554564091504</v>
      </c>
      <c r="C603" s="3">
        <v>7.8739561550656062E-2</v>
      </c>
      <c r="D603" s="1">
        <v>232095.43383536613</v>
      </c>
      <c r="E603" s="1">
        <v>7260343</v>
      </c>
      <c r="F603" s="1">
        <v>29989300</v>
      </c>
      <c r="G603" s="16">
        <v>45792.54095531808</v>
      </c>
      <c r="H603">
        <v>169.42</v>
      </c>
      <c r="I603" s="1">
        <v>468.38</v>
      </c>
      <c r="J603" s="16">
        <v>277887.97479068418</v>
      </c>
      <c r="K603" s="5">
        <v>5.3822577526169348E-2</v>
      </c>
      <c r="L603" s="10">
        <v>142307.72210000001</v>
      </c>
    </row>
    <row r="604" spans="1:12" x14ac:dyDescent="0.25">
      <c r="A604">
        <v>603</v>
      </c>
      <c r="B604" s="3">
        <v>0.21020336898188197</v>
      </c>
      <c r="C604" s="3">
        <v>5.3972238119226496E-2</v>
      </c>
      <c r="D604" s="1">
        <v>207578.34882317428</v>
      </c>
      <c r="E604" s="1">
        <v>9984442</v>
      </c>
      <c r="F604" s="1">
        <v>33435261</v>
      </c>
      <c r="G604" s="16">
        <v>19353.487369911498</v>
      </c>
      <c r="H604">
        <v>151.88</v>
      </c>
      <c r="I604" s="1">
        <v>504.95000000000005</v>
      </c>
      <c r="J604" s="16">
        <v>226931.83619308576</v>
      </c>
      <c r="K604" s="5">
        <v>-4.2457574490406359E-2</v>
      </c>
      <c r="L604" s="10">
        <v>-123014.53479999999</v>
      </c>
    </row>
    <row r="605" spans="1:12" x14ac:dyDescent="0.25">
      <c r="A605">
        <v>604</v>
      </c>
      <c r="B605" s="3">
        <v>0.17061228840277584</v>
      </c>
      <c r="C605" s="3">
        <v>4.5919117645404413E-2</v>
      </c>
      <c r="D605" s="1">
        <v>386318.61382222374</v>
      </c>
      <c r="E605" s="1">
        <v>22212791</v>
      </c>
      <c r="F605" s="1">
        <v>89608069</v>
      </c>
      <c r="G605" s="16">
        <v>32157.606232005241</v>
      </c>
      <c r="H605">
        <v>179.01</v>
      </c>
      <c r="I605" s="1">
        <v>485.52</v>
      </c>
      <c r="J605" s="16">
        <v>418476.22005422896</v>
      </c>
      <c r="K605" s="5">
        <v>0.15220019392922982</v>
      </c>
      <c r="L605" s="10">
        <v>1165760.7039999999</v>
      </c>
    </row>
    <row r="606" spans="1:12" x14ac:dyDescent="0.25">
      <c r="A606">
        <v>605</v>
      </c>
      <c r="B606" s="3">
        <v>0.11100966845326103</v>
      </c>
      <c r="C606" s="3">
        <v>2.0780763626106469E-2</v>
      </c>
      <c r="D606" s="1">
        <v>149999.84558279125</v>
      </c>
      <c r="E606" s="1">
        <v>3995785</v>
      </c>
      <c r="F606" s="1">
        <v>16978417</v>
      </c>
      <c r="G606" s="16">
        <v>111011.31334426583</v>
      </c>
      <c r="H606">
        <v>428.21</v>
      </c>
      <c r="I606" s="1">
        <v>1303.98</v>
      </c>
      <c r="J606" s="16">
        <v>261011.15892705708</v>
      </c>
      <c r="K606" s="5">
        <v>0.13247182201686059</v>
      </c>
      <c r="L606" s="10">
        <v>1454583.1583</v>
      </c>
    </row>
    <row r="607" spans="1:12" x14ac:dyDescent="0.25">
      <c r="A607">
        <v>606</v>
      </c>
      <c r="B607" s="3">
        <v>0.21351065103326011</v>
      </c>
      <c r="C607" s="3">
        <v>2.0281577438834339E-2</v>
      </c>
      <c r="D607" s="1">
        <v>141073.81050707906</v>
      </c>
      <c r="E607" s="1">
        <v>5427142</v>
      </c>
      <c r="F607" s="1">
        <v>19099000</v>
      </c>
      <c r="G607" s="16">
        <v>23550.447143341771</v>
      </c>
      <c r="H607">
        <v>149.9</v>
      </c>
      <c r="I607" s="1">
        <v>381.65999999999997</v>
      </c>
      <c r="J607" s="16">
        <v>164624.25765042083</v>
      </c>
      <c r="K607" s="5">
        <v>0.21465287097813648</v>
      </c>
      <c r="L607" s="10">
        <v>1521758.5688</v>
      </c>
    </row>
    <row r="608" spans="1:12" x14ac:dyDescent="0.25">
      <c r="A608">
        <v>607</v>
      </c>
      <c r="B608" s="3">
        <v>0.18985544712379443</v>
      </c>
      <c r="C608" s="3">
        <v>7.0661561846740301E-2</v>
      </c>
      <c r="D608" s="1">
        <v>71756.678142612102</v>
      </c>
      <c r="E608" s="1">
        <v>2525672</v>
      </c>
      <c r="F608" s="1">
        <v>13913173</v>
      </c>
      <c r="G608" s="16">
        <v>9205.3680607962106</v>
      </c>
      <c r="H608">
        <v>48.96</v>
      </c>
      <c r="I608" s="1">
        <v>193.85</v>
      </c>
      <c r="J608" s="16">
        <v>80962.046203408318</v>
      </c>
      <c r="K608" s="5">
        <v>-6.4022259480562449E-2</v>
      </c>
      <c r="L608" s="10">
        <v>-41854.6731</v>
      </c>
    </row>
    <row r="609" spans="1:12" x14ac:dyDescent="0.25">
      <c r="A609">
        <v>608</v>
      </c>
      <c r="B609" s="3">
        <v>0.20801978902778434</v>
      </c>
      <c r="C609" s="3">
        <v>4.128361041000958E-2</v>
      </c>
      <c r="D609" s="1">
        <v>143065.79971595434</v>
      </c>
      <c r="E609" s="1">
        <v>6805836</v>
      </c>
      <c r="F609" s="1">
        <v>27546752</v>
      </c>
      <c r="G609" s="16">
        <v>16880.354246146384</v>
      </c>
      <c r="H609">
        <v>102.77</v>
      </c>
      <c r="I609" s="1">
        <v>367.71999999999997</v>
      </c>
      <c r="J609" s="16">
        <v>159946.15396210074</v>
      </c>
      <c r="K609" s="5">
        <v>-3.4649171355189474E-2</v>
      </c>
      <c r="L609" s="10">
        <v>-90959.006699999998</v>
      </c>
    </row>
    <row r="610" spans="1:12" x14ac:dyDescent="0.25">
      <c r="A610">
        <v>609</v>
      </c>
      <c r="B610" s="3">
        <v>0.17445551774915274</v>
      </c>
      <c r="C610" s="3">
        <v>5.2569166080661811E-2</v>
      </c>
      <c r="D610" s="1">
        <v>230312.59842163438</v>
      </c>
      <c r="E610" s="1">
        <v>9280220</v>
      </c>
      <c r="F610" s="1">
        <v>36593829</v>
      </c>
      <c r="G610" s="16">
        <v>57145.408880055795</v>
      </c>
      <c r="H610">
        <v>398.83</v>
      </c>
      <c r="I610" s="1">
        <v>1154.2</v>
      </c>
      <c r="J610" s="16">
        <v>287458.00730169017</v>
      </c>
      <c r="K610" s="5">
        <v>0.10668824317226307</v>
      </c>
      <c r="L610" s="10">
        <v>453331.6398</v>
      </c>
    </row>
    <row r="611" spans="1:12" x14ac:dyDescent="0.25">
      <c r="A611">
        <v>610</v>
      </c>
      <c r="B611" s="3">
        <v>0.15742972019031887</v>
      </c>
      <c r="C611" s="3">
        <v>6.9045541935744997E-2</v>
      </c>
      <c r="D611" s="1">
        <v>438661.92167335952</v>
      </c>
      <c r="E611" s="1">
        <v>19333125</v>
      </c>
      <c r="F611" s="1">
        <v>54546749</v>
      </c>
      <c r="G611" s="16">
        <v>18452.154717273959</v>
      </c>
      <c r="H611">
        <v>77.55</v>
      </c>
      <c r="I611" s="1">
        <v>253.19</v>
      </c>
      <c r="J611" s="16">
        <v>457114.07639063348</v>
      </c>
      <c r="K611" s="5">
        <v>2.0305993622528301E-2</v>
      </c>
      <c r="L611" s="10">
        <v>148677.6091</v>
      </c>
    </row>
    <row r="612" spans="1:12" x14ac:dyDescent="0.25">
      <c r="A612">
        <v>611</v>
      </c>
      <c r="B612" s="3">
        <v>0.17494606520559763</v>
      </c>
      <c r="C612" s="3">
        <v>6.020947870218564E-2</v>
      </c>
      <c r="D612" s="1">
        <v>93870.639670137723</v>
      </c>
      <c r="E612" s="1">
        <v>3791433</v>
      </c>
      <c r="F612" s="1">
        <v>25064631</v>
      </c>
      <c r="G612" s="16">
        <v>8771.5331283363157</v>
      </c>
      <c r="H612">
        <v>41.86</v>
      </c>
      <c r="I612" s="1">
        <v>218.25</v>
      </c>
      <c r="J612" s="16">
        <v>102642.17279847404</v>
      </c>
      <c r="K612" s="5">
        <v>-5.2955493156721135E-2</v>
      </c>
      <c r="L612" s="10">
        <v>-26524.303800000002</v>
      </c>
    </row>
    <row r="613" spans="1:12" x14ac:dyDescent="0.25">
      <c r="A613">
        <v>612</v>
      </c>
      <c r="B613" s="3">
        <v>0.15826359258423831</v>
      </c>
      <c r="C613" s="3">
        <v>4.4699367650681526E-2</v>
      </c>
      <c r="D613" s="1">
        <v>193887.53862365257</v>
      </c>
      <c r="E613" s="1">
        <v>7228489</v>
      </c>
      <c r="F613" s="1">
        <v>27579053</v>
      </c>
      <c r="G613" s="16">
        <v>20749.05283595392</v>
      </c>
      <c r="H613">
        <v>87.74</v>
      </c>
      <c r="I613" s="1">
        <v>377.09000000000003</v>
      </c>
      <c r="J613" s="16">
        <v>214636.59145960648</v>
      </c>
      <c r="K613" s="5">
        <v>9.6663405984200548E-2</v>
      </c>
      <c r="L613" s="10">
        <v>362120.69870000001</v>
      </c>
    </row>
    <row r="614" spans="1:12" x14ac:dyDescent="0.25">
      <c r="A614">
        <v>613</v>
      </c>
      <c r="B614" s="3">
        <v>0.17260289627964409</v>
      </c>
      <c r="C614" s="3">
        <v>7.3018969409940515E-2</v>
      </c>
      <c r="D614" s="1">
        <v>43855.535290396838</v>
      </c>
      <c r="E614" s="1">
        <v>1198943</v>
      </c>
      <c r="F614" s="1">
        <v>9638530</v>
      </c>
      <c r="G614" s="16">
        <v>21434.362275698983</v>
      </c>
      <c r="H614">
        <v>100.34</v>
      </c>
      <c r="I614" s="1">
        <v>295.92999999999995</v>
      </c>
      <c r="J614" s="16">
        <v>65289.897566095824</v>
      </c>
      <c r="K614" s="5">
        <v>0.13608168498438378</v>
      </c>
      <c r="L614" s="10">
        <v>104220.92969999999</v>
      </c>
    </row>
    <row r="615" spans="1:12" x14ac:dyDescent="0.25">
      <c r="A615">
        <v>614</v>
      </c>
      <c r="B615" s="3">
        <v>0.22208347706732118</v>
      </c>
      <c r="C615" s="3">
        <v>5.4076004700535973E-2</v>
      </c>
      <c r="D615" s="1">
        <v>103844.42206844194</v>
      </c>
      <c r="E615" s="1">
        <v>4128447</v>
      </c>
      <c r="F615" s="1">
        <v>18445171</v>
      </c>
      <c r="G615" s="16">
        <v>30544.718673419295</v>
      </c>
      <c r="H615">
        <v>342.9</v>
      </c>
      <c r="I615" s="1">
        <v>991.07</v>
      </c>
      <c r="J615" s="16">
        <v>134389.14074186125</v>
      </c>
      <c r="K615" s="5">
        <v>0.14026039384933828</v>
      </c>
      <c r="L615" s="10">
        <v>264360.77659999998</v>
      </c>
    </row>
    <row r="616" spans="1:12" x14ac:dyDescent="0.25">
      <c r="A616">
        <v>615</v>
      </c>
      <c r="B616" s="3">
        <v>0.10660986590493562</v>
      </c>
      <c r="C616" s="3">
        <v>2.3156044137484174E-2</v>
      </c>
      <c r="D616" s="1">
        <v>251669.95697399942</v>
      </c>
      <c r="E616" s="1">
        <v>7393826</v>
      </c>
      <c r="F616" s="1">
        <v>30459279</v>
      </c>
      <c r="G616" s="16">
        <v>71667.60779306131</v>
      </c>
      <c r="H616">
        <v>265.64999999999998</v>
      </c>
      <c r="I616" s="1">
        <v>975.18</v>
      </c>
      <c r="J616" s="16">
        <v>323337.56476706074</v>
      </c>
      <c r="K616" s="5">
        <v>-7.0181590336230622E-3</v>
      </c>
      <c r="L616" s="10">
        <v>-65118.200299999997</v>
      </c>
    </row>
    <row r="617" spans="1:12" x14ac:dyDescent="0.25">
      <c r="A617">
        <v>616</v>
      </c>
      <c r="B617" s="3">
        <v>0.1078129679320138</v>
      </c>
      <c r="C617" s="3">
        <v>4.5913348151725292E-2</v>
      </c>
      <c r="D617" s="1">
        <v>279021.19935874385</v>
      </c>
      <c r="E617" s="1">
        <v>8241702</v>
      </c>
      <c r="F617" s="1">
        <v>30286749</v>
      </c>
      <c r="G617" s="16">
        <v>122028.79720126683</v>
      </c>
      <c r="H617">
        <v>512.51</v>
      </c>
      <c r="I617" s="1">
        <v>1746.16</v>
      </c>
      <c r="J617" s="16">
        <v>401049.99656001071</v>
      </c>
      <c r="K617" s="5">
        <v>0.14286554324746426</v>
      </c>
      <c r="L617" s="10">
        <v>992784.2023</v>
      </c>
    </row>
    <row r="618" spans="1:12" x14ac:dyDescent="0.25">
      <c r="A618">
        <v>617</v>
      </c>
      <c r="B618" s="3">
        <v>0.1306513945144008</v>
      </c>
      <c r="C618" s="3">
        <v>5.1292790514104167E-2</v>
      </c>
      <c r="D618" s="1">
        <v>229717.81796178123</v>
      </c>
      <c r="E618" s="1">
        <v>6543595</v>
      </c>
      <c r="F618" s="1">
        <v>20840329</v>
      </c>
      <c r="G618" s="16">
        <v>30807.744064142305</v>
      </c>
      <c r="H618">
        <v>123.41</v>
      </c>
      <c r="I618" s="1">
        <v>549.89</v>
      </c>
      <c r="J618" s="16">
        <v>260525.56202592354</v>
      </c>
      <c r="K618" s="5">
        <v>0.16166002312176075</v>
      </c>
      <c r="L618" s="10">
        <v>627372.58059999999</v>
      </c>
    </row>
    <row r="619" spans="1:12" x14ac:dyDescent="0.25">
      <c r="A619">
        <v>618</v>
      </c>
      <c r="B619" s="3">
        <v>0.12913393234096748</v>
      </c>
      <c r="C619" s="3">
        <v>2.2929767195967711E-2</v>
      </c>
      <c r="D619" s="1">
        <v>137652.64727130698</v>
      </c>
      <c r="E619" s="1">
        <v>3900615</v>
      </c>
      <c r="F619" s="1">
        <v>21323065</v>
      </c>
      <c r="G619" s="16">
        <v>74955.703444555227</v>
      </c>
      <c r="H619">
        <v>340.64</v>
      </c>
      <c r="I619" s="1">
        <v>988.53</v>
      </c>
      <c r="J619" s="16">
        <v>212608.35071586221</v>
      </c>
      <c r="K619" s="5">
        <v>-5.3939547577971717E-2</v>
      </c>
      <c r="L619" s="10">
        <v>-431464.36369999999</v>
      </c>
    </row>
    <row r="620" spans="1:12" x14ac:dyDescent="0.25">
      <c r="A620">
        <v>619</v>
      </c>
      <c r="B620" s="3">
        <v>0.17955630587428822</v>
      </c>
      <c r="C620" s="3">
        <v>4.2296337107143034E-2</v>
      </c>
      <c r="D620" s="1">
        <v>177268.51850458761</v>
      </c>
      <c r="E620" s="1">
        <v>7322163</v>
      </c>
      <c r="F620" s="1">
        <v>27569865</v>
      </c>
      <c r="G620" s="16">
        <v>25932.452224729786</v>
      </c>
      <c r="H620">
        <v>155.85</v>
      </c>
      <c r="I620" s="1">
        <v>487.91999999999996</v>
      </c>
      <c r="J620" s="16">
        <v>203200.9707293174</v>
      </c>
      <c r="K620" s="5">
        <v>-8.0042908286200282E-2</v>
      </c>
      <c r="L620" s="10">
        <v>-275647.63140000001</v>
      </c>
    </row>
    <row r="621" spans="1:12" x14ac:dyDescent="0.25">
      <c r="A621">
        <v>620</v>
      </c>
      <c r="B621" s="3">
        <v>0.11529949687356694</v>
      </c>
      <c r="C621" s="3">
        <v>2.2618100076645862E-2</v>
      </c>
      <c r="D621" s="1">
        <v>102661.39451085817</v>
      </c>
      <c r="E621" s="1">
        <v>3136354</v>
      </c>
      <c r="F621" s="1">
        <v>26229638</v>
      </c>
      <c r="G621" s="16">
        <v>67301.944479249112</v>
      </c>
      <c r="H621">
        <v>238.45</v>
      </c>
      <c r="I621" s="1">
        <v>587.31999999999994</v>
      </c>
      <c r="J621" s="16">
        <v>169963.3389901073</v>
      </c>
      <c r="K621" s="5">
        <v>-1.6415195720919963E-2</v>
      </c>
      <c r="L621" s="10">
        <v>-58662.5386</v>
      </c>
    </row>
    <row r="622" spans="1:12" x14ac:dyDescent="0.25">
      <c r="A622">
        <v>621</v>
      </c>
      <c r="B622" s="3">
        <v>0.1725374376109326</v>
      </c>
      <c r="C622" s="3">
        <v>6.598526551599336E-2</v>
      </c>
      <c r="D622" s="1">
        <v>120280.27109982743</v>
      </c>
      <c r="E622" s="1">
        <v>3973305</v>
      </c>
      <c r="F622" s="1">
        <v>15829092</v>
      </c>
      <c r="G622" s="16">
        <v>37203.564737220331</v>
      </c>
      <c r="H622">
        <v>210.95</v>
      </c>
      <c r="I622" s="1">
        <v>578.94000000000005</v>
      </c>
      <c r="J622" s="16">
        <v>157483.83583704775</v>
      </c>
      <c r="K622" s="5">
        <v>0.17564764378607561</v>
      </c>
      <c r="L622" s="10">
        <v>288257.48259999999</v>
      </c>
    </row>
    <row r="623" spans="1:12" x14ac:dyDescent="0.25">
      <c r="A623">
        <v>622</v>
      </c>
      <c r="B623" s="3">
        <v>0.14771351048655496</v>
      </c>
      <c r="C623" s="3">
        <v>5.9697893723353754E-2</v>
      </c>
      <c r="D623" s="1">
        <v>110285.90511829667</v>
      </c>
      <c r="E623" s="1">
        <v>3334004</v>
      </c>
      <c r="F623" s="1">
        <v>18418390</v>
      </c>
      <c r="G623" s="16">
        <v>26520.323697760916</v>
      </c>
      <c r="H623">
        <v>122.11</v>
      </c>
      <c r="I623" s="1">
        <v>403.8</v>
      </c>
      <c r="J623" s="16">
        <v>136806.22881605758</v>
      </c>
      <c r="K623" s="5">
        <v>0.19622028893424054</v>
      </c>
      <c r="L623" s="10">
        <v>313268.34960000002</v>
      </c>
    </row>
    <row r="624" spans="1:12" x14ac:dyDescent="0.25">
      <c r="A624">
        <v>623</v>
      </c>
      <c r="B624" s="3">
        <v>0.15311313766192172</v>
      </c>
      <c r="C624" s="3">
        <v>5.0758703027837609E-2</v>
      </c>
      <c r="D624" s="1">
        <v>105736.51127547926</v>
      </c>
      <c r="E624" s="1">
        <v>3257998</v>
      </c>
      <c r="F624" s="1">
        <v>19355284</v>
      </c>
      <c r="G624" s="16">
        <v>54962.767155208261</v>
      </c>
      <c r="H624">
        <v>312.2</v>
      </c>
      <c r="I624" s="1">
        <v>867.71</v>
      </c>
      <c r="J624" s="16">
        <v>160699.27843068753</v>
      </c>
      <c r="K624" s="5">
        <v>3.3614651648461127E-2</v>
      </c>
      <c r="L624" s="10">
        <v>91291.437699999995</v>
      </c>
    </row>
    <row r="625" spans="1:12" x14ac:dyDescent="0.25">
      <c r="A625">
        <v>624</v>
      </c>
      <c r="B625" s="3">
        <v>0.10939729626335316</v>
      </c>
      <c r="C625" s="3">
        <v>4.721125927861157E-2</v>
      </c>
      <c r="D625" s="1">
        <v>279440.74979233812</v>
      </c>
      <c r="E625" s="1">
        <v>8312971</v>
      </c>
      <c r="F625" s="1">
        <v>31432274</v>
      </c>
      <c r="G625" s="16">
        <v>34861.709113413577</v>
      </c>
      <c r="H625">
        <v>105.11</v>
      </c>
      <c r="I625" s="1">
        <v>300.71999999999997</v>
      </c>
      <c r="J625" s="16">
        <v>314302.4589057517</v>
      </c>
      <c r="K625" s="5">
        <v>1.2144592625074023E-2</v>
      </c>
      <c r="L625" s="10">
        <v>63618.472300000001</v>
      </c>
    </row>
    <row r="626" spans="1:12" x14ac:dyDescent="0.25">
      <c r="A626">
        <v>625</v>
      </c>
      <c r="B626" s="3">
        <v>0.11759233124676277</v>
      </c>
      <c r="C626" s="3">
        <v>6.5069327510146296E-2</v>
      </c>
      <c r="D626" s="1">
        <v>169226.36478415754</v>
      </c>
      <c r="E626" s="1">
        <v>4609593</v>
      </c>
      <c r="F626" s="1">
        <v>16540981</v>
      </c>
      <c r="G626" s="16">
        <v>16197.685417880382</v>
      </c>
      <c r="H626">
        <v>51.72</v>
      </c>
      <c r="I626" s="1">
        <v>208.09</v>
      </c>
      <c r="J626" s="16">
        <v>185424.05020203794</v>
      </c>
      <c r="K626" s="5">
        <v>5.1060211640295027E-2</v>
      </c>
      <c r="L626" s="10">
        <v>100654.0741</v>
      </c>
    </row>
    <row r="627" spans="1:12" x14ac:dyDescent="0.25">
      <c r="A627">
        <v>626</v>
      </c>
      <c r="B627" s="3">
        <v>0.16470906008758787</v>
      </c>
      <c r="C627" s="3">
        <v>7.3809596275705616E-2</v>
      </c>
      <c r="D627" s="1">
        <v>93573.447493000436</v>
      </c>
      <c r="E627" s="1">
        <v>2510039</v>
      </c>
      <c r="F627" s="1">
        <v>10096046</v>
      </c>
      <c r="G627" s="16">
        <v>18804.822647323901</v>
      </c>
      <c r="H627">
        <v>83.47</v>
      </c>
      <c r="I627" s="1">
        <v>275.78999999999996</v>
      </c>
      <c r="J627" s="16">
        <v>112378.27014032434</v>
      </c>
      <c r="K627" s="5">
        <v>3.098013062524909E-2</v>
      </c>
      <c r="L627" s="10">
        <v>38301.192499999997</v>
      </c>
    </row>
    <row r="628" spans="1:12" x14ac:dyDescent="0.25">
      <c r="A628">
        <v>627</v>
      </c>
      <c r="B628" s="3">
        <v>0.2377567668811211</v>
      </c>
      <c r="C628" s="3">
        <v>5.5060067599367393E-2</v>
      </c>
      <c r="D628" s="1">
        <v>131633.23179887424</v>
      </c>
      <c r="E628" s="1">
        <v>7297839</v>
      </c>
      <c r="F628" s="1">
        <v>29694801</v>
      </c>
      <c r="G628" s="16">
        <v>23019.711099817036</v>
      </c>
      <c r="H628">
        <v>231.65</v>
      </c>
      <c r="I628" s="1">
        <v>603.14</v>
      </c>
      <c r="J628" s="16">
        <v>154652.94289869128</v>
      </c>
      <c r="K628" s="5">
        <v>0.17850214908788908</v>
      </c>
      <c r="L628" s="10">
        <v>364216.52879999997</v>
      </c>
    </row>
    <row r="629" spans="1:12" x14ac:dyDescent="0.25">
      <c r="A629">
        <v>628</v>
      </c>
      <c r="B629" s="3">
        <v>0.2231424253857964</v>
      </c>
      <c r="C629" s="3">
        <v>6.507320563199033E-2</v>
      </c>
      <c r="D629" s="1">
        <v>235348.77807056365</v>
      </c>
      <c r="E629" s="1">
        <v>12093413</v>
      </c>
      <c r="F629" s="1">
        <v>33520648</v>
      </c>
      <c r="G629" s="16">
        <v>9125.408017686319</v>
      </c>
      <c r="H629">
        <v>62.32</v>
      </c>
      <c r="I629" s="1">
        <v>263.57</v>
      </c>
      <c r="J629" s="16">
        <v>244474.18608824996</v>
      </c>
      <c r="K629" s="5">
        <v>0.22327066042249796</v>
      </c>
      <c r="L629" s="10">
        <v>552394.61320000002</v>
      </c>
    </row>
    <row r="630" spans="1:12" x14ac:dyDescent="0.25">
      <c r="A630">
        <v>629</v>
      </c>
      <c r="B630" s="3">
        <v>0.17773288245158117</v>
      </c>
      <c r="C630" s="3">
        <v>6.3141224278338973E-2</v>
      </c>
      <c r="D630" s="1">
        <v>222697.47920162033</v>
      </c>
      <c r="E630" s="1">
        <v>9117300</v>
      </c>
      <c r="F630" s="1">
        <v>41150785</v>
      </c>
      <c r="G630" s="16">
        <v>45703.424147538455</v>
      </c>
      <c r="H630">
        <v>270.5</v>
      </c>
      <c r="I630" s="1">
        <v>762.26</v>
      </c>
      <c r="J630" s="16">
        <v>268400.90334915876</v>
      </c>
      <c r="K630" s="5">
        <v>7.8178754779491808E-2</v>
      </c>
      <c r="L630" s="10">
        <v>269315.17119999998</v>
      </c>
    </row>
    <row r="631" spans="1:12" x14ac:dyDescent="0.25">
      <c r="A631">
        <v>630</v>
      </c>
      <c r="B631" s="3">
        <v>0.20056664454796466</v>
      </c>
      <c r="C631" s="3">
        <v>2.9258758624568691E-2</v>
      </c>
      <c r="D631" s="1">
        <v>79405.392404553437</v>
      </c>
      <c r="E631" s="1">
        <v>2908743</v>
      </c>
      <c r="F631" s="1">
        <v>12055190</v>
      </c>
      <c r="G631" s="16">
        <v>10853.493805503676</v>
      </c>
      <c r="H631">
        <v>62.57</v>
      </c>
      <c r="I631" s="1">
        <v>252.04000000000002</v>
      </c>
      <c r="J631" s="16">
        <v>90258.886210057113</v>
      </c>
      <c r="K631" s="5">
        <v>0.17103847302555525</v>
      </c>
      <c r="L631" s="10">
        <v>446180.45890000003</v>
      </c>
    </row>
    <row r="632" spans="1:12" x14ac:dyDescent="0.25">
      <c r="A632">
        <v>631</v>
      </c>
      <c r="B632" s="3">
        <v>0.1659848988265285</v>
      </c>
      <c r="C632" s="3">
        <v>6.2063363125819324E-2</v>
      </c>
      <c r="D632" s="1">
        <v>247353.34961490659</v>
      </c>
      <c r="E632" s="1">
        <v>9568079</v>
      </c>
      <c r="F632" s="1">
        <v>39267149</v>
      </c>
      <c r="G632" s="16">
        <v>28597.173840494921</v>
      </c>
      <c r="H632">
        <v>153.34</v>
      </c>
      <c r="I632" s="1">
        <v>440.37</v>
      </c>
      <c r="J632" s="16">
        <v>275950.52345540153</v>
      </c>
      <c r="K632" s="5">
        <v>0.11671102399178826</v>
      </c>
      <c r="L632" s="10">
        <v>377998.79249999998</v>
      </c>
    </row>
    <row r="633" spans="1:12" x14ac:dyDescent="0.25">
      <c r="A633">
        <v>632</v>
      </c>
      <c r="B633" s="3">
        <v>0.21677627953730272</v>
      </c>
      <c r="C633" s="3">
        <v>5.8549255460210864E-2</v>
      </c>
      <c r="D633" s="1">
        <v>74603.850937562675</v>
      </c>
      <c r="E633" s="1">
        <v>2906071</v>
      </c>
      <c r="F633" s="1">
        <v>18297026</v>
      </c>
      <c r="G633" s="16">
        <v>35388.591318365034</v>
      </c>
      <c r="H633">
        <v>294.77999999999997</v>
      </c>
      <c r="I633" s="1">
        <v>663.26</v>
      </c>
      <c r="J633" s="16">
        <v>109992.44225592772</v>
      </c>
      <c r="K633" s="5">
        <v>0.1542626303838398</v>
      </c>
      <c r="L633" s="10">
        <v>229448.39379999999</v>
      </c>
    </row>
    <row r="634" spans="1:12" x14ac:dyDescent="0.25">
      <c r="A634">
        <v>633</v>
      </c>
      <c r="B634" s="3">
        <v>0.16633257039473978</v>
      </c>
      <c r="C634" s="3">
        <v>3.734430878335835E-2</v>
      </c>
      <c r="D634" s="1">
        <v>39298.312001414786</v>
      </c>
      <c r="E634" s="1">
        <v>1058258</v>
      </c>
      <c r="F634" s="1">
        <v>9678777</v>
      </c>
      <c r="G634" s="16">
        <v>20755.854564603356</v>
      </c>
      <c r="H634">
        <v>111.61</v>
      </c>
      <c r="I634" s="1">
        <v>457.55</v>
      </c>
      <c r="J634" s="16">
        <v>60054.166566018146</v>
      </c>
      <c r="K634" s="5">
        <v>0.12211283834945658</v>
      </c>
      <c r="L634" s="10">
        <v>182835.90919999999</v>
      </c>
    </row>
    <row r="635" spans="1:12" x14ac:dyDescent="0.25">
      <c r="A635">
        <v>634</v>
      </c>
      <c r="B635" s="3">
        <v>0.15381717538968415</v>
      </c>
      <c r="C635" s="3">
        <v>4.6216316655195572E-2</v>
      </c>
      <c r="D635" s="1">
        <v>199861.70012725727</v>
      </c>
      <c r="E635" s="1">
        <v>7295843</v>
      </c>
      <c r="F635" s="1">
        <v>31353957</v>
      </c>
      <c r="G635" s="16">
        <v>24585.221040969493</v>
      </c>
      <c r="H635">
        <v>119.12</v>
      </c>
      <c r="I635" s="1">
        <v>440.71</v>
      </c>
      <c r="J635" s="16">
        <v>224446.92116822675</v>
      </c>
      <c r="K635" s="5">
        <v>8.5780886240807513E-2</v>
      </c>
      <c r="L635" s="10">
        <v>362256.20439999999</v>
      </c>
    </row>
    <row r="636" spans="1:12" x14ac:dyDescent="0.25">
      <c r="A636">
        <v>635</v>
      </c>
      <c r="B636" s="3">
        <v>0.19262277832028396</v>
      </c>
      <c r="C636" s="3">
        <v>6.443576739825678E-2</v>
      </c>
      <c r="D636" s="1">
        <v>138935.51866552612</v>
      </c>
      <c r="E636" s="1">
        <v>4940678</v>
      </c>
      <c r="F636" s="1">
        <v>17207965</v>
      </c>
      <c r="G636" s="16">
        <v>15385.308562011211</v>
      </c>
      <c r="H636">
        <v>83.51</v>
      </c>
      <c r="I636" s="1">
        <v>247.94</v>
      </c>
      <c r="J636" s="16">
        <v>154320.82722753735</v>
      </c>
      <c r="K636" s="5">
        <v>0.17431351440322387</v>
      </c>
      <c r="L636" s="10">
        <v>287575.74560000002</v>
      </c>
    </row>
    <row r="637" spans="1:12" x14ac:dyDescent="0.25">
      <c r="A637">
        <v>636</v>
      </c>
      <c r="B637" s="3">
        <v>0.23870506597317681</v>
      </c>
      <c r="C637" s="3">
        <v>4.2541949998066445E-2</v>
      </c>
      <c r="D637" s="1">
        <v>161437.98359578624</v>
      </c>
      <c r="E637" s="1">
        <v>8994908</v>
      </c>
      <c r="F637" s="1">
        <v>25587526</v>
      </c>
      <c r="G637" s="16">
        <v>9962.7865246123129</v>
      </c>
      <c r="H637">
        <v>77.02</v>
      </c>
      <c r="I637" s="1">
        <v>313.33999999999997</v>
      </c>
      <c r="J637" s="16">
        <v>171400.77012039855</v>
      </c>
      <c r="K637" s="5">
        <v>-3.0655286540231117E-2</v>
      </c>
      <c r="L637" s="10">
        <v>-84675.496499999994</v>
      </c>
    </row>
    <row r="638" spans="1:12" x14ac:dyDescent="0.25">
      <c r="A638">
        <v>637</v>
      </c>
      <c r="B638" s="3">
        <v>0.12471806851725591</v>
      </c>
      <c r="C638" s="3">
        <v>3.2600836334031949E-2</v>
      </c>
      <c r="D638" s="1">
        <v>83726.257962324744</v>
      </c>
      <c r="E638" s="1">
        <v>2336796</v>
      </c>
      <c r="F638" s="1">
        <v>16111564</v>
      </c>
      <c r="G638" s="16">
        <v>19031.018688301603</v>
      </c>
      <c r="H638">
        <v>63.62</v>
      </c>
      <c r="I638" s="1">
        <v>276.86999999999995</v>
      </c>
      <c r="J638" s="16">
        <v>102757.27665062634</v>
      </c>
      <c r="K638" s="5">
        <v>3.9178807541317841E-2</v>
      </c>
      <c r="L638" s="10">
        <v>125505.7439</v>
      </c>
    </row>
    <row r="639" spans="1:12" x14ac:dyDescent="0.25">
      <c r="A639">
        <v>638</v>
      </c>
      <c r="B639" s="3">
        <v>0.18282907262788067</v>
      </c>
      <c r="C639" s="3">
        <v>7.3335084532968636E-2</v>
      </c>
      <c r="D639" s="1">
        <v>241875.27543540389</v>
      </c>
      <c r="E639" s="1">
        <v>10151793</v>
      </c>
      <c r="F639" s="1">
        <v>38485099</v>
      </c>
      <c r="G639" s="16">
        <v>25401.515544088616</v>
      </c>
      <c r="H639">
        <v>157.16</v>
      </c>
      <c r="I639" s="1">
        <v>538.63</v>
      </c>
      <c r="J639" s="16">
        <v>267276.79097949248</v>
      </c>
      <c r="K639" s="5">
        <v>0.18313144484525212</v>
      </c>
      <c r="L639" s="10">
        <v>431390.12170000002</v>
      </c>
    </row>
    <row r="640" spans="1:12" x14ac:dyDescent="0.25">
      <c r="A640">
        <v>639</v>
      </c>
      <c r="B640" s="3">
        <v>0.23477634553242971</v>
      </c>
      <c r="C640" s="3">
        <v>5.1524745900994498E-2</v>
      </c>
      <c r="D640" s="1">
        <v>57733.071872415887</v>
      </c>
      <c r="E640" s="1">
        <v>3151189</v>
      </c>
      <c r="F640" s="1">
        <v>22635460</v>
      </c>
      <c r="G640" s="16">
        <v>22067.135333273349</v>
      </c>
      <c r="H640">
        <v>282.83999999999997</v>
      </c>
      <c r="I640" s="1">
        <v>854.17000000000007</v>
      </c>
      <c r="J640" s="16">
        <v>79800.207205689236</v>
      </c>
      <c r="K640" s="5">
        <v>-4.3374426751694291E-2</v>
      </c>
      <c r="L640" s="10">
        <v>-18626.584200000001</v>
      </c>
    </row>
    <row r="641" spans="1:12" x14ac:dyDescent="0.25">
      <c r="A641">
        <v>640</v>
      </c>
      <c r="B641" s="3">
        <v>0.22827988646161509</v>
      </c>
      <c r="C641" s="3">
        <v>2.3973226638481816E-2</v>
      </c>
      <c r="D641" s="1">
        <v>85579.943481591326</v>
      </c>
      <c r="E641" s="1">
        <v>4515804</v>
      </c>
      <c r="F641" s="1">
        <v>30097613</v>
      </c>
      <c r="G641" s="16">
        <v>14800.206911347481</v>
      </c>
      <c r="H641">
        <v>105.31</v>
      </c>
      <c r="I641" s="1">
        <v>327.04999999999995</v>
      </c>
      <c r="J641" s="16">
        <v>100380.15039293881</v>
      </c>
      <c r="K641" s="5">
        <v>3.4570406423364022E-2</v>
      </c>
      <c r="L641" s="10">
        <v>160443.3204</v>
      </c>
    </row>
    <row r="642" spans="1:12" x14ac:dyDescent="0.25">
      <c r="A642">
        <v>641</v>
      </c>
      <c r="B642" s="3">
        <v>0.15766510415923798</v>
      </c>
      <c r="C642" s="3">
        <v>4.6605585277017442E-2</v>
      </c>
      <c r="D642" s="1">
        <v>255680.50841500988</v>
      </c>
      <c r="E642" s="1">
        <v>9505201</v>
      </c>
      <c r="F642" s="1">
        <v>38381749</v>
      </c>
      <c r="G642" s="16">
        <v>27874.859963691721</v>
      </c>
      <c r="H642">
        <v>139.38</v>
      </c>
      <c r="I642" s="1">
        <v>508.12</v>
      </c>
      <c r="J642" s="16">
        <v>283555.36837870162</v>
      </c>
      <c r="K642" s="5">
        <v>0.17409650418958708</v>
      </c>
      <c r="L642" s="10">
        <v>829297.68050000002</v>
      </c>
    </row>
    <row r="643" spans="1:12" x14ac:dyDescent="0.25">
      <c r="A643">
        <v>642</v>
      </c>
      <c r="B643" s="3">
        <v>0.2205901393691449</v>
      </c>
      <c r="C643" s="3">
        <v>6.6223933818749414E-2</v>
      </c>
      <c r="D643" s="1">
        <v>229631.57469700836</v>
      </c>
      <c r="E643" s="1">
        <v>14941876</v>
      </c>
      <c r="F643" s="1">
        <v>46119782</v>
      </c>
      <c r="G643" s="16">
        <v>17993.77677006906</v>
      </c>
      <c r="H643">
        <v>120.77</v>
      </c>
      <c r="I643" s="1">
        <v>313.45</v>
      </c>
      <c r="J643" s="16">
        <v>247625.35146707742</v>
      </c>
      <c r="K643" s="5">
        <v>0.21823860335930556</v>
      </c>
      <c r="L643" s="10">
        <v>561530.74750000006</v>
      </c>
    </row>
    <row r="644" spans="1:12" x14ac:dyDescent="0.25">
      <c r="A644">
        <v>643</v>
      </c>
      <c r="B644" s="3">
        <v>0.13406237802084092</v>
      </c>
      <c r="C644" s="3">
        <v>7.2277337175502512E-2</v>
      </c>
      <c r="D644" s="1">
        <v>105265.24066685649</v>
      </c>
      <c r="E644" s="1">
        <v>3503818</v>
      </c>
      <c r="F644" s="1">
        <v>22276104</v>
      </c>
      <c r="G644" s="16">
        <v>51153.973295412623</v>
      </c>
      <c r="H644">
        <v>210.7</v>
      </c>
      <c r="I644" s="1">
        <v>539.41</v>
      </c>
      <c r="J644" s="16">
        <v>156419.21396226913</v>
      </c>
      <c r="K644" s="5">
        <v>0.21235760599041226</v>
      </c>
      <c r="L644" s="10">
        <v>320502.39899999998</v>
      </c>
    </row>
    <row r="645" spans="1:12" x14ac:dyDescent="0.25">
      <c r="A645">
        <v>644</v>
      </c>
      <c r="B645" s="3">
        <v>0.22394526468466286</v>
      </c>
      <c r="C645" s="3">
        <v>6.6644441618111477E-2</v>
      </c>
      <c r="D645" s="1">
        <v>59107.211334289335</v>
      </c>
      <c r="E645" s="1">
        <v>3049821</v>
      </c>
      <c r="F645" s="1">
        <v>24513196</v>
      </c>
      <c r="G645" s="16">
        <v>8699.3462720185726</v>
      </c>
      <c r="H645">
        <v>59.96</v>
      </c>
      <c r="I645" s="1">
        <v>211.16</v>
      </c>
      <c r="J645" s="16">
        <v>67806.557606307906</v>
      </c>
      <c r="K645" s="5">
        <v>0.19243246888851834</v>
      </c>
      <c r="L645" s="10">
        <v>191866.45300000001</v>
      </c>
    </row>
    <row r="646" spans="1:12" x14ac:dyDescent="0.25">
      <c r="A646">
        <v>645</v>
      </c>
      <c r="B646" s="3">
        <v>0.14090569045864151</v>
      </c>
      <c r="C646" s="3">
        <v>2.7210568108303072E-2</v>
      </c>
      <c r="D646" s="1">
        <v>41199.317898305548</v>
      </c>
      <c r="E646" s="1">
        <v>1216104</v>
      </c>
      <c r="F646" s="1">
        <v>10874334</v>
      </c>
      <c r="G646" s="16">
        <v>24986.176988423922</v>
      </c>
      <c r="H646">
        <v>93.47</v>
      </c>
      <c r="I646" s="1">
        <v>359.28</v>
      </c>
      <c r="J646" s="16">
        <v>66185.494886729473</v>
      </c>
      <c r="K646" s="5">
        <v>0.15241959917256584</v>
      </c>
      <c r="L646" s="10">
        <v>344999.76449999999</v>
      </c>
    </row>
    <row r="647" spans="1:12" x14ac:dyDescent="0.25">
      <c r="A647">
        <v>646</v>
      </c>
      <c r="B647" s="3">
        <v>0.17212866937363569</v>
      </c>
      <c r="C647" s="3">
        <v>5.3390322785635574E-2</v>
      </c>
      <c r="D647" s="1">
        <v>336511.60172606679</v>
      </c>
      <c r="E647" s="1">
        <v>16195286</v>
      </c>
      <c r="F647" s="1">
        <v>60777885</v>
      </c>
      <c r="G647" s="16">
        <v>24295.97066322992</v>
      </c>
      <c r="H647">
        <v>113.46</v>
      </c>
      <c r="I647" s="1">
        <v>346.41</v>
      </c>
      <c r="J647" s="16">
        <v>360807.57238929672</v>
      </c>
      <c r="K647" s="5">
        <v>8.4718990740698913E-2</v>
      </c>
      <c r="L647" s="10">
        <v>427176.91970000003</v>
      </c>
    </row>
    <row r="648" spans="1:12" x14ac:dyDescent="0.25">
      <c r="A648">
        <v>647</v>
      </c>
      <c r="B648" s="3">
        <v>0.24071370484651231</v>
      </c>
      <c r="C648" s="3">
        <v>5.8684591270592196E-2</v>
      </c>
      <c r="D648" s="1">
        <v>180171.1279640866</v>
      </c>
      <c r="E648" s="1">
        <v>13361658</v>
      </c>
      <c r="F648" s="1">
        <v>54693610</v>
      </c>
      <c r="G648" s="16">
        <v>7003.6832365144228</v>
      </c>
      <c r="H648">
        <v>55.02</v>
      </c>
      <c r="I648" s="1">
        <v>217.89000000000001</v>
      </c>
      <c r="J648" s="16">
        <v>187174.81120060102</v>
      </c>
      <c r="K648" s="5">
        <v>0.21083959088652995</v>
      </c>
      <c r="L648" s="10">
        <v>513275.94199999998</v>
      </c>
    </row>
    <row r="649" spans="1:12" x14ac:dyDescent="0.25">
      <c r="A649">
        <v>648</v>
      </c>
      <c r="B649" s="3">
        <v>0.22398202324460653</v>
      </c>
      <c r="C649" s="3">
        <v>5.1315648535404837E-2</v>
      </c>
      <c r="D649" s="1">
        <v>172167.03468450005</v>
      </c>
      <c r="E649" s="1">
        <v>11449693</v>
      </c>
      <c r="F649" s="1">
        <v>53450086</v>
      </c>
      <c r="G649" s="16">
        <v>27488.391227043932</v>
      </c>
      <c r="H649">
        <v>244.13</v>
      </c>
      <c r="I649" s="1">
        <v>702.68999999999994</v>
      </c>
      <c r="J649" s="16">
        <v>199655.42591154398</v>
      </c>
      <c r="K649" s="5">
        <v>4.698369460057944E-2</v>
      </c>
      <c r="L649" s="10">
        <v>214325.7427</v>
      </c>
    </row>
    <row r="650" spans="1:12" x14ac:dyDescent="0.25">
      <c r="A650">
        <v>649</v>
      </c>
      <c r="B650" s="3">
        <v>0.15886264108200135</v>
      </c>
      <c r="C650" s="3">
        <v>7.7521351391770896E-2</v>
      </c>
      <c r="D650" s="1">
        <v>163746.05355580256</v>
      </c>
      <c r="E650" s="1">
        <v>6122176</v>
      </c>
      <c r="F650" s="1">
        <v>31510713</v>
      </c>
      <c r="G650" s="16">
        <v>16320.040795493351</v>
      </c>
      <c r="H650">
        <v>69.260000000000005</v>
      </c>
      <c r="I650" s="1">
        <v>279.58000000000004</v>
      </c>
      <c r="J650" s="16">
        <v>180066.09435129591</v>
      </c>
      <c r="K650" s="5">
        <v>0.22428470097050107</v>
      </c>
      <c r="L650" s="10">
        <v>351020.02179999999</v>
      </c>
    </row>
    <row r="651" spans="1:12" x14ac:dyDescent="0.25">
      <c r="A651">
        <v>650</v>
      </c>
      <c r="B651" s="3">
        <v>0.21161033347085806</v>
      </c>
      <c r="C651" s="3">
        <v>2.5159188181727545E-2</v>
      </c>
      <c r="D651" s="1">
        <v>115019.86280804206</v>
      </c>
      <c r="E651" s="1">
        <v>5572012</v>
      </c>
      <c r="F651" s="1">
        <v>29714383</v>
      </c>
      <c r="G651" s="16">
        <v>17037.37281292933</v>
      </c>
      <c r="H651">
        <v>135.51</v>
      </c>
      <c r="I651" s="1">
        <v>513.44000000000005</v>
      </c>
      <c r="J651" s="16">
        <v>132057.23562097139</v>
      </c>
      <c r="K651" s="5">
        <v>0.19376612406048321</v>
      </c>
      <c r="L651" s="10">
        <v>903121.24860000005</v>
      </c>
    </row>
    <row r="652" spans="1:12" x14ac:dyDescent="0.25">
      <c r="A652">
        <v>651</v>
      </c>
      <c r="B652" s="3">
        <v>0.18936591347119877</v>
      </c>
      <c r="C652" s="3">
        <v>6.9257230090597588E-2</v>
      </c>
      <c r="D652" s="1">
        <v>110061.40954470176</v>
      </c>
      <c r="E652" s="1">
        <v>3866904</v>
      </c>
      <c r="F652" s="1">
        <v>15991343</v>
      </c>
      <c r="G652" s="16">
        <v>18690.214667963366</v>
      </c>
      <c r="H652">
        <v>98.89</v>
      </c>
      <c r="I652" s="1">
        <v>266.23</v>
      </c>
      <c r="J652" s="16">
        <v>128751.62421266513</v>
      </c>
      <c r="K652" s="5">
        <v>0.12389319478609381</v>
      </c>
      <c r="L652" s="10">
        <v>168438.97440000001</v>
      </c>
    </row>
    <row r="653" spans="1:12" x14ac:dyDescent="0.25">
      <c r="A653">
        <v>652</v>
      </c>
      <c r="B653" s="3">
        <v>0.22819067490266193</v>
      </c>
      <c r="C653" s="3">
        <v>5.5565788373643094E-2</v>
      </c>
      <c r="D653" s="1">
        <v>67367.467483237167</v>
      </c>
      <c r="E653" s="1">
        <v>2742351</v>
      </c>
      <c r="F653" s="1">
        <v>18145862</v>
      </c>
      <c r="G653" s="16">
        <v>8471.7129404844654</v>
      </c>
      <c r="H653">
        <v>60.22</v>
      </c>
      <c r="I653" s="1">
        <v>268.51</v>
      </c>
      <c r="J653" s="16">
        <v>75839.180423721627</v>
      </c>
      <c r="K653" s="5">
        <v>0.15115809208684183</v>
      </c>
      <c r="L653" s="10">
        <v>182332.7274</v>
      </c>
    </row>
    <row r="654" spans="1:12" x14ac:dyDescent="0.25">
      <c r="A654">
        <v>653</v>
      </c>
      <c r="B654" s="3">
        <v>0.22369580309420498</v>
      </c>
      <c r="C654" s="3">
        <v>5.8499802696616685E-2</v>
      </c>
      <c r="D654" s="1">
        <v>222218.01775391662</v>
      </c>
      <c r="E654" s="1">
        <v>14751032</v>
      </c>
      <c r="F654" s="1">
        <v>50628365</v>
      </c>
      <c r="G654" s="16">
        <v>18072.493126553272</v>
      </c>
      <c r="H654">
        <v>124.1</v>
      </c>
      <c r="I654" s="1">
        <v>372.93000000000006</v>
      </c>
      <c r="J654" s="16">
        <v>240290.5108804699</v>
      </c>
      <c r="K654" s="5">
        <v>0.27465399761758735</v>
      </c>
      <c r="L654" s="10">
        <v>813692.8713</v>
      </c>
    </row>
    <row r="655" spans="1:12" x14ac:dyDescent="0.25">
      <c r="A655">
        <v>654</v>
      </c>
      <c r="B655" s="3">
        <v>0.24760877323107608</v>
      </c>
      <c r="C655" s="3">
        <v>6.4718104893681239E-2</v>
      </c>
      <c r="D655" s="1">
        <v>94036.098781883338</v>
      </c>
      <c r="E655" s="1">
        <v>5491912</v>
      </c>
      <c r="F655" s="1">
        <v>22310816</v>
      </c>
      <c r="G655" s="16">
        <v>9042.2892363139035</v>
      </c>
      <c r="H655">
        <v>56.38</v>
      </c>
      <c r="I655" s="1">
        <v>190.41000000000003</v>
      </c>
      <c r="J655" s="16">
        <v>103078.38801819723</v>
      </c>
      <c r="K655" s="5">
        <v>9.3445720638550972E-2</v>
      </c>
      <c r="L655" s="10">
        <v>126396.6854</v>
      </c>
    </row>
    <row r="656" spans="1:12" x14ac:dyDescent="0.25">
      <c r="A656">
        <v>655</v>
      </c>
      <c r="B656" s="3">
        <v>0.24141022314815033</v>
      </c>
      <c r="C656" s="3">
        <v>4.7360475068769732E-2</v>
      </c>
      <c r="D656" s="1">
        <v>178612.53989644747</v>
      </c>
      <c r="E656" s="1">
        <v>10094536</v>
      </c>
      <c r="F656" s="1">
        <v>33167799</v>
      </c>
      <c r="G656" s="16">
        <v>20604.308949672453</v>
      </c>
      <c r="H656">
        <v>214.39</v>
      </c>
      <c r="I656" s="1">
        <v>660.04</v>
      </c>
      <c r="J656" s="16">
        <v>199216.84884611992</v>
      </c>
      <c r="K656" s="5">
        <v>9.5150941772744968E-2</v>
      </c>
      <c r="L656" s="10">
        <v>286940.24320000003</v>
      </c>
    </row>
    <row r="657" spans="1:12" x14ac:dyDescent="0.25">
      <c r="A657">
        <v>656</v>
      </c>
      <c r="B657" s="3">
        <v>0.10611366717439431</v>
      </c>
      <c r="C657" s="3">
        <v>5.9536119750723732E-2</v>
      </c>
      <c r="D657" s="1">
        <v>101819.1598130014</v>
      </c>
      <c r="E657" s="1">
        <v>2667997</v>
      </c>
      <c r="F657" s="1">
        <v>14474654</v>
      </c>
      <c r="G657" s="16">
        <v>49494.935384027667</v>
      </c>
      <c r="H657">
        <v>163.15</v>
      </c>
      <c r="I657" s="1">
        <v>467.64</v>
      </c>
      <c r="J657" s="16">
        <v>151314.09519702906</v>
      </c>
      <c r="K657" s="5">
        <v>8.5057513983747363E-2</v>
      </c>
      <c r="L657" s="10">
        <v>171645.42249999999</v>
      </c>
    </row>
    <row r="658" spans="1:12" x14ac:dyDescent="0.25">
      <c r="A658">
        <v>657</v>
      </c>
      <c r="B658" s="3">
        <v>0.24194366291111744</v>
      </c>
      <c r="C658" s="3">
        <v>7.5280967787214104E-2</v>
      </c>
      <c r="D658" s="1">
        <v>97405.790145761508</v>
      </c>
      <c r="E658" s="1">
        <v>4184882</v>
      </c>
      <c r="F658" s="1">
        <v>19224107</v>
      </c>
      <c r="G658" s="16">
        <v>9515.7072534111339</v>
      </c>
      <c r="H658">
        <v>75.400000000000006</v>
      </c>
      <c r="I658" s="1">
        <v>217.34</v>
      </c>
      <c r="J658" s="16">
        <v>106921.49739917264</v>
      </c>
      <c r="K658" s="5">
        <v>0.10881018224245623</v>
      </c>
      <c r="L658" s="10">
        <v>109409.45759999999</v>
      </c>
    </row>
    <row r="659" spans="1:12" x14ac:dyDescent="0.25">
      <c r="A659">
        <v>658</v>
      </c>
      <c r="B659" s="3">
        <v>0.23366140525427981</v>
      </c>
      <c r="C659" s="3">
        <v>4.0687258270113956E-2</v>
      </c>
      <c r="D659" s="1">
        <v>116343.44409986053</v>
      </c>
      <c r="E659" s="1">
        <v>4838194</v>
      </c>
      <c r="F659" s="1">
        <v>16427045</v>
      </c>
      <c r="G659" s="16">
        <v>13541.566387197814</v>
      </c>
      <c r="H659">
        <v>131.27000000000001</v>
      </c>
      <c r="I659" s="1">
        <v>451.62</v>
      </c>
      <c r="J659" s="16">
        <v>129885.01048705835</v>
      </c>
      <c r="K659" s="5">
        <v>0.19205399552047339</v>
      </c>
      <c r="L659" s="10">
        <v>463508.56390000001</v>
      </c>
    </row>
    <row r="660" spans="1:12" x14ac:dyDescent="0.25">
      <c r="A660">
        <v>659</v>
      </c>
      <c r="B660" s="3">
        <v>0.22393010787492135</v>
      </c>
      <c r="C660" s="3">
        <v>3.998009287712654E-2</v>
      </c>
      <c r="D660" s="1">
        <v>143459.96366292256</v>
      </c>
      <c r="E660" s="1">
        <v>7401680</v>
      </c>
      <c r="F660" s="1">
        <v>27390546</v>
      </c>
      <c r="G660" s="16">
        <v>15667.307065672598</v>
      </c>
      <c r="H660">
        <v>139.02000000000001</v>
      </c>
      <c r="I660" s="1">
        <v>394.4</v>
      </c>
      <c r="J660" s="16">
        <v>159127.27072859515</v>
      </c>
      <c r="K660" s="5">
        <v>7.3015316717241624E-2</v>
      </c>
      <c r="L660" s="10">
        <v>252301.48689999999</v>
      </c>
    </row>
    <row r="661" spans="1:12" x14ac:dyDescent="0.25">
      <c r="A661">
        <v>660</v>
      </c>
      <c r="B661" s="3">
        <v>0.17674785512034011</v>
      </c>
      <c r="C661" s="3">
        <v>5.8244127423335054E-2</v>
      </c>
      <c r="D661" s="1">
        <v>75503.110946344939</v>
      </c>
      <c r="E661" s="1">
        <v>2532617</v>
      </c>
      <c r="F661" s="1">
        <v>14957443</v>
      </c>
      <c r="G661" s="16">
        <v>16816.259944240508</v>
      </c>
      <c r="H661">
        <v>81.290000000000006</v>
      </c>
      <c r="I661" s="1">
        <v>274.76</v>
      </c>
      <c r="J661" s="16">
        <v>92319.370890585444</v>
      </c>
      <c r="K661" s="5">
        <v>5.766239485005091E-2</v>
      </c>
      <c r="L661" s="10">
        <v>87900.054000000004</v>
      </c>
    </row>
    <row r="662" spans="1:12" x14ac:dyDescent="0.25">
      <c r="A662">
        <v>661</v>
      </c>
      <c r="B662" s="3">
        <v>0.16968593817742134</v>
      </c>
      <c r="C662" s="3">
        <v>4.369253532220127E-2</v>
      </c>
      <c r="D662" s="1">
        <v>166556.86914297976</v>
      </c>
      <c r="E662" s="1">
        <v>6558366</v>
      </c>
      <c r="F662" s="1">
        <v>31661401</v>
      </c>
      <c r="G662" s="16">
        <v>28313.971758142481</v>
      </c>
      <c r="H662">
        <v>156.63999999999999</v>
      </c>
      <c r="I662" s="1">
        <v>671.11</v>
      </c>
      <c r="J662" s="16">
        <v>194870.84090112225</v>
      </c>
      <c r="K662" s="5">
        <v>0.23535476728467281</v>
      </c>
      <c r="L662" s="10">
        <v>834297.679</v>
      </c>
    </row>
    <row r="663" spans="1:12" x14ac:dyDescent="0.25">
      <c r="A663">
        <v>662</v>
      </c>
      <c r="B663" s="3">
        <v>0.1622968756999649</v>
      </c>
      <c r="C663" s="3">
        <v>4.5727829972999595E-2</v>
      </c>
      <c r="D663" s="1">
        <v>154700.27960996109</v>
      </c>
      <c r="E663" s="1">
        <v>5879401</v>
      </c>
      <c r="F663" s="1">
        <v>25251831</v>
      </c>
      <c r="G663" s="16">
        <v>20359.309007244112</v>
      </c>
      <c r="H663">
        <v>88.66</v>
      </c>
      <c r="I663" s="1">
        <v>323.08000000000004</v>
      </c>
      <c r="J663" s="16">
        <v>175059.58861720521</v>
      </c>
      <c r="K663" s="5">
        <v>3.4213959760682984E-2</v>
      </c>
      <c r="L663" s="10">
        <v>120701.67260000001</v>
      </c>
    </row>
    <row r="664" spans="1:12" x14ac:dyDescent="0.25">
      <c r="A664">
        <v>663</v>
      </c>
      <c r="B664" s="3">
        <v>0.18036944766920862</v>
      </c>
      <c r="C664" s="3">
        <v>6.4647347788809609E-2</v>
      </c>
      <c r="D664" s="1">
        <v>270697.91852555308</v>
      </c>
      <c r="E664" s="1">
        <v>11225747</v>
      </c>
      <c r="F664" s="1">
        <v>39409673</v>
      </c>
      <c r="G664" s="16">
        <v>28105.640583355987</v>
      </c>
      <c r="H664">
        <v>139.26</v>
      </c>
      <c r="I664" s="1">
        <v>359.53</v>
      </c>
      <c r="J664" s="16">
        <v>298803.55910890904</v>
      </c>
      <c r="K664" s="5">
        <v>0.11750034948816905</v>
      </c>
      <c r="L664" s="10">
        <v>395629.8652</v>
      </c>
    </row>
    <row r="665" spans="1:12" x14ac:dyDescent="0.25">
      <c r="A665">
        <v>664</v>
      </c>
      <c r="B665" s="3">
        <v>0.10489218959716505</v>
      </c>
      <c r="C665" s="3">
        <v>6.2872083984834584E-2</v>
      </c>
      <c r="D665" s="1">
        <v>212739.23420175948</v>
      </c>
      <c r="E665" s="1">
        <v>6202237</v>
      </c>
      <c r="F665" s="1">
        <v>26581684</v>
      </c>
      <c r="G665" s="16">
        <v>76997.683417204113</v>
      </c>
      <c r="H665">
        <v>252.25</v>
      </c>
      <c r="I665" s="1">
        <v>731.15</v>
      </c>
      <c r="J665" s="16">
        <v>289736.91761896358</v>
      </c>
      <c r="K665" s="5">
        <v>0.12223750644992777</v>
      </c>
      <c r="L665" s="10">
        <v>380451.6557</v>
      </c>
    </row>
    <row r="666" spans="1:12" x14ac:dyDescent="0.25">
      <c r="A666">
        <v>665</v>
      </c>
      <c r="B666" s="3">
        <v>0.15676175920855895</v>
      </c>
      <c r="C666" s="3">
        <v>6.5257347315902228E-2</v>
      </c>
      <c r="D666" s="1">
        <v>113079.66506462163</v>
      </c>
      <c r="E666" s="1">
        <v>3529687</v>
      </c>
      <c r="F666" s="1">
        <v>17923309</v>
      </c>
      <c r="G666" s="16">
        <v>38031.438731692375</v>
      </c>
      <c r="H666">
        <v>188.81</v>
      </c>
      <c r="I666" s="1">
        <v>543.78</v>
      </c>
      <c r="J666" s="16">
        <v>151111.10379631401</v>
      </c>
      <c r="K666" s="5">
        <v>7.7519178297311891E-2</v>
      </c>
      <c r="L666" s="10">
        <v>138741.26819999999</v>
      </c>
    </row>
    <row r="667" spans="1:12" x14ac:dyDescent="0.25">
      <c r="A667">
        <v>666</v>
      </c>
      <c r="B667" s="3">
        <v>0.13396206241843056</v>
      </c>
      <c r="C667" s="3">
        <v>2.9590107606023128E-2</v>
      </c>
      <c r="D667" s="1">
        <v>179715.48535897912</v>
      </c>
      <c r="E667" s="1">
        <v>5979164</v>
      </c>
      <c r="F667" s="1">
        <v>28095661</v>
      </c>
      <c r="G667" s="16">
        <v>24630.887512329497</v>
      </c>
      <c r="H667">
        <v>87.9</v>
      </c>
      <c r="I667" s="1">
        <v>275.14999999999998</v>
      </c>
      <c r="J667" s="16">
        <v>204346.37287130862</v>
      </c>
      <c r="K667" s="5">
        <v>0.28019087134557003</v>
      </c>
      <c r="L667" s="10">
        <v>1630604.5205000001</v>
      </c>
    </row>
    <row r="668" spans="1:12" x14ac:dyDescent="0.25">
      <c r="A668">
        <v>667</v>
      </c>
      <c r="B668" s="3">
        <v>0.16396841331877443</v>
      </c>
      <c r="C668" s="3">
        <v>3.0710115899958201E-2</v>
      </c>
      <c r="D668" s="1">
        <v>347488.26972983871</v>
      </c>
      <c r="E668" s="1">
        <v>13312282</v>
      </c>
      <c r="F668" s="1">
        <v>39807155</v>
      </c>
      <c r="G668" s="16">
        <v>40989.852373199974</v>
      </c>
      <c r="H668">
        <v>216.22</v>
      </c>
      <c r="I668" s="1">
        <v>670.55000000000007</v>
      </c>
      <c r="J668" s="16">
        <v>388478.12210303871</v>
      </c>
      <c r="K668" s="5">
        <v>-1.0729375793716262E-2</v>
      </c>
      <c r="L668" s="10">
        <v>-76077.010599999994</v>
      </c>
    </row>
    <row r="669" spans="1:12" x14ac:dyDescent="0.25">
      <c r="A669">
        <v>668</v>
      </c>
      <c r="B669" s="3">
        <v>0.24527085573633273</v>
      </c>
      <c r="C669" s="3">
        <v>2.4492378340074075E-2</v>
      </c>
      <c r="D669" s="1">
        <v>92506.216876354039</v>
      </c>
      <c r="E669" s="1">
        <v>5335916</v>
      </c>
      <c r="F669" s="1">
        <v>32392299</v>
      </c>
      <c r="G669" s="16">
        <v>11502.218312316789</v>
      </c>
      <c r="H669">
        <v>124.1</v>
      </c>
      <c r="I669" s="1">
        <v>386.36</v>
      </c>
      <c r="J669" s="16">
        <v>104008.43518867083</v>
      </c>
      <c r="K669" s="5">
        <v>0.16961251917614167</v>
      </c>
      <c r="L669" s="10">
        <v>656877.34089999995</v>
      </c>
    </row>
    <row r="670" spans="1:12" x14ac:dyDescent="0.25">
      <c r="A670">
        <v>669</v>
      </c>
      <c r="B670" s="3">
        <v>0.17070161619152066</v>
      </c>
      <c r="C670" s="3">
        <v>4.3853714231482828E-2</v>
      </c>
      <c r="D670" s="1">
        <v>173624.5256687621</v>
      </c>
      <c r="E670" s="1">
        <v>6870228</v>
      </c>
      <c r="F670" s="1">
        <v>35788548</v>
      </c>
      <c r="G670" s="16">
        <v>30652.77864277604</v>
      </c>
      <c r="H670">
        <v>171.19</v>
      </c>
      <c r="I670" s="1">
        <v>517.98</v>
      </c>
      <c r="J670" s="16">
        <v>204277.30431153814</v>
      </c>
      <c r="K670" s="5">
        <v>9.0373531400117113E-2</v>
      </c>
      <c r="L670" s="10">
        <v>315542.02919999999</v>
      </c>
    </row>
    <row r="671" spans="1:12" x14ac:dyDescent="0.25">
      <c r="A671">
        <v>670</v>
      </c>
      <c r="B671" s="3">
        <v>0.20197253331340698</v>
      </c>
      <c r="C671" s="3">
        <v>6.0264495087678546E-2</v>
      </c>
      <c r="D671" s="1">
        <v>126217.12238806297</v>
      </c>
      <c r="E671" s="1">
        <v>4648010</v>
      </c>
      <c r="F671" s="1">
        <v>17383047</v>
      </c>
      <c r="G671" s="16">
        <v>38989.225839067025</v>
      </c>
      <c r="H671">
        <v>356.32</v>
      </c>
      <c r="I671" s="1">
        <v>1174.4099999999999</v>
      </c>
      <c r="J671" s="16">
        <v>165206.34822712999</v>
      </c>
      <c r="K671" s="5">
        <v>0.23730474433696597</v>
      </c>
      <c r="L671" s="10">
        <v>453620.90059999999</v>
      </c>
    </row>
    <row r="672" spans="1:12" x14ac:dyDescent="0.25">
      <c r="A672">
        <v>671</v>
      </c>
      <c r="B672" s="3">
        <v>0.20421821695889339</v>
      </c>
      <c r="C672" s="3">
        <v>5.0126851490205154E-2</v>
      </c>
      <c r="D672" s="1">
        <v>160395.1699453202</v>
      </c>
      <c r="E672" s="1">
        <v>7485452</v>
      </c>
      <c r="F672" s="1">
        <v>29227552</v>
      </c>
      <c r="G672" s="16">
        <v>18710.006882636779</v>
      </c>
      <c r="H672">
        <v>111.04</v>
      </c>
      <c r="I672" s="1">
        <v>364.3</v>
      </c>
      <c r="J672" s="16">
        <v>179105.17682795698</v>
      </c>
      <c r="K672" s="5">
        <v>1.0574521474783258E-2</v>
      </c>
      <c r="L672" s="10">
        <v>76428.238200000007</v>
      </c>
    </row>
    <row r="673" spans="1:12" x14ac:dyDescent="0.25">
      <c r="A673">
        <v>672</v>
      </c>
      <c r="B673" s="3">
        <v>0.24447940500401844</v>
      </c>
      <c r="C673" s="3">
        <v>6.7195919681044908E-2</v>
      </c>
      <c r="D673" s="1">
        <v>90860.331537848891</v>
      </c>
      <c r="E673" s="1">
        <v>3943108</v>
      </c>
      <c r="F673" s="1">
        <v>19798065</v>
      </c>
      <c r="G673" s="16">
        <v>26124.985136899391</v>
      </c>
      <c r="H673">
        <v>370.44</v>
      </c>
      <c r="I673" s="1">
        <v>1019.1200000000001</v>
      </c>
      <c r="J673" s="16">
        <v>116985.31667474829</v>
      </c>
      <c r="K673" s="5">
        <v>0.17083848704178523</v>
      </c>
      <c r="L673" s="10">
        <v>207571.12760000001</v>
      </c>
    </row>
    <row r="674" spans="1:12" x14ac:dyDescent="0.25">
      <c r="A674">
        <v>673</v>
      </c>
      <c r="B674" s="3">
        <v>0.14445480091406696</v>
      </c>
      <c r="C674" s="3">
        <v>5.3996417560942644E-2</v>
      </c>
      <c r="D674" s="1">
        <v>107483.28413051853</v>
      </c>
      <c r="E674" s="1">
        <v>3212284</v>
      </c>
      <c r="F674" s="1">
        <v>13376658</v>
      </c>
      <c r="G674" s="16">
        <v>9588.8355924754724</v>
      </c>
      <c r="H674">
        <v>36.79</v>
      </c>
      <c r="I674" s="1">
        <v>202.95999999999998</v>
      </c>
      <c r="J674" s="16">
        <v>117072.119722994</v>
      </c>
      <c r="K674" s="5">
        <v>4.9204635627772685E-2</v>
      </c>
      <c r="L674" s="10">
        <v>85982.518500000006</v>
      </c>
    </row>
    <row r="675" spans="1:12" x14ac:dyDescent="0.25">
      <c r="A675">
        <v>674</v>
      </c>
      <c r="B675" s="3">
        <v>0.14678616770917438</v>
      </c>
      <c r="C675" s="3">
        <v>4.7297134531868928E-2</v>
      </c>
      <c r="D675" s="1">
        <v>288263.75816551485</v>
      </c>
      <c r="E675" s="1">
        <v>11931737</v>
      </c>
      <c r="F675" s="1">
        <v>44887183</v>
      </c>
      <c r="G675" s="16">
        <v>16743.527753192488</v>
      </c>
      <c r="H675">
        <v>65.290000000000006</v>
      </c>
      <c r="I675" s="1">
        <v>277.22999999999996</v>
      </c>
      <c r="J675" s="16">
        <v>305007.28591870732</v>
      </c>
      <c r="K675" s="5">
        <v>9.4700040606539831E-2</v>
      </c>
      <c r="L675" s="10">
        <v>470516.9571</v>
      </c>
    </row>
    <row r="676" spans="1:12" x14ac:dyDescent="0.25">
      <c r="A676">
        <v>675</v>
      </c>
      <c r="B676" s="3">
        <v>0.10278139583510455</v>
      </c>
      <c r="C676" s="3">
        <v>5.0232662239473133E-2</v>
      </c>
      <c r="D676" s="1">
        <v>430113.86374921061</v>
      </c>
      <c r="E676" s="1">
        <v>13845065</v>
      </c>
      <c r="F676" s="1">
        <v>70198418</v>
      </c>
      <c r="G676" s="16">
        <v>22843.365314215735</v>
      </c>
      <c r="H676">
        <v>65.84</v>
      </c>
      <c r="I676" s="1">
        <v>208.98</v>
      </c>
      <c r="J676" s="16">
        <v>452957.22906342632</v>
      </c>
      <c r="K676" s="5">
        <v>0.28118465875512988</v>
      </c>
      <c r="L676" s="10">
        <v>1947675.541</v>
      </c>
    </row>
    <row r="677" spans="1:12" x14ac:dyDescent="0.25">
      <c r="A677">
        <v>676</v>
      </c>
      <c r="B677" s="3">
        <v>0.10959472898814199</v>
      </c>
      <c r="C677" s="3">
        <v>4.6436373593628774E-2</v>
      </c>
      <c r="D677" s="1">
        <v>576521.6842199479</v>
      </c>
      <c r="E677" s="1">
        <v>19278814</v>
      </c>
      <c r="F677" s="1">
        <v>71255159</v>
      </c>
      <c r="G677" s="16">
        <v>58150.436963487475</v>
      </c>
      <c r="H677">
        <v>197.24</v>
      </c>
      <c r="I677" s="1">
        <v>592.55999999999995</v>
      </c>
      <c r="J677" s="16">
        <v>634672.12118343543</v>
      </c>
      <c r="K677" s="5">
        <v>7.453889373994025E-3</v>
      </c>
      <c r="L677" s="10">
        <v>130424.51459999999</v>
      </c>
    </row>
    <row r="678" spans="1:12" x14ac:dyDescent="0.25">
      <c r="A678">
        <v>677</v>
      </c>
      <c r="B678" s="3">
        <v>0.19727167948608854</v>
      </c>
      <c r="C678" s="3">
        <v>4.4612726456338972E-2</v>
      </c>
      <c r="D678" s="1">
        <v>121268.05096856621</v>
      </c>
      <c r="E678" s="1">
        <v>5466062</v>
      </c>
      <c r="F678" s="1">
        <v>24930054</v>
      </c>
      <c r="G678" s="16">
        <v>19537.388144113647</v>
      </c>
      <c r="H678">
        <v>136.87</v>
      </c>
      <c r="I678" s="1">
        <v>519.59999999999991</v>
      </c>
      <c r="J678" s="16">
        <v>140805.43911267986</v>
      </c>
      <c r="K678" s="5">
        <v>6.3479871172472557E-2</v>
      </c>
      <c r="L678" s="10">
        <v>162347.5331</v>
      </c>
    </row>
    <row r="679" spans="1:12" x14ac:dyDescent="0.25">
      <c r="A679">
        <v>678</v>
      </c>
      <c r="B679" s="3">
        <v>0.1844989738652941</v>
      </c>
      <c r="C679" s="3">
        <v>4.54069040326881E-2</v>
      </c>
      <c r="D679" s="1">
        <v>117589.73654671025</v>
      </c>
      <c r="E679" s="1">
        <v>4057885</v>
      </c>
      <c r="F679" s="1">
        <v>19306584</v>
      </c>
      <c r="G679" s="16">
        <v>15357.877112988461</v>
      </c>
      <c r="H679">
        <v>78.44</v>
      </c>
      <c r="I679" s="1">
        <v>319.7</v>
      </c>
      <c r="J679" s="16">
        <v>132947.61365969872</v>
      </c>
      <c r="K679" s="5">
        <v>8.3059877805425564E-2</v>
      </c>
      <c r="L679" s="10">
        <v>215134.47270000001</v>
      </c>
    </row>
    <row r="680" spans="1:12" x14ac:dyDescent="0.25">
      <c r="A680">
        <v>679</v>
      </c>
      <c r="B680" s="3">
        <v>0.12068170276549037</v>
      </c>
      <c r="C680" s="3">
        <v>7.0940066184572201E-2</v>
      </c>
      <c r="D680" s="1">
        <v>224955.78016896299</v>
      </c>
      <c r="E680" s="1">
        <v>7042323</v>
      </c>
      <c r="F680" s="1">
        <v>29755760</v>
      </c>
      <c r="G680" s="16">
        <v>43864.104316449644</v>
      </c>
      <c r="H680">
        <v>162.35</v>
      </c>
      <c r="I680" s="1">
        <v>444.90999999999997</v>
      </c>
      <c r="J680" s="16">
        <v>268819.88448541262</v>
      </c>
      <c r="K680" s="5">
        <v>-0.12951461044886459</v>
      </c>
      <c r="L680" s="10">
        <v>-284110.49400000001</v>
      </c>
    </row>
    <row r="681" spans="1:12" x14ac:dyDescent="0.25">
      <c r="A681">
        <v>680</v>
      </c>
      <c r="B681" s="3">
        <v>0.23518897363294819</v>
      </c>
      <c r="C681" s="3">
        <v>5.6675888074401159E-2</v>
      </c>
      <c r="D681" s="1">
        <v>129162.17456802564</v>
      </c>
      <c r="E681" s="1">
        <v>7065153</v>
      </c>
      <c r="F681" s="1">
        <v>32579144</v>
      </c>
      <c r="G681" s="16">
        <v>17537.437486084236</v>
      </c>
      <c r="H681">
        <v>131.77000000000001</v>
      </c>
      <c r="I681" s="1">
        <v>340.35</v>
      </c>
      <c r="J681" s="16">
        <v>146699.61205410986</v>
      </c>
      <c r="K681" s="5">
        <v>6.8355134181118771E-2</v>
      </c>
      <c r="L681" s="10">
        <v>177301.0736</v>
      </c>
    </row>
    <row r="682" spans="1:12" x14ac:dyDescent="0.25">
      <c r="A682">
        <v>681</v>
      </c>
      <c r="B682" s="3">
        <v>0.11017375838859113</v>
      </c>
      <c r="C682" s="3">
        <v>2.4290400032191253E-2</v>
      </c>
      <c r="D682" s="1">
        <v>133789.42198916548</v>
      </c>
      <c r="E682" s="1">
        <v>3553931</v>
      </c>
      <c r="F682" s="1">
        <v>18837278</v>
      </c>
      <c r="G682" s="16">
        <v>35114.358845072536</v>
      </c>
      <c r="H682">
        <v>119.59</v>
      </c>
      <c r="I682" s="1">
        <v>453.06000000000006</v>
      </c>
      <c r="J682" s="16">
        <v>168903.78083423802</v>
      </c>
      <c r="K682" s="5">
        <v>8.4544815004013368E-2</v>
      </c>
      <c r="L682" s="10">
        <v>513339.6263</v>
      </c>
    </row>
    <row r="683" spans="1:12" x14ac:dyDescent="0.25">
      <c r="A683">
        <v>682</v>
      </c>
      <c r="B683" s="3">
        <v>0.21906715347453223</v>
      </c>
      <c r="C683" s="3">
        <v>3.7367166444952749E-2</v>
      </c>
      <c r="D683" s="1">
        <v>210949.40975066932</v>
      </c>
      <c r="E683" s="1">
        <v>13592918</v>
      </c>
      <c r="F683" s="1">
        <v>52248556</v>
      </c>
      <c r="G683" s="16">
        <v>17198.476693104392</v>
      </c>
      <c r="H683">
        <v>146.19</v>
      </c>
      <c r="I683" s="1">
        <v>421.89</v>
      </c>
      <c r="J683" s="16">
        <v>228147.88644377372</v>
      </c>
      <c r="K683" s="5">
        <v>0.17425254237907892</v>
      </c>
      <c r="L683" s="10">
        <v>912271.61529999995</v>
      </c>
    </row>
    <row r="684" spans="1:12" x14ac:dyDescent="0.25">
      <c r="A684">
        <v>683</v>
      </c>
      <c r="B684" s="3">
        <v>0.23719147834028925</v>
      </c>
      <c r="C684" s="3">
        <v>2.6892534344398068E-2</v>
      </c>
      <c r="D684" s="1">
        <v>129368.70451416372</v>
      </c>
      <c r="E684" s="1">
        <v>7151050</v>
      </c>
      <c r="F684" s="1">
        <v>28628365</v>
      </c>
      <c r="G684" s="16">
        <v>13595.877152871026</v>
      </c>
      <c r="H684">
        <v>135.94999999999999</v>
      </c>
      <c r="I684" s="1">
        <v>466.52</v>
      </c>
      <c r="J684" s="16">
        <v>142964.58166703474</v>
      </c>
      <c r="K684" s="5">
        <v>-2.8946137365052773E-2</v>
      </c>
      <c r="L684" s="10">
        <v>-99268.492100000003</v>
      </c>
    </row>
    <row r="685" spans="1:12" x14ac:dyDescent="0.25">
      <c r="A685">
        <v>684</v>
      </c>
      <c r="B685" s="3">
        <v>0.14467606424663812</v>
      </c>
      <c r="C685" s="3">
        <v>7.0576086292808801E-2</v>
      </c>
      <c r="D685" s="1">
        <v>226138.57137502931</v>
      </c>
      <c r="E685" s="1">
        <v>7907796</v>
      </c>
      <c r="F685" s="1">
        <v>32006207</v>
      </c>
      <c r="G685" s="16">
        <v>22462.502736646609</v>
      </c>
      <c r="H685">
        <v>86.47</v>
      </c>
      <c r="I685" s="1">
        <v>254.76999999999998</v>
      </c>
      <c r="J685" s="16">
        <v>248601.0741116759</v>
      </c>
      <c r="K685" s="5">
        <v>8.8303670163659226E-2</v>
      </c>
      <c r="L685" s="10">
        <v>235762.71040000001</v>
      </c>
    </row>
    <row r="686" spans="1:12" x14ac:dyDescent="0.25">
      <c r="A686">
        <v>685</v>
      </c>
      <c r="B686" s="3">
        <v>0.11421983826779718</v>
      </c>
      <c r="C686" s="3">
        <v>3.2456361137786618E-2</v>
      </c>
      <c r="D686" s="1">
        <v>291531.46181532432</v>
      </c>
      <c r="E686" s="1">
        <v>8863079</v>
      </c>
      <c r="F686" s="1">
        <v>37733086</v>
      </c>
      <c r="G686" s="16">
        <v>31926.448595224781</v>
      </c>
      <c r="H686">
        <v>99.47</v>
      </c>
      <c r="I686" s="1">
        <v>299.15999999999997</v>
      </c>
      <c r="J686" s="16">
        <v>323457.91041054908</v>
      </c>
      <c r="K686" s="5">
        <v>0.101917833004041</v>
      </c>
      <c r="L686" s="10">
        <v>839233.62379999994</v>
      </c>
    </row>
    <row r="687" spans="1:12" x14ac:dyDescent="0.25">
      <c r="A687">
        <v>686</v>
      </c>
      <c r="B687" s="3">
        <v>0.17249293839960067</v>
      </c>
      <c r="C687" s="3">
        <v>2.0980015345693461E-2</v>
      </c>
      <c r="D687" s="1">
        <v>162471.61474688878</v>
      </c>
      <c r="E687" s="1">
        <v>5366180</v>
      </c>
      <c r="F687" s="1">
        <v>19837556</v>
      </c>
      <c r="G687" s="16">
        <v>13904.74530215945</v>
      </c>
      <c r="H687">
        <v>65.069999999999993</v>
      </c>
      <c r="I687" s="1">
        <v>195.32999999999998</v>
      </c>
      <c r="J687" s="16">
        <v>176376.36004904823</v>
      </c>
      <c r="K687" s="5">
        <v>8.27441916105148E-2</v>
      </c>
      <c r="L687" s="10">
        <v>623902.18810000003</v>
      </c>
    </row>
    <row r="688" spans="1:12" x14ac:dyDescent="0.25">
      <c r="A688">
        <v>687</v>
      </c>
      <c r="B688" s="3">
        <v>0.13622039547813886</v>
      </c>
      <c r="C688" s="3">
        <v>7.7806673355492822E-2</v>
      </c>
      <c r="D688" s="1">
        <v>285943.70925779059</v>
      </c>
      <c r="E688" s="1">
        <v>9613286</v>
      </c>
      <c r="F688" s="1">
        <v>29541068</v>
      </c>
      <c r="G688" s="16">
        <v>21820.970759760577</v>
      </c>
      <c r="H688">
        <v>79.06</v>
      </c>
      <c r="I688" s="1">
        <v>255.05</v>
      </c>
      <c r="J688" s="16">
        <v>307764.68001755117</v>
      </c>
      <c r="K688" s="5">
        <v>-6.1296093613939603E-2</v>
      </c>
      <c r="L688" s="10">
        <v>-119547.48540000001</v>
      </c>
    </row>
    <row r="689" spans="1:12" x14ac:dyDescent="0.25">
      <c r="A689">
        <v>688</v>
      </c>
      <c r="B689" s="3">
        <v>0.16588648366287839</v>
      </c>
      <c r="C689" s="3">
        <v>7.1795871733686165E-2</v>
      </c>
      <c r="D689" s="1">
        <v>106498.96679537059</v>
      </c>
      <c r="E689" s="1">
        <v>4117629</v>
      </c>
      <c r="F689" s="1">
        <v>25304948</v>
      </c>
      <c r="G689" s="16">
        <v>34521.146051906871</v>
      </c>
      <c r="H689">
        <v>184.74</v>
      </c>
      <c r="I689" s="1">
        <v>558.88</v>
      </c>
      <c r="J689" s="16">
        <v>141020.11284727746</v>
      </c>
      <c r="K689" s="5">
        <v>0.12440509303669704</v>
      </c>
      <c r="L689" s="10">
        <v>215159.8922</v>
      </c>
    </row>
    <row r="690" spans="1:12" x14ac:dyDescent="0.25">
      <c r="A690">
        <v>689</v>
      </c>
      <c r="B690" s="3">
        <v>0.23759637634831912</v>
      </c>
      <c r="C690" s="3">
        <v>5.5407858357078565E-2</v>
      </c>
      <c r="D690" s="1">
        <v>156229.82595232601</v>
      </c>
      <c r="E690" s="1">
        <v>8654196</v>
      </c>
      <c r="F690" s="1">
        <v>37558493</v>
      </c>
      <c r="G690" s="16">
        <v>33659.784830477052</v>
      </c>
      <c r="H690">
        <v>444.06</v>
      </c>
      <c r="I690" s="1">
        <v>1073.54</v>
      </c>
      <c r="J690" s="16">
        <v>189889.61078280307</v>
      </c>
      <c r="K690" s="5">
        <v>0.10584839391608293</v>
      </c>
      <c r="L690" s="10">
        <v>268263.43030000001</v>
      </c>
    </row>
    <row r="691" spans="1:12" x14ac:dyDescent="0.25">
      <c r="A691">
        <v>690</v>
      </c>
      <c r="B691" s="3">
        <v>0.24870654299058004</v>
      </c>
      <c r="C691" s="3">
        <v>4.6305773618709745E-2</v>
      </c>
      <c r="D691" s="1">
        <v>87559.468688283145</v>
      </c>
      <c r="E691" s="1">
        <v>3864361</v>
      </c>
      <c r="F691" s="1">
        <v>19145635</v>
      </c>
      <c r="G691" s="16">
        <v>19393.645017143564</v>
      </c>
      <c r="H691">
        <v>216.02</v>
      </c>
      <c r="I691" s="1">
        <v>509.48</v>
      </c>
      <c r="J691" s="16">
        <v>106953.11370542672</v>
      </c>
      <c r="K691" s="5">
        <v>-6.1463427947433091E-2</v>
      </c>
      <c r="L691" s="10">
        <v>-100519.57520000001</v>
      </c>
    </row>
    <row r="692" spans="1:12" x14ac:dyDescent="0.25">
      <c r="A692">
        <v>691</v>
      </c>
      <c r="B692" s="3">
        <v>0.16183838425711056</v>
      </c>
      <c r="C692" s="3">
        <v>4.7648732888577836E-2</v>
      </c>
      <c r="D692" s="1">
        <v>300105.36674115638</v>
      </c>
      <c r="E692" s="1">
        <v>11380606</v>
      </c>
      <c r="F692" s="1">
        <v>42936958</v>
      </c>
      <c r="G692" s="16">
        <v>34137.201453078647</v>
      </c>
      <c r="H692">
        <v>176.73</v>
      </c>
      <c r="I692" s="1">
        <v>528.26</v>
      </c>
      <c r="J692" s="16">
        <v>334242.56819423503</v>
      </c>
      <c r="K692" s="5">
        <v>4.3263980515138828E-2</v>
      </c>
      <c r="L692" s="10">
        <v>277751.21960000001</v>
      </c>
    </row>
    <row r="693" spans="1:12" x14ac:dyDescent="0.25">
      <c r="A693">
        <v>692</v>
      </c>
      <c r="B693" s="3">
        <v>0.21253578575975662</v>
      </c>
      <c r="C693" s="3">
        <v>3.5408403774914041E-2</v>
      </c>
      <c r="D693" s="1">
        <v>98752.978904204298</v>
      </c>
      <c r="E693" s="1">
        <v>4806510</v>
      </c>
      <c r="F693" s="1">
        <v>25396049</v>
      </c>
      <c r="G693" s="16">
        <v>35031.630736889507</v>
      </c>
      <c r="H693">
        <v>356.51</v>
      </c>
      <c r="I693" s="1">
        <v>853.46</v>
      </c>
      <c r="J693" s="16">
        <v>133784.60964109382</v>
      </c>
      <c r="K693" s="5">
        <v>9.5994743603205368E-2</v>
      </c>
      <c r="L693" s="10">
        <v>320106.11469999998</v>
      </c>
    </row>
    <row r="694" spans="1:12" x14ac:dyDescent="0.25">
      <c r="A694">
        <v>693</v>
      </c>
      <c r="B694" s="3">
        <v>0.13614686979091264</v>
      </c>
      <c r="C694" s="3">
        <v>4.4030162539575021E-2</v>
      </c>
      <c r="D694" s="1">
        <v>362464.52476471121</v>
      </c>
      <c r="E694" s="1">
        <v>14101616</v>
      </c>
      <c r="F694" s="1">
        <v>59586281</v>
      </c>
      <c r="G694" s="16">
        <v>79275.909922566119</v>
      </c>
      <c r="H694">
        <v>384.46</v>
      </c>
      <c r="I694" s="1">
        <v>1097.93</v>
      </c>
      <c r="J694" s="16">
        <v>441740.4346872773</v>
      </c>
      <c r="K694" s="5">
        <v>0.15972654383126436</v>
      </c>
      <c r="L694" s="10">
        <v>1277215.6273000001</v>
      </c>
    </row>
    <row r="695" spans="1:12" x14ac:dyDescent="0.25">
      <c r="A695">
        <v>694</v>
      </c>
      <c r="B695" s="3">
        <v>0.21682049144818163</v>
      </c>
      <c r="C695" s="3">
        <v>6.6866808363973698E-2</v>
      </c>
      <c r="D695" s="1">
        <v>125344.32925546111</v>
      </c>
      <c r="E695" s="1">
        <v>6235367</v>
      </c>
      <c r="F695" s="1">
        <v>33036499</v>
      </c>
      <c r="G695" s="16">
        <v>39782.656285739016</v>
      </c>
      <c r="H695">
        <v>330.94</v>
      </c>
      <c r="I695" s="1">
        <v>751.65000000000009</v>
      </c>
      <c r="J695" s="16">
        <v>165126.98554120012</v>
      </c>
      <c r="K695" s="5">
        <v>0.15765188745181796</v>
      </c>
      <c r="L695" s="10">
        <v>277270.99849999999</v>
      </c>
    </row>
    <row r="696" spans="1:12" x14ac:dyDescent="0.25">
      <c r="A696">
        <v>695</v>
      </c>
      <c r="B696" s="3">
        <v>0.13618406127748631</v>
      </c>
      <c r="C696" s="3">
        <v>2.5992340437392982E-2</v>
      </c>
      <c r="D696" s="1">
        <v>142968.57842476116</v>
      </c>
      <c r="E696" s="1">
        <v>4805718</v>
      </c>
      <c r="F696" s="1">
        <v>24960360</v>
      </c>
      <c r="G696" s="16">
        <v>39060.280010638853</v>
      </c>
      <c r="H696">
        <v>163.81</v>
      </c>
      <c r="I696" s="1">
        <v>436.22999999999996</v>
      </c>
      <c r="J696" s="16">
        <v>182028.8584354</v>
      </c>
      <c r="K696" s="5">
        <v>7.2591040234786047E-2</v>
      </c>
      <c r="L696" s="10">
        <v>470803.26169999997</v>
      </c>
    </row>
    <row r="697" spans="1:12" x14ac:dyDescent="0.25">
      <c r="A697">
        <v>696</v>
      </c>
      <c r="B697" s="3">
        <v>0.15598843115095595</v>
      </c>
      <c r="C697" s="3">
        <v>5.02578780345843E-2</v>
      </c>
      <c r="D697" s="1">
        <v>90095.683091520594</v>
      </c>
      <c r="E697" s="1">
        <v>2804542</v>
      </c>
      <c r="F697" s="1">
        <v>14007452</v>
      </c>
      <c r="G697" s="16">
        <v>62351.701096676123</v>
      </c>
      <c r="H697">
        <v>364.41</v>
      </c>
      <c r="I697" s="1">
        <v>855.72</v>
      </c>
      <c r="J697" s="16">
        <v>152447.38418819671</v>
      </c>
      <c r="K697" s="5">
        <v>0.13036501671277062</v>
      </c>
      <c r="L697" s="10">
        <v>304127.6483</v>
      </c>
    </row>
    <row r="698" spans="1:12" x14ac:dyDescent="0.25">
      <c r="A698">
        <v>697</v>
      </c>
      <c r="B698" s="3">
        <v>0.20373286840292237</v>
      </c>
      <c r="C698" s="3">
        <v>7.6475633695680043E-2</v>
      </c>
      <c r="D698" s="1">
        <v>47775.738316183531</v>
      </c>
      <c r="E698" s="1">
        <v>1771062</v>
      </c>
      <c r="F698" s="1">
        <v>16061897</v>
      </c>
      <c r="G698" s="16">
        <v>27866.948000284643</v>
      </c>
      <c r="H698">
        <v>206.78</v>
      </c>
      <c r="I698" s="1">
        <v>524.87</v>
      </c>
      <c r="J698" s="16">
        <v>75642.686316468171</v>
      </c>
      <c r="K698" s="5">
        <v>0.14602961080606433</v>
      </c>
      <c r="L698" s="10">
        <v>115270.3717</v>
      </c>
    </row>
    <row r="699" spans="1:12" x14ac:dyDescent="0.25">
      <c r="A699">
        <v>698</v>
      </c>
      <c r="B699" s="3">
        <v>0.22630112383401665</v>
      </c>
      <c r="C699" s="3">
        <v>4.367626360223964E-2</v>
      </c>
      <c r="D699" s="1">
        <v>88857.499184412649</v>
      </c>
      <c r="E699" s="1">
        <v>3590712</v>
      </c>
      <c r="F699" s="1">
        <v>20236802</v>
      </c>
      <c r="G699" s="16">
        <v>15716.477313700776</v>
      </c>
      <c r="H699">
        <v>110.06</v>
      </c>
      <c r="I699" s="1">
        <v>328.61</v>
      </c>
      <c r="J699" s="16">
        <v>104573.97649811342</v>
      </c>
      <c r="K699" s="5">
        <v>0.2986662847517218</v>
      </c>
      <c r="L699" s="10">
        <v>591786.13690000004</v>
      </c>
    </row>
    <row r="700" spans="1:12" x14ac:dyDescent="0.25">
      <c r="A700">
        <v>699</v>
      </c>
      <c r="B700" s="3">
        <v>0.13631882386784053</v>
      </c>
      <c r="C700" s="3">
        <v>2.5302968264315363E-2</v>
      </c>
      <c r="D700" s="1">
        <v>133290.09384632515</v>
      </c>
      <c r="E700" s="1">
        <v>4483184</v>
      </c>
      <c r="F700" s="1">
        <v>30607669</v>
      </c>
      <c r="G700" s="16">
        <v>46312.493528094252</v>
      </c>
      <c r="H700">
        <v>194.39</v>
      </c>
      <c r="I700" s="1">
        <v>624.81999999999994</v>
      </c>
      <c r="J700" s="16">
        <v>179602.58737441941</v>
      </c>
      <c r="K700" s="5">
        <v>0.19674007201075555</v>
      </c>
      <c r="L700" s="10">
        <v>1261915.8082000001</v>
      </c>
    </row>
    <row r="701" spans="1:12" x14ac:dyDescent="0.25">
      <c r="A701">
        <v>700</v>
      </c>
      <c r="B701" s="3">
        <v>0.22762689153564311</v>
      </c>
      <c r="C701" s="3">
        <v>5.7184498252424526E-2</v>
      </c>
      <c r="D701" s="1">
        <v>92504.227353130191</v>
      </c>
      <c r="E701" s="1">
        <v>3757358</v>
      </c>
      <c r="F701" s="1">
        <v>16562612</v>
      </c>
      <c r="G701" s="16">
        <v>21216.685637683273</v>
      </c>
      <c r="H701">
        <v>194.7</v>
      </c>
      <c r="I701" s="1">
        <v>526.03</v>
      </c>
      <c r="J701" s="16">
        <v>113720.91299081346</v>
      </c>
      <c r="K701" s="5">
        <v>5.1559578071240592E-2</v>
      </c>
      <c r="L701" s="10">
        <v>70503.039300000004</v>
      </c>
    </row>
    <row r="702" spans="1:12" x14ac:dyDescent="0.25">
      <c r="A702">
        <v>701</v>
      </c>
      <c r="B702" s="3">
        <v>0.15607171891714594</v>
      </c>
      <c r="C702" s="3">
        <v>2.6067354200019207E-2</v>
      </c>
      <c r="D702" s="1">
        <v>109600.71194404048</v>
      </c>
      <c r="E702" s="1">
        <v>4043842</v>
      </c>
      <c r="F702" s="1">
        <v>23797220</v>
      </c>
      <c r="G702" s="16">
        <v>27696.188512104793</v>
      </c>
      <c r="H702">
        <v>136.63999999999999</v>
      </c>
      <c r="I702" s="1">
        <v>408.26</v>
      </c>
      <c r="J702" s="16">
        <v>137296.90045614526</v>
      </c>
      <c r="K702" s="5">
        <v>5.937767082346964E-2</v>
      </c>
      <c r="L702" s="10">
        <v>321065.54849999998</v>
      </c>
    </row>
    <row r="703" spans="1:12" x14ac:dyDescent="0.25">
      <c r="A703">
        <v>702</v>
      </c>
      <c r="B703" s="3">
        <v>0.19477918844888953</v>
      </c>
      <c r="C703" s="3">
        <v>3.6890303100111307E-2</v>
      </c>
      <c r="D703" s="1">
        <v>216712.46451473373</v>
      </c>
      <c r="E703" s="1">
        <v>11981507</v>
      </c>
      <c r="F703" s="1">
        <v>50126147</v>
      </c>
      <c r="G703" s="16">
        <v>15711.15133531149</v>
      </c>
      <c r="H703">
        <v>107.91</v>
      </c>
      <c r="I703" s="1">
        <v>417.13</v>
      </c>
      <c r="J703" s="16">
        <v>232423.61585004523</v>
      </c>
      <c r="K703" s="5">
        <v>1.7889400093399566E-2</v>
      </c>
      <c r="L703" s="10">
        <v>116542.4814</v>
      </c>
    </row>
    <row r="704" spans="1:12" x14ac:dyDescent="0.25">
      <c r="A704">
        <v>703</v>
      </c>
      <c r="B704" s="3">
        <v>0.21277523202972282</v>
      </c>
      <c r="C704" s="3">
        <v>7.1249560117384814E-2</v>
      </c>
      <c r="D704" s="1">
        <v>70188.106044740198</v>
      </c>
      <c r="E704" s="1">
        <v>2692587</v>
      </c>
      <c r="F704" s="1">
        <v>12070664</v>
      </c>
      <c r="G704" s="16">
        <v>15927.990198937017</v>
      </c>
      <c r="H704">
        <v>128.01</v>
      </c>
      <c r="I704" s="1">
        <v>440.46999999999997</v>
      </c>
      <c r="J704" s="16">
        <v>86116.09624367721</v>
      </c>
      <c r="K704" s="5">
        <v>6.9059166072823169E-2</v>
      </c>
      <c r="L704" s="10">
        <v>67438.517500000002</v>
      </c>
    </row>
    <row r="705" spans="1:12" x14ac:dyDescent="0.25">
      <c r="A705">
        <v>704</v>
      </c>
      <c r="B705" s="3">
        <v>0.16617860029378478</v>
      </c>
      <c r="C705" s="3">
        <v>2.2431245605257985E-2</v>
      </c>
      <c r="D705" s="1">
        <v>52446.343500731957</v>
      </c>
      <c r="E705" s="1">
        <v>1693166</v>
      </c>
      <c r="F705" s="1">
        <v>15903953</v>
      </c>
      <c r="G705" s="16">
        <v>18123.305422152986</v>
      </c>
      <c r="H705">
        <v>81.069999999999993</v>
      </c>
      <c r="I705" s="1">
        <v>326.94</v>
      </c>
      <c r="J705" s="16">
        <v>70569.648922884939</v>
      </c>
      <c r="K705" s="5">
        <v>8.5304047394629101E-2</v>
      </c>
      <c r="L705" s="10">
        <v>282233.62900000002</v>
      </c>
    </row>
    <row r="706" spans="1:12" x14ac:dyDescent="0.25">
      <c r="A706">
        <v>705</v>
      </c>
      <c r="B706" s="3">
        <v>0.18594982485929154</v>
      </c>
      <c r="C706" s="3">
        <v>3.9803894615836846E-2</v>
      </c>
      <c r="D706" s="1">
        <v>98730.103662784531</v>
      </c>
      <c r="E706" s="1">
        <v>3425300</v>
      </c>
      <c r="F706" s="1">
        <v>19424528</v>
      </c>
      <c r="G706" s="16">
        <v>23575.225705966815</v>
      </c>
      <c r="H706">
        <v>121.93</v>
      </c>
      <c r="I706" s="1">
        <v>345.87</v>
      </c>
      <c r="J706" s="16">
        <v>122305.32936875135</v>
      </c>
      <c r="K706" s="5">
        <v>5.207813374989162E-2</v>
      </c>
      <c r="L706" s="10">
        <v>149112.29250000001</v>
      </c>
    </row>
    <row r="707" spans="1:12" x14ac:dyDescent="0.25">
      <c r="A707">
        <v>706</v>
      </c>
      <c r="B707" s="3">
        <v>0.24870914489061505</v>
      </c>
      <c r="C707" s="3">
        <v>4.7343431568509106E-2</v>
      </c>
      <c r="D707" s="1">
        <v>185873.82916450143</v>
      </c>
      <c r="E707" s="1">
        <v>14533847</v>
      </c>
      <c r="F707" s="1">
        <v>48281598</v>
      </c>
      <c r="G707" s="16">
        <v>16814.330332543668</v>
      </c>
      <c r="H707">
        <v>187.24</v>
      </c>
      <c r="I707" s="1">
        <v>417.12</v>
      </c>
      <c r="J707" s="16">
        <v>202688.1594970451</v>
      </c>
      <c r="K707" s="5">
        <v>7.88693225048335E-2</v>
      </c>
      <c r="L707" s="10">
        <v>271348.82990000001</v>
      </c>
    </row>
    <row r="708" spans="1:12" x14ac:dyDescent="0.25">
      <c r="A708">
        <v>707</v>
      </c>
      <c r="B708" s="3">
        <v>0.22151563808533459</v>
      </c>
      <c r="C708" s="3">
        <v>6.111608217797164E-2</v>
      </c>
      <c r="D708" s="1">
        <v>190642.27976769122</v>
      </c>
      <c r="E708" s="1">
        <v>12478789</v>
      </c>
      <c r="F708" s="1">
        <v>45033344</v>
      </c>
      <c r="G708" s="16">
        <v>11935.879463217601</v>
      </c>
      <c r="H708">
        <v>80.63</v>
      </c>
      <c r="I708" s="1">
        <v>304.69</v>
      </c>
      <c r="J708" s="16">
        <v>202578.15923090882</v>
      </c>
      <c r="K708" s="5">
        <v>0.1134501575184757</v>
      </c>
      <c r="L708" s="10">
        <v>283736.16749999998</v>
      </c>
    </row>
    <row r="709" spans="1:12" x14ac:dyDescent="0.25">
      <c r="A709">
        <v>708</v>
      </c>
      <c r="B709" s="3">
        <v>0.10640821785866193</v>
      </c>
      <c r="C709" s="3">
        <v>3.9804688018238082E-2</v>
      </c>
      <c r="D709" s="1">
        <v>172843.37859617572</v>
      </c>
      <c r="E709" s="1">
        <v>5073398</v>
      </c>
      <c r="F709" s="1">
        <v>26564801</v>
      </c>
      <c r="G709" s="16">
        <v>50039.784774922031</v>
      </c>
      <c r="H709">
        <v>165.53</v>
      </c>
      <c r="I709" s="1">
        <v>486.77</v>
      </c>
      <c r="J709" s="16">
        <v>222883.16337109776</v>
      </c>
      <c r="K709" s="5">
        <v>0.20317561795643369</v>
      </c>
      <c r="L709" s="10">
        <v>903238.89859999996</v>
      </c>
    </row>
    <row r="710" spans="1:12" x14ac:dyDescent="0.25">
      <c r="A710">
        <v>709</v>
      </c>
      <c r="B710" s="3">
        <v>0.21342479116451685</v>
      </c>
      <c r="C710" s="3">
        <v>4.0947238112175058E-2</v>
      </c>
      <c r="D710" s="1">
        <v>64821.308969389196</v>
      </c>
      <c r="E710" s="1">
        <v>2492870</v>
      </c>
      <c r="F710" s="1">
        <v>13466107</v>
      </c>
      <c r="G710" s="16">
        <v>22519.232675308838</v>
      </c>
      <c r="H710">
        <v>181.91</v>
      </c>
      <c r="I710" s="1">
        <v>453.44999999999993</v>
      </c>
      <c r="J710" s="16">
        <v>87340.541644698038</v>
      </c>
      <c r="K710" s="5">
        <v>0.18808981991660789</v>
      </c>
      <c r="L710" s="10">
        <v>324509.76209999999</v>
      </c>
    </row>
    <row r="711" spans="1:12" x14ac:dyDescent="0.25">
      <c r="A711">
        <v>710</v>
      </c>
      <c r="B711" s="3">
        <v>0.17937403509979982</v>
      </c>
      <c r="C711" s="3">
        <v>2.3867077037486278E-2</v>
      </c>
      <c r="D711" s="1">
        <v>68881.782642000398</v>
      </c>
      <c r="E711" s="1">
        <v>2332764</v>
      </c>
      <c r="F711" s="1">
        <v>14376201</v>
      </c>
      <c r="G711" s="16">
        <v>23320.145067898928</v>
      </c>
      <c r="H711">
        <v>140.21</v>
      </c>
      <c r="I711" s="1">
        <v>403.5</v>
      </c>
      <c r="J711" s="16">
        <v>92201.927709899319</v>
      </c>
      <c r="K711" s="5">
        <v>0.20705012152846358</v>
      </c>
      <c r="L711" s="10">
        <v>704242.44259999995</v>
      </c>
    </row>
    <row r="712" spans="1:12" x14ac:dyDescent="0.25">
      <c r="A712">
        <v>711</v>
      </c>
      <c r="B712" s="3">
        <v>0.10092829589162401</v>
      </c>
      <c r="C712" s="3">
        <v>6.9079705019394838E-2</v>
      </c>
      <c r="D712" s="1">
        <v>295296.126677619</v>
      </c>
      <c r="E712" s="1">
        <v>8458303</v>
      </c>
      <c r="F712" s="1">
        <v>37615124</v>
      </c>
      <c r="G712" s="16">
        <v>71710.925175760334</v>
      </c>
      <c r="H712">
        <v>227.26</v>
      </c>
      <c r="I712" s="1">
        <v>587.92999999999995</v>
      </c>
      <c r="J712" s="16">
        <v>367007.05185337935</v>
      </c>
      <c r="K712" s="5">
        <v>5.3224920414555919E-2</v>
      </c>
      <c r="L712" s="10">
        <v>209483.15979999999</v>
      </c>
    </row>
    <row r="713" spans="1:12" x14ac:dyDescent="0.25">
      <c r="A713">
        <v>712</v>
      </c>
      <c r="B713" s="3">
        <v>0.18780744478181094</v>
      </c>
      <c r="C713" s="3">
        <v>2.7298025430215755E-2</v>
      </c>
      <c r="D713" s="1">
        <v>78212.136097738272</v>
      </c>
      <c r="E713" s="1">
        <v>2732120</v>
      </c>
      <c r="F713" s="1">
        <v>17831008</v>
      </c>
      <c r="G713" s="16">
        <v>26363.912941207647</v>
      </c>
      <c r="H713">
        <v>170.35</v>
      </c>
      <c r="I713" s="1">
        <v>520.19999999999993</v>
      </c>
      <c r="J713" s="16">
        <v>104576.04903894592</v>
      </c>
      <c r="K713" s="5">
        <v>0.12909881417261249</v>
      </c>
      <c r="L713" s="10">
        <v>425711.13549999997</v>
      </c>
    </row>
    <row r="714" spans="1:12" x14ac:dyDescent="0.25">
      <c r="A714">
        <v>713</v>
      </c>
      <c r="B714" s="3">
        <v>0.17858086443723301</v>
      </c>
      <c r="C714" s="3">
        <v>3.0740207479403252E-2</v>
      </c>
      <c r="D714" s="1">
        <v>189039.76093935012</v>
      </c>
      <c r="E714" s="1">
        <v>7771346</v>
      </c>
      <c r="F714" s="1">
        <v>33652143</v>
      </c>
      <c r="G714" s="16">
        <v>29617.964730565429</v>
      </c>
      <c r="H714">
        <v>176.66</v>
      </c>
      <c r="I714" s="1">
        <v>573.76</v>
      </c>
      <c r="J714" s="16">
        <v>218657.72566991556</v>
      </c>
      <c r="K714" s="5">
        <v>0.19759167705453304</v>
      </c>
      <c r="L714" s="10">
        <v>1204881.6525000001</v>
      </c>
    </row>
    <row r="715" spans="1:12" x14ac:dyDescent="0.25">
      <c r="A715">
        <v>714</v>
      </c>
      <c r="B715" s="3">
        <v>0.19165356858708399</v>
      </c>
      <c r="C715" s="3">
        <v>3.8652258422008388E-2</v>
      </c>
      <c r="D715" s="1">
        <v>57589.434093801843</v>
      </c>
      <c r="E715" s="1">
        <v>2040580</v>
      </c>
      <c r="F715" s="1">
        <v>12641327</v>
      </c>
      <c r="G715" s="16">
        <v>34526.72513478234</v>
      </c>
      <c r="H715">
        <v>284.94</v>
      </c>
      <c r="I715" s="1">
        <v>809.98</v>
      </c>
      <c r="J715" s="16">
        <v>92116.159228584176</v>
      </c>
      <c r="K715" s="5">
        <v>0.12137096170933598</v>
      </c>
      <c r="L715" s="10">
        <v>236000.4149</v>
      </c>
    </row>
    <row r="716" spans="1:12" x14ac:dyDescent="0.25">
      <c r="A716">
        <v>715</v>
      </c>
      <c r="B716" s="3">
        <v>0.15495122736945749</v>
      </c>
      <c r="C716" s="3">
        <v>3.8512215783744419E-2</v>
      </c>
      <c r="D716" s="1">
        <v>199082.4191629175</v>
      </c>
      <c r="E716" s="1">
        <v>7306483</v>
      </c>
      <c r="F716" s="1">
        <v>33396582</v>
      </c>
      <c r="G716" s="16">
        <v>33475.072148336767</v>
      </c>
      <c r="H716">
        <v>163.43</v>
      </c>
      <c r="I716" s="1">
        <v>490.03000000000003</v>
      </c>
      <c r="J716" s="16">
        <v>232557.49131125427</v>
      </c>
      <c r="K716" s="5">
        <v>4.5303661093678754E-2</v>
      </c>
      <c r="L716" s="10">
        <v>230549.7714</v>
      </c>
    </row>
    <row r="717" spans="1:12" x14ac:dyDescent="0.25">
      <c r="A717">
        <v>716</v>
      </c>
      <c r="B717" s="3">
        <v>0.15186133220325373</v>
      </c>
      <c r="C717" s="3">
        <v>4.5023915058489239E-2</v>
      </c>
      <c r="D717" s="1">
        <v>141304.53914649857</v>
      </c>
      <c r="E717" s="1">
        <v>5110830</v>
      </c>
      <c r="F717" s="1">
        <v>25279795</v>
      </c>
      <c r="G717" s="16">
        <v>34153.976416054247</v>
      </c>
      <c r="H717">
        <v>162.61000000000001</v>
      </c>
      <c r="I717" s="1">
        <v>408.29</v>
      </c>
      <c r="J717" s="16">
        <v>175458.51556255281</v>
      </c>
      <c r="K717" s="5">
        <v>0.16609425169360093</v>
      </c>
      <c r="L717" s="10">
        <v>531367.93550000002</v>
      </c>
    </row>
    <row r="718" spans="1:12" x14ac:dyDescent="0.25">
      <c r="A718">
        <v>717</v>
      </c>
      <c r="B718" s="3">
        <v>0.2432474386806957</v>
      </c>
      <c r="C718" s="3">
        <v>7.2925705974773269E-2</v>
      </c>
      <c r="D718" s="1">
        <v>87589.938072946941</v>
      </c>
      <c r="E718" s="1">
        <v>4998519</v>
      </c>
      <c r="F718" s="1">
        <v>36124415</v>
      </c>
      <c r="G718" s="16">
        <v>15577.288166601784</v>
      </c>
      <c r="H718">
        <v>165.14</v>
      </c>
      <c r="I718" s="1">
        <v>526.63</v>
      </c>
      <c r="J718" s="16">
        <v>103167.22623954872</v>
      </c>
      <c r="K718" s="5">
        <v>0.20074756582496245</v>
      </c>
      <c r="L718" s="10">
        <v>237423.23929999999</v>
      </c>
    </row>
    <row r="719" spans="1:12" x14ac:dyDescent="0.25">
      <c r="A719">
        <v>718</v>
      </c>
      <c r="B719" s="3">
        <v>0.23971489930842735</v>
      </c>
      <c r="C719" s="3">
        <v>7.1268436435061255E-2</v>
      </c>
      <c r="D719" s="1">
        <v>105176.40530504103</v>
      </c>
      <c r="E719" s="1">
        <v>5891360</v>
      </c>
      <c r="F719" s="1">
        <v>23632430</v>
      </c>
      <c r="G719" s="16">
        <v>5753.5393675617224</v>
      </c>
      <c r="H719">
        <v>34.14</v>
      </c>
      <c r="I719" s="1">
        <v>152.88</v>
      </c>
      <c r="J719" s="16">
        <v>110929.94467260275</v>
      </c>
      <c r="K719" s="5">
        <v>7.3799516355309139E-2</v>
      </c>
      <c r="L719" s="10">
        <v>108813.8006</v>
      </c>
    </row>
    <row r="720" spans="1:12" x14ac:dyDescent="0.25">
      <c r="A720">
        <v>719</v>
      </c>
      <c r="B720" s="3">
        <v>0.11170439183292911</v>
      </c>
      <c r="C720" s="3">
        <v>3.6324040730313749E-2</v>
      </c>
      <c r="D720" s="1">
        <v>168597.08304925059</v>
      </c>
      <c r="E720" s="1">
        <v>5067841</v>
      </c>
      <c r="F720" s="1">
        <v>27702514</v>
      </c>
      <c r="G720" s="16">
        <v>27121.293335806757</v>
      </c>
      <c r="H720">
        <v>83.24</v>
      </c>
      <c r="I720" s="1">
        <v>281.2</v>
      </c>
      <c r="J720" s="16">
        <v>195718.37638505735</v>
      </c>
      <c r="K720" s="5">
        <v>0.1437950326208981</v>
      </c>
      <c r="L720" s="10">
        <v>664146.72239999997</v>
      </c>
    </row>
    <row r="721" spans="1:12" x14ac:dyDescent="0.25">
      <c r="A721">
        <v>720</v>
      </c>
      <c r="B721" s="3">
        <v>0.15064040019351727</v>
      </c>
      <c r="C721" s="3">
        <v>7.319532770106886E-2</v>
      </c>
      <c r="D721" s="1">
        <v>398875.57083899126</v>
      </c>
      <c r="E721" s="1">
        <v>16888160</v>
      </c>
      <c r="F721" s="1">
        <v>59575114</v>
      </c>
      <c r="G721" s="16">
        <v>17277.437588246288</v>
      </c>
      <c r="H721">
        <v>69.31</v>
      </c>
      <c r="I721" s="1">
        <v>291.24</v>
      </c>
      <c r="J721" s="16">
        <v>416153.00842723757</v>
      </c>
      <c r="K721" s="5">
        <v>0.22008366874878021</v>
      </c>
      <c r="L721" s="10">
        <v>817896.70319999999</v>
      </c>
    </row>
    <row r="722" spans="1:12" x14ac:dyDescent="0.25">
      <c r="A722">
        <v>721</v>
      </c>
      <c r="B722" s="3">
        <v>0.20680191646406043</v>
      </c>
      <c r="C722" s="3">
        <v>4.1793577511432894E-2</v>
      </c>
      <c r="D722" s="1">
        <v>126765.45127856356</v>
      </c>
      <c r="E722" s="1">
        <v>4753997</v>
      </c>
      <c r="F722" s="1">
        <v>18751985</v>
      </c>
      <c r="G722" s="16">
        <v>24677.179604951238</v>
      </c>
      <c r="H722">
        <v>187.83</v>
      </c>
      <c r="I722" s="1">
        <v>677.28000000000009</v>
      </c>
      <c r="J722" s="16">
        <v>151442.63088351479</v>
      </c>
      <c r="K722" s="5">
        <v>7.2995655651338087E-2</v>
      </c>
      <c r="L722" s="10">
        <v>231920.5907</v>
      </c>
    </row>
    <row r="723" spans="1:12" x14ac:dyDescent="0.25">
      <c r="A723">
        <v>722</v>
      </c>
      <c r="B723" s="3">
        <v>0.17776677940567076</v>
      </c>
      <c r="C723" s="3">
        <v>5.0458571306087725E-2</v>
      </c>
      <c r="D723" s="1">
        <v>66296.432565545838</v>
      </c>
      <c r="E723" s="1">
        <v>2232071</v>
      </c>
      <c r="F723" s="1">
        <v>15465631</v>
      </c>
      <c r="G723" s="16">
        <v>17507.163546707499</v>
      </c>
      <c r="H723">
        <v>85.29</v>
      </c>
      <c r="I723" s="1">
        <v>244.82999999999998</v>
      </c>
      <c r="J723" s="16">
        <v>83803.596112253334</v>
      </c>
      <c r="K723" s="5">
        <v>0.13293789825146607</v>
      </c>
      <c r="L723" s="10">
        <v>187552.00829999999</v>
      </c>
    </row>
    <row r="724" spans="1:12" x14ac:dyDescent="0.25">
      <c r="A724">
        <v>723</v>
      </c>
      <c r="B724" s="3">
        <v>0.22599123444174996</v>
      </c>
      <c r="C724" s="3">
        <v>5.9834980425528012E-2</v>
      </c>
      <c r="D724" s="1">
        <v>69423.207058801461</v>
      </c>
      <c r="E724" s="1">
        <v>3620128</v>
      </c>
      <c r="F724" s="1">
        <v>29233780</v>
      </c>
      <c r="G724" s="16">
        <v>32140.495858865168</v>
      </c>
      <c r="H724">
        <v>375.32</v>
      </c>
      <c r="I724" s="1">
        <v>984.34999999999991</v>
      </c>
      <c r="J724" s="16">
        <v>101563.70291766663</v>
      </c>
      <c r="K724" s="5">
        <v>0.2278243225503491</v>
      </c>
      <c r="L724" s="10">
        <v>319267.6813</v>
      </c>
    </row>
    <row r="725" spans="1:12" x14ac:dyDescent="0.25">
      <c r="A725">
        <v>724</v>
      </c>
      <c r="B725" s="3">
        <v>0.12316732896548344</v>
      </c>
      <c r="C725" s="3">
        <v>7.0976832715568247E-2</v>
      </c>
      <c r="D725" s="1">
        <v>51158.319364949675</v>
      </c>
      <c r="E725" s="1">
        <v>1420265</v>
      </c>
      <c r="F725" s="1">
        <v>13279568</v>
      </c>
      <c r="G725" s="16">
        <v>20818.220074181383</v>
      </c>
      <c r="H725">
        <v>68.790000000000006</v>
      </c>
      <c r="I725" s="1">
        <v>255.36</v>
      </c>
      <c r="J725" s="16">
        <v>71976.539439131055</v>
      </c>
      <c r="K725" s="5">
        <v>0.10130520530833609</v>
      </c>
      <c r="L725" s="10">
        <v>82384.747199999998</v>
      </c>
    </row>
    <row r="726" spans="1:12" x14ac:dyDescent="0.25">
      <c r="A726">
        <v>725</v>
      </c>
      <c r="B726" s="3">
        <v>0.22646062318842072</v>
      </c>
      <c r="C726" s="3">
        <v>5.4516040443565672E-2</v>
      </c>
      <c r="D726" s="1">
        <v>82796.810550674491</v>
      </c>
      <c r="E726" s="1">
        <v>4327991</v>
      </c>
      <c r="F726" s="1">
        <v>22969308</v>
      </c>
      <c r="G726" s="16">
        <v>22487.214647070392</v>
      </c>
      <c r="H726">
        <v>204.21</v>
      </c>
      <c r="I726" s="1">
        <v>527.88</v>
      </c>
      <c r="J726" s="16">
        <v>105284.02519774488</v>
      </c>
      <c r="K726" s="5">
        <v>0.1718063674070765</v>
      </c>
      <c r="L726" s="10">
        <v>253550.1875</v>
      </c>
    </row>
    <row r="727" spans="1:12" x14ac:dyDescent="0.25">
      <c r="A727">
        <v>726</v>
      </c>
      <c r="B727" s="3">
        <v>0.12731185872293266</v>
      </c>
      <c r="C727" s="3">
        <v>3.2856852190752399E-2</v>
      </c>
      <c r="D727" s="1">
        <v>262895.33868211758</v>
      </c>
      <c r="E727" s="1">
        <v>8483007</v>
      </c>
      <c r="F727" s="1">
        <v>35175037</v>
      </c>
      <c r="G727" s="16">
        <v>35475.045005738764</v>
      </c>
      <c r="H727">
        <v>138.27000000000001</v>
      </c>
      <c r="I727" s="1">
        <v>479.71000000000004</v>
      </c>
      <c r="J727" s="16">
        <v>298370.38368785637</v>
      </c>
      <c r="K727" s="5">
        <v>0.14440364588107801</v>
      </c>
      <c r="L727" s="10">
        <v>1084404.8289999999</v>
      </c>
    </row>
    <row r="728" spans="1:12" x14ac:dyDescent="0.25">
      <c r="A728">
        <v>727</v>
      </c>
      <c r="B728" s="3">
        <v>0.11941243346967313</v>
      </c>
      <c r="C728" s="3">
        <v>2.7208257055661128E-2</v>
      </c>
      <c r="D728" s="1">
        <v>132284.33202102201</v>
      </c>
      <c r="E728" s="1">
        <v>4117384</v>
      </c>
      <c r="F728" s="1">
        <v>24649585</v>
      </c>
      <c r="G728" s="16">
        <v>25798.193058170109</v>
      </c>
      <c r="H728">
        <v>83.33</v>
      </c>
      <c r="I728" s="1">
        <v>362.44</v>
      </c>
      <c r="J728" s="16">
        <v>158082.52507919213</v>
      </c>
      <c r="K728" s="5">
        <v>-5.7678993241964342E-2</v>
      </c>
      <c r="L728" s="10">
        <v>-251041.15710000001</v>
      </c>
    </row>
    <row r="729" spans="1:12" x14ac:dyDescent="0.25">
      <c r="A729">
        <v>728</v>
      </c>
      <c r="B729" s="3">
        <v>0.2444924448886116</v>
      </c>
      <c r="C729" s="3">
        <v>3.4158193434215119E-2</v>
      </c>
      <c r="D729" s="1">
        <v>42877.98123236074</v>
      </c>
      <c r="E729" s="1">
        <v>1860889</v>
      </c>
      <c r="F729" s="1">
        <v>13361853</v>
      </c>
      <c r="G729" s="16">
        <v>28425.233918961505</v>
      </c>
      <c r="H729">
        <v>304.23</v>
      </c>
      <c r="I729" s="1">
        <v>694.89</v>
      </c>
      <c r="J729" s="16">
        <v>71303.215151322249</v>
      </c>
      <c r="K729" s="5">
        <v>0.21340800448175318</v>
      </c>
      <c r="L729" s="10">
        <v>387267.5527</v>
      </c>
    </row>
    <row r="730" spans="1:12" x14ac:dyDescent="0.25">
      <c r="A730">
        <v>729</v>
      </c>
      <c r="B730" s="3">
        <v>0.11426493303338606</v>
      </c>
      <c r="C730" s="3">
        <v>2.1211963912917103E-2</v>
      </c>
      <c r="D730" s="1">
        <v>110037.62993463408</v>
      </c>
      <c r="E730" s="1">
        <v>2963688</v>
      </c>
      <c r="F730" s="1">
        <v>18480272</v>
      </c>
      <c r="G730" s="16">
        <v>26843.847812897991</v>
      </c>
      <c r="H730">
        <v>83.71</v>
      </c>
      <c r="I730" s="1">
        <v>336.75999999999993</v>
      </c>
      <c r="J730" s="16">
        <v>136881.47774753207</v>
      </c>
      <c r="K730" s="5">
        <v>0.18928731781421648</v>
      </c>
      <c r="L730" s="10">
        <v>1112062.5160999999</v>
      </c>
    </row>
    <row r="731" spans="1:12" x14ac:dyDescent="0.25">
      <c r="A731">
        <v>730</v>
      </c>
      <c r="B731" s="3">
        <v>0.11530439717563366</v>
      </c>
      <c r="C731" s="3">
        <v>4.3492036903823042E-2</v>
      </c>
      <c r="D731" s="1">
        <v>121164.77394261898</v>
      </c>
      <c r="E731" s="1">
        <v>3274898</v>
      </c>
      <c r="F731" s="1">
        <v>16175015</v>
      </c>
      <c r="G731" s="16">
        <v>53955.115285304957</v>
      </c>
      <c r="H731">
        <v>191.39</v>
      </c>
      <c r="I731" s="1">
        <v>518.13</v>
      </c>
      <c r="J731" s="16">
        <v>175119.88922792394</v>
      </c>
      <c r="K731" s="5">
        <v>0.29480202079346457</v>
      </c>
      <c r="L731" s="10">
        <v>914056.32739999995</v>
      </c>
    </row>
    <row r="732" spans="1:12" x14ac:dyDescent="0.25">
      <c r="A732">
        <v>731</v>
      </c>
      <c r="B732" s="3">
        <v>0.12639349049396362</v>
      </c>
      <c r="C732" s="3">
        <v>7.8101518626421909E-2</v>
      </c>
      <c r="D732" s="1">
        <v>117700.31363292137</v>
      </c>
      <c r="E732" s="1">
        <v>3781960</v>
      </c>
      <c r="F732" s="1">
        <v>21876460</v>
      </c>
      <c r="G732" s="16">
        <v>28031.000008167433</v>
      </c>
      <c r="H732">
        <v>108.68</v>
      </c>
      <c r="I732" s="1">
        <v>387.59999999999997</v>
      </c>
      <c r="J732" s="16">
        <v>145731.31364108881</v>
      </c>
      <c r="K732" s="5">
        <v>0.29351228069962865</v>
      </c>
      <c r="L732" s="10">
        <v>378499.66310000001</v>
      </c>
    </row>
    <row r="733" spans="1:12" x14ac:dyDescent="0.25">
      <c r="A733">
        <v>732</v>
      </c>
      <c r="B733" s="3">
        <v>0.23432873706916077</v>
      </c>
      <c r="C733" s="3">
        <v>4.8301789006325868E-2</v>
      </c>
      <c r="D733" s="1">
        <v>187725.5934866482</v>
      </c>
      <c r="E733" s="1">
        <v>13351034</v>
      </c>
      <c r="F733" s="1">
        <v>48234531</v>
      </c>
      <c r="G733" s="16">
        <v>10558.923466302373</v>
      </c>
      <c r="H733">
        <v>78.86</v>
      </c>
      <c r="I733" s="1">
        <v>209.36</v>
      </c>
      <c r="J733" s="16">
        <v>198284.51695295057</v>
      </c>
      <c r="K733" s="5">
        <v>3.8405884637690325E-2</v>
      </c>
      <c r="L733" s="10">
        <v>114399.4633</v>
      </c>
    </row>
    <row r="734" spans="1:12" x14ac:dyDescent="0.25">
      <c r="A734">
        <v>733</v>
      </c>
      <c r="B734" s="3">
        <v>0.15521046499598518</v>
      </c>
      <c r="C734" s="3">
        <v>2.3427382383151112E-2</v>
      </c>
      <c r="D734" s="1">
        <v>307053.43394685199</v>
      </c>
      <c r="E734" s="1">
        <v>11282952</v>
      </c>
      <c r="F734" s="1">
        <v>38797533</v>
      </c>
      <c r="G734" s="16">
        <v>20139.358045795685</v>
      </c>
      <c r="H734">
        <v>83.23</v>
      </c>
      <c r="I734" s="1">
        <v>253.74</v>
      </c>
      <c r="J734" s="16">
        <v>327192.79199264769</v>
      </c>
      <c r="K734" s="5">
        <v>8.6108607210464067E-2</v>
      </c>
      <c r="L734" s="10">
        <v>1003460.3345999999</v>
      </c>
    </row>
    <row r="735" spans="1:12" x14ac:dyDescent="0.25">
      <c r="A735">
        <v>734</v>
      </c>
      <c r="B735" s="3">
        <v>0.15699327032153745</v>
      </c>
      <c r="C735" s="3">
        <v>4.1064868335666679E-2</v>
      </c>
      <c r="D735" s="1">
        <v>167013.17610028674</v>
      </c>
      <c r="E735" s="1">
        <v>5217469</v>
      </c>
      <c r="F735" s="1">
        <v>21372999</v>
      </c>
      <c r="G735" s="16">
        <v>11831.55685855927</v>
      </c>
      <c r="H735">
        <v>49.6</v>
      </c>
      <c r="I735" s="1">
        <v>246.63</v>
      </c>
      <c r="J735" s="16">
        <v>178844.73295884603</v>
      </c>
      <c r="K735" s="5">
        <v>0.18771834727102482</v>
      </c>
      <c r="L735" s="10">
        <v>654912.43480000005</v>
      </c>
    </row>
    <row r="736" spans="1:12" x14ac:dyDescent="0.25">
      <c r="A736">
        <v>735</v>
      </c>
      <c r="B736" s="3">
        <v>0.11742692721243372</v>
      </c>
      <c r="C736" s="3">
        <v>5.3172151792407488E-2</v>
      </c>
      <c r="D736" s="1">
        <v>316066.35252993146</v>
      </c>
      <c r="E736" s="1">
        <v>9749412</v>
      </c>
      <c r="F736" s="1">
        <v>41570776</v>
      </c>
      <c r="G736" s="16">
        <v>38571.065779580669</v>
      </c>
      <c r="H736">
        <v>139.12</v>
      </c>
      <c r="I736" s="1">
        <v>508.79999999999995</v>
      </c>
      <c r="J736" s="16">
        <v>354637.41830951214</v>
      </c>
      <c r="K736" s="5">
        <v>0.15288328987416622</v>
      </c>
      <c r="L736" s="10">
        <v>815930.18900000001</v>
      </c>
    </row>
    <row r="737" spans="1:12" x14ac:dyDescent="0.25">
      <c r="A737">
        <v>736</v>
      </c>
      <c r="B737" s="3">
        <v>0.24502613094021444</v>
      </c>
      <c r="C737" s="3">
        <v>6.8161003005881876E-2</v>
      </c>
      <c r="D737" s="1">
        <v>117033.094048789</v>
      </c>
      <c r="E737" s="1">
        <v>6741918</v>
      </c>
      <c r="F737" s="1">
        <v>29981883</v>
      </c>
      <c r="G737" s="16">
        <v>23312.729152380492</v>
      </c>
      <c r="H737">
        <v>331.99</v>
      </c>
      <c r="I737" s="1">
        <v>877.7</v>
      </c>
      <c r="J737" s="16">
        <v>140345.82320116949</v>
      </c>
      <c r="K737" s="5">
        <v>3.4943908681698839E-2</v>
      </c>
      <c r="L737" s="10">
        <v>68246.750199999995</v>
      </c>
    </row>
    <row r="738" spans="1:12" x14ac:dyDescent="0.25">
      <c r="A738">
        <v>737</v>
      </c>
      <c r="B738" s="3">
        <v>0.18391608499756978</v>
      </c>
      <c r="C738" s="3">
        <v>2.1037191774213055E-2</v>
      </c>
      <c r="D738" s="1">
        <v>126872.93951536727</v>
      </c>
      <c r="E738" s="1">
        <v>5353430</v>
      </c>
      <c r="F738" s="1">
        <v>32229160</v>
      </c>
      <c r="G738" s="16">
        <v>32011.100380975608</v>
      </c>
      <c r="H738">
        <v>199.94</v>
      </c>
      <c r="I738" s="1">
        <v>618.51</v>
      </c>
      <c r="J738" s="16">
        <v>158884.03989634287</v>
      </c>
      <c r="K738" s="5">
        <v>0.12500695531406117</v>
      </c>
      <c r="L738" s="10">
        <v>875773.47369999997</v>
      </c>
    </row>
    <row r="739" spans="1:12" x14ac:dyDescent="0.25">
      <c r="A739">
        <v>738</v>
      </c>
      <c r="B739" s="3">
        <v>0.15890081093430869</v>
      </c>
      <c r="C739" s="3">
        <v>6.8697670435067762E-2</v>
      </c>
      <c r="D739" s="1">
        <v>126315.34381629697</v>
      </c>
      <c r="E739" s="1">
        <v>4723564</v>
      </c>
      <c r="F739" s="1">
        <v>22256577</v>
      </c>
      <c r="G739" s="16">
        <v>16786.857766316156</v>
      </c>
      <c r="H739">
        <v>71.400000000000006</v>
      </c>
      <c r="I739" s="1">
        <v>307.99</v>
      </c>
      <c r="J739" s="16">
        <v>143102.20158261311</v>
      </c>
      <c r="K739" s="5">
        <v>5.0301042531987521E-2</v>
      </c>
      <c r="L739" s="10">
        <v>94762.147700000001</v>
      </c>
    </row>
    <row r="740" spans="1:12" x14ac:dyDescent="0.25">
      <c r="A740">
        <v>739</v>
      </c>
      <c r="B740" s="3">
        <v>0.10460003441858867</v>
      </c>
      <c r="C740" s="3">
        <v>2.3360668582930823E-2</v>
      </c>
      <c r="D740" s="1">
        <v>171121.47932751646</v>
      </c>
      <c r="E740" s="1">
        <v>4461247</v>
      </c>
      <c r="F740" s="1">
        <v>20775289</v>
      </c>
      <c r="G740" s="16">
        <v>29378.055230161186</v>
      </c>
      <c r="H740">
        <v>85.87</v>
      </c>
      <c r="I740" s="1">
        <v>277.33000000000004</v>
      </c>
      <c r="J740" s="16">
        <v>200499.53455767763</v>
      </c>
      <c r="K740" s="5">
        <v>-4.9046523932904665E-2</v>
      </c>
      <c r="L740" s="10">
        <v>-330956.4411</v>
      </c>
    </row>
    <row r="741" spans="1:12" x14ac:dyDescent="0.25">
      <c r="A741">
        <v>740</v>
      </c>
      <c r="B741" s="3">
        <v>0.11178429950355831</v>
      </c>
      <c r="C741" s="3">
        <v>3.6588196366886219E-2</v>
      </c>
      <c r="D741" s="1">
        <v>57040.369408992614</v>
      </c>
      <c r="E741" s="1">
        <v>1523457</v>
      </c>
      <c r="F741" s="1">
        <v>12493246</v>
      </c>
      <c r="G741" s="16">
        <v>57128.752458416449</v>
      </c>
      <c r="H741">
        <v>197</v>
      </c>
      <c r="I741" s="1">
        <v>483.51</v>
      </c>
      <c r="J741" s="16">
        <v>114169.12186740906</v>
      </c>
      <c r="K741" s="5">
        <v>0.14061841053276292</v>
      </c>
      <c r="L741" s="10">
        <v>375209.59289999999</v>
      </c>
    </row>
    <row r="742" spans="1:12" x14ac:dyDescent="0.25">
      <c r="A742">
        <v>741</v>
      </c>
      <c r="B742" s="3">
        <v>0.11327224955368698</v>
      </c>
      <c r="C742" s="3">
        <v>7.6141355609045433E-2</v>
      </c>
      <c r="D742" s="1">
        <v>334325.6195237966</v>
      </c>
      <c r="E742" s="1">
        <v>10120725</v>
      </c>
      <c r="F742" s="1">
        <v>36402883</v>
      </c>
      <c r="G742" s="16">
        <v>96908.630572714363</v>
      </c>
      <c r="H742">
        <v>381.3</v>
      </c>
      <c r="I742" s="1">
        <v>1138.74</v>
      </c>
      <c r="J742" s="16">
        <v>431234.25009651098</v>
      </c>
      <c r="K742" s="5">
        <v>0.12397313916588779</v>
      </c>
      <c r="L742" s="10">
        <v>434751.55359999998</v>
      </c>
    </row>
    <row r="743" spans="1:12" x14ac:dyDescent="0.25">
      <c r="A743">
        <v>742</v>
      </c>
      <c r="B743" s="3">
        <v>0.20864283704192288</v>
      </c>
      <c r="C743" s="3">
        <v>4.8995963493025624E-2</v>
      </c>
      <c r="D743" s="1">
        <v>351602.58751893288</v>
      </c>
      <c r="E743" s="1">
        <v>21202758</v>
      </c>
      <c r="F743" s="1">
        <v>64827096</v>
      </c>
      <c r="G743" s="16">
        <v>25550.335994691381</v>
      </c>
      <c r="H743">
        <v>197.8</v>
      </c>
      <c r="I743" s="1">
        <v>531.65</v>
      </c>
      <c r="J743" s="16">
        <v>377152.92351362424</v>
      </c>
      <c r="K743" s="5">
        <v>0.28422912604918688</v>
      </c>
      <c r="L743" s="10">
        <v>1593169.7363</v>
      </c>
    </row>
    <row r="744" spans="1:12" x14ac:dyDescent="0.25">
      <c r="A744">
        <v>743</v>
      </c>
      <c r="B744" s="3">
        <v>0.17445479378832796</v>
      </c>
      <c r="C744" s="3">
        <v>6.0457089522695628E-2</v>
      </c>
      <c r="D744" s="1">
        <v>67936.407423062585</v>
      </c>
      <c r="E744" s="1">
        <v>2259868</v>
      </c>
      <c r="F744" s="1">
        <v>12181919</v>
      </c>
      <c r="G744" s="16">
        <v>12458.32662967933</v>
      </c>
      <c r="H744">
        <v>59.27</v>
      </c>
      <c r="I744" s="1">
        <v>278.48999999999995</v>
      </c>
      <c r="J744" s="16">
        <v>80394.734052741915</v>
      </c>
      <c r="K744" s="5">
        <v>0.11792751332267168</v>
      </c>
      <c r="L744" s="10">
        <v>110095.4823</v>
      </c>
    </row>
    <row r="745" spans="1:12" x14ac:dyDescent="0.25">
      <c r="A745">
        <v>744</v>
      </c>
      <c r="B745" s="3">
        <v>0.13580100373522497</v>
      </c>
      <c r="C745" s="3">
        <v>2.5074120703169014E-2</v>
      </c>
      <c r="D745" s="1">
        <v>178520.88814948488</v>
      </c>
      <c r="E745" s="1">
        <v>5176674</v>
      </c>
      <c r="F745" s="1">
        <v>20378719</v>
      </c>
      <c r="G745" s="16">
        <v>42375.836852235443</v>
      </c>
      <c r="H745">
        <v>177.28</v>
      </c>
      <c r="I745" s="1">
        <v>532.30999999999995</v>
      </c>
      <c r="J745" s="16">
        <v>220896.7250017203</v>
      </c>
      <c r="K745" s="5">
        <v>1.2145316813132842E-2</v>
      </c>
      <c r="L745" s="10">
        <v>96106.767800000001</v>
      </c>
    </row>
    <row r="746" spans="1:12" x14ac:dyDescent="0.25">
      <c r="A746">
        <v>745</v>
      </c>
      <c r="B746" s="3">
        <v>0.16644663911817265</v>
      </c>
      <c r="C746" s="3">
        <v>7.3671518619142146E-2</v>
      </c>
      <c r="D746" s="1">
        <v>160125.95380272286</v>
      </c>
      <c r="E746" s="1">
        <v>6207696</v>
      </c>
      <c r="F746" s="1">
        <v>25556855</v>
      </c>
      <c r="G746" s="16">
        <v>22797.09557171477</v>
      </c>
      <c r="H746">
        <v>102.25</v>
      </c>
      <c r="I746" s="1">
        <v>383.41999999999996</v>
      </c>
      <c r="J746" s="16">
        <v>182923.04937443763</v>
      </c>
      <c r="K746" s="5">
        <v>0.12187701904363998</v>
      </c>
      <c r="L746" s="10">
        <v>195542.10709999999</v>
      </c>
    </row>
    <row r="747" spans="1:12" x14ac:dyDescent="0.25">
      <c r="A747">
        <v>746</v>
      </c>
      <c r="B747" s="3">
        <v>0.18152266392071983</v>
      </c>
      <c r="C747" s="3">
        <v>7.4784351597524473E-2</v>
      </c>
      <c r="D747" s="1">
        <v>97917.008778641102</v>
      </c>
      <c r="E747" s="1">
        <v>3342265</v>
      </c>
      <c r="F747" s="1">
        <v>17026888</v>
      </c>
      <c r="G747" s="16">
        <v>44759.12518981169</v>
      </c>
      <c r="H747">
        <v>334.19</v>
      </c>
      <c r="I747" s="1">
        <v>907.85000000000014</v>
      </c>
      <c r="J747" s="16">
        <v>142676.13396845281</v>
      </c>
      <c r="K747" s="5">
        <v>0.30780821157683169</v>
      </c>
      <c r="L747" s="10">
        <v>377472.95899999997</v>
      </c>
    </row>
    <row r="748" spans="1:12" x14ac:dyDescent="0.25">
      <c r="A748">
        <v>747</v>
      </c>
      <c r="B748" s="3">
        <v>0.20271107993362564</v>
      </c>
      <c r="C748" s="3">
        <v>7.2830334516002557E-2</v>
      </c>
      <c r="D748" s="1">
        <v>97760.59812468497</v>
      </c>
      <c r="E748" s="1">
        <v>3610104</v>
      </c>
      <c r="F748" s="1">
        <v>20472512</v>
      </c>
      <c r="G748" s="16">
        <v>28719.18581631943</v>
      </c>
      <c r="H748">
        <v>264.86</v>
      </c>
      <c r="I748" s="1">
        <v>842.34</v>
      </c>
      <c r="J748" s="16">
        <v>126479.7839410044</v>
      </c>
      <c r="K748" s="5">
        <v>3.6493935273046119E-2</v>
      </c>
      <c r="L748" s="10">
        <v>62415.582999999999</v>
      </c>
    </row>
    <row r="749" spans="1:12" x14ac:dyDescent="0.25">
      <c r="A749">
        <v>748</v>
      </c>
      <c r="B749" s="3">
        <v>0.23184610003178427</v>
      </c>
      <c r="C749" s="3">
        <v>6.4919585506371294E-2</v>
      </c>
      <c r="D749" s="1">
        <v>58759.122186577239</v>
      </c>
      <c r="E749" s="1">
        <v>2426239</v>
      </c>
      <c r="F749" s="1">
        <v>17187406</v>
      </c>
      <c r="G749" s="16">
        <v>10775.97348162695</v>
      </c>
      <c r="H749">
        <v>78.930000000000007</v>
      </c>
      <c r="I749" s="1">
        <v>223.76000000000002</v>
      </c>
      <c r="J749" s="16">
        <v>69535.095668204187</v>
      </c>
      <c r="K749" s="5">
        <v>9.6609778569453741E-2</v>
      </c>
      <c r="L749" s="10">
        <v>88154.751099999994</v>
      </c>
    </row>
    <row r="750" spans="1:12" x14ac:dyDescent="0.25">
      <c r="A750">
        <v>749</v>
      </c>
      <c r="B750" s="3">
        <v>0.1816246331542401</v>
      </c>
      <c r="C750" s="3">
        <v>3.6404265901493038E-2</v>
      </c>
      <c r="D750" s="1">
        <v>201534.13894931931</v>
      </c>
      <c r="E750" s="1">
        <v>10275164</v>
      </c>
      <c r="F750" s="1">
        <v>51079316</v>
      </c>
      <c r="G750" s="16">
        <v>46069.700819569232</v>
      </c>
      <c r="H750">
        <v>344.04</v>
      </c>
      <c r="I750" s="1">
        <v>868.01</v>
      </c>
      <c r="J750" s="16">
        <v>247603.83976888855</v>
      </c>
      <c r="K750" s="5">
        <v>2.0365439468534693E-2</v>
      </c>
      <c r="L750" s="10">
        <v>115887.3466</v>
      </c>
    </row>
    <row r="751" spans="1:12" x14ac:dyDescent="0.25">
      <c r="A751">
        <v>750</v>
      </c>
      <c r="B751" s="3">
        <v>0.24901928842753515</v>
      </c>
      <c r="C751" s="3">
        <v>7.9522526403600163E-2</v>
      </c>
      <c r="D751" s="1">
        <v>86108.381403869251</v>
      </c>
      <c r="E751" s="1">
        <v>3805071</v>
      </c>
      <c r="F751" s="1">
        <v>15407438</v>
      </c>
      <c r="G751" s="16">
        <v>15549.12949223105</v>
      </c>
      <c r="H751">
        <v>173.38</v>
      </c>
      <c r="I751" s="1">
        <v>428.74</v>
      </c>
      <c r="J751" s="16">
        <v>101657.5108961003</v>
      </c>
      <c r="K751" s="5">
        <v>0.10749417139099289</v>
      </c>
      <c r="L751" s="10">
        <v>91630.660300000003</v>
      </c>
    </row>
    <row r="752" spans="1:12" x14ac:dyDescent="0.25">
      <c r="A752">
        <v>751</v>
      </c>
      <c r="B752" s="3">
        <v>0.10376124021881471</v>
      </c>
      <c r="C752" s="3">
        <v>7.0732711285766192E-2</v>
      </c>
      <c r="D752" s="1">
        <v>203277.8242360134</v>
      </c>
      <c r="E752" s="1">
        <v>5896550</v>
      </c>
      <c r="F752" s="1">
        <v>28677151</v>
      </c>
      <c r="G752" s="16">
        <v>73305.228471832059</v>
      </c>
      <c r="H752">
        <v>265.10000000000002</v>
      </c>
      <c r="I752" s="1">
        <v>847.22</v>
      </c>
      <c r="J752" s="16">
        <v>276583.05270784546</v>
      </c>
      <c r="K752" s="5">
        <v>-2.2284092293673785E-2</v>
      </c>
      <c r="L752" s="10">
        <v>-46365.2071</v>
      </c>
    </row>
    <row r="753" spans="1:12" x14ac:dyDescent="0.25">
      <c r="A753">
        <v>752</v>
      </c>
      <c r="B753" s="3">
        <v>0.11262716558411184</v>
      </c>
      <c r="C753" s="3">
        <v>4.7342424743229777E-2</v>
      </c>
      <c r="D753" s="1">
        <v>97927.313091337099</v>
      </c>
      <c r="E753" s="1">
        <v>2622937</v>
      </c>
      <c r="F753" s="1">
        <v>14057189</v>
      </c>
      <c r="G753" s="16">
        <v>41472.141173669457</v>
      </c>
      <c r="H753">
        <v>127.85</v>
      </c>
      <c r="I753" s="1">
        <v>325.59000000000003</v>
      </c>
      <c r="J753" s="16">
        <v>139399.45426500656</v>
      </c>
      <c r="K753" s="5">
        <v>0.15734688676687822</v>
      </c>
      <c r="L753" s="10">
        <v>353909.63949999999</v>
      </c>
    </row>
    <row r="754" spans="1:12" x14ac:dyDescent="0.25">
      <c r="A754">
        <v>753</v>
      </c>
      <c r="B754" s="3">
        <v>0.12301694402507088</v>
      </c>
      <c r="C754" s="3">
        <v>6.3572555100092978E-2</v>
      </c>
      <c r="D754" s="1">
        <v>66720.244220031498</v>
      </c>
      <c r="E754" s="1">
        <v>1851345</v>
      </c>
      <c r="F754" s="1">
        <v>12222574</v>
      </c>
      <c r="G754" s="16">
        <v>17123.417508639355</v>
      </c>
      <c r="H754">
        <v>56.74</v>
      </c>
      <c r="I754" s="1">
        <v>210.92000000000002</v>
      </c>
      <c r="J754" s="16">
        <v>83843.66172867085</v>
      </c>
      <c r="K754" s="5">
        <v>1.6077765777791679E-2</v>
      </c>
      <c r="L754" s="10">
        <v>32876.150900000001</v>
      </c>
    </row>
    <row r="755" spans="1:12" x14ac:dyDescent="0.25">
      <c r="A755">
        <v>754</v>
      </c>
      <c r="B755" s="3">
        <v>0.11275821775567779</v>
      </c>
      <c r="C755" s="3">
        <v>2.3421251575308756E-2</v>
      </c>
      <c r="D755" s="1">
        <v>126418.40483618993</v>
      </c>
      <c r="E755" s="1">
        <v>3387565</v>
      </c>
      <c r="F755" s="1">
        <v>16580195</v>
      </c>
      <c r="G755" s="16">
        <v>47960.941714791283</v>
      </c>
      <c r="H755">
        <v>166.83</v>
      </c>
      <c r="I755" s="1">
        <v>463.45000000000005</v>
      </c>
      <c r="J755" s="16">
        <v>174379.34655098122</v>
      </c>
      <c r="K755" s="5">
        <v>0.24110946679790335</v>
      </c>
      <c r="L755" s="10">
        <v>1547791.81</v>
      </c>
    </row>
    <row r="756" spans="1:12" x14ac:dyDescent="0.25">
      <c r="A756">
        <v>755</v>
      </c>
      <c r="B756" s="3">
        <v>0.17463704825948714</v>
      </c>
      <c r="C756" s="3">
        <v>6.7186406005835531E-2</v>
      </c>
      <c r="D756" s="1">
        <v>232893.32654324535</v>
      </c>
      <c r="E756" s="1">
        <v>9392467</v>
      </c>
      <c r="F756" s="1">
        <v>37166009</v>
      </c>
      <c r="G756" s="16">
        <v>22693.257650236643</v>
      </c>
      <c r="H756">
        <v>108</v>
      </c>
      <c r="I756" s="1">
        <v>316.3</v>
      </c>
      <c r="J756" s="16">
        <v>255586.58419348201</v>
      </c>
      <c r="K756" s="5">
        <v>6.4310578001953778E-2</v>
      </c>
      <c r="L756" s="10">
        <v>205230.0557</v>
      </c>
    </row>
    <row r="757" spans="1:12" x14ac:dyDescent="0.25">
      <c r="A757">
        <v>756</v>
      </c>
      <c r="B757" s="3">
        <v>0.15027062800001029</v>
      </c>
      <c r="C757" s="3">
        <v>2.6392836521974487E-2</v>
      </c>
      <c r="D757" s="1">
        <v>117696.00050886215</v>
      </c>
      <c r="E757" s="1">
        <v>4225152</v>
      </c>
      <c r="F757" s="1">
        <v>23998203</v>
      </c>
      <c r="G757" s="16">
        <v>23930.943582495052</v>
      </c>
      <c r="H757">
        <v>95.61</v>
      </c>
      <c r="I757" s="1">
        <v>268.56</v>
      </c>
      <c r="J757" s="16">
        <v>141626.9440913572</v>
      </c>
      <c r="K757" s="5">
        <v>7.2875965179556496E-2</v>
      </c>
      <c r="L757" s="10">
        <v>355486.01809999999</v>
      </c>
    </row>
    <row r="758" spans="1:12" x14ac:dyDescent="0.25">
      <c r="A758">
        <v>757</v>
      </c>
      <c r="B758" s="3">
        <v>0.15324129225687314</v>
      </c>
      <c r="C758" s="3">
        <v>4.3330879529015848E-2</v>
      </c>
      <c r="D758" s="1">
        <v>387834.10481897631</v>
      </c>
      <c r="E758" s="1">
        <v>16674396</v>
      </c>
      <c r="F758" s="1">
        <v>53511588</v>
      </c>
      <c r="G758" s="16">
        <v>12426.084792805144</v>
      </c>
      <c r="H758">
        <v>50.79</v>
      </c>
      <c r="I758" s="1">
        <v>221.12999999999997</v>
      </c>
      <c r="J758" s="16">
        <v>400260.18961178145</v>
      </c>
      <c r="K758" s="5">
        <v>-2.2192862868349497E-2</v>
      </c>
      <c r="L758" s="10">
        <v>-114258.3201</v>
      </c>
    </row>
    <row r="759" spans="1:12" x14ac:dyDescent="0.25">
      <c r="A759">
        <v>758</v>
      </c>
      <c r="B759" s="3">
        <v>0.23423590966659263</v>
      </c>
      <c r="C759" s="3">
        <v>5.5183759045727754E-2</v>
      </c>
      <c r="D759" s="1">
        <v>178336.80885112987</v>
      </c>
      <c r="E759" s="1">
        <v>12675614</v>
      </c>
      <c r="F759" s="1">
        <v>52583947</v>
      </c>
      <c r="G759" s="16">
        <v>6517.3540030406675</v>
      </c>
      <c r="H759">
        <v>37.119999999999997</v>
      </c>
      <c r="I759" s="1">
        <v>130.58000000000001</v>
      </c>
      <c r="J759" s="16">
        <v>184854.16285417054</v>
      </c>
      <c r="K759" s="5">
        <v>6.6097319616791855E-2</v>
      </c>
      <c r="L759" s="10">
        <v>200301.5356</v>
      </c>
    </row>
    <row r="760" spans="1:12" x14ac:dyDescent="0.25">
      <c r="A760">
        <v>759</v>
      </c>
      <c r="B760" s="3">
        <v>0.18480878459107797</v>
      </c>
      <c r="C760" s="3">
        <v>4.5304646395996157E-2</v>
      </c>
      <c r="D760" s="1">
        <v>83009.811805905207</v>
      </c>
      <c r="E760" s="1">
        <v>2867836</v>
      </c>
      <c r="F760" s="1">
        <v>13689230</v>
      </c>
      <c r="G760" s="16">
        <v>23647.692807858806</v>
      </c>
      <c r="H760">
        <v>148.63</v>
      </c>
      <c r="I760" s="1">
        <v>427.33000000000004</v>
      </c>
      <c r="J760" s="16">
        <v>106657.50461376402</v>
      </c>
      <c r="K760" s="5">
        <v>0.10214142636526077</v>
      </c>
      <c r="L760" s="10">
        <v>200135.42110000001</v>
      </c>
    </row>
    <row r="761" spans="1:12" x14ac:dyDescent="0.25">
      <c r="A761">
        <v>760</v>
      </c>
      <c r="B761" s="3">
        <v>0.10114352452700953</v>
      </c>
      <c r="C761" s="3">
        <v>5.1909797152536394E-2</v>
      </c>
      <c r="D761" s="1">
        <v>156360.47425723827</v>
      </c>
      <c r="E761" s="1">
        <v>4482991</v>
      </c>
      <c r="F761" s="1">
        <v>25699104</v>
      </c>
      <c r="G761" s="16">
        <v>19384.932545372103</v>
      </c>
      <c r="H761">
        <v>55.27</v>
      </c>
      <c r="I761" s="1">
        <v>268.65999999999997</v>
      </c>
      <c r="J761" s="16">
        <v>175745.40680261038</v>
      </c>
      <c r="K761" s="5">
        <v>0.18888411105549432</v>
      </c>
      <c r="L761" s="10">
        <v>522888.09159999999</v>
      </c>
    </row>
    <row r="762" spans="1:12" x14ac:dyDescent="0.25">
      <c r="A762">
        <v>761</v>
      </c>
      <c r="B762" s="3">
        <v>0.21369397064801121</v>
      </c>
      <c r="C762" s="3">
        <v>7.9386497440581044E-2</v>
      </c>
      <c r="D762" s="1">
        <v>114973.53591706994</v>
      </c>
      <c r="E762" s="1">
        <v>5629042</v>
      </c>
      <c r="F762" s="1">
        <v>26462038</v>
      </c>
      <c r="G762" s="16">
        <v>32989.727480291855</v>
      </c>
      <c r="H762">
        <v>267.11</v>
      </c>
      <c r="I762" s="1">
        <v>713.51</v>
      </c>
      <c r="J762" s="16">
        <v>147963.26339736179</v>
      </c>
      <c r="K762" s="5">
        <v>8.3206608473406385E-2</v>
      </c>
      <c r="L762" s="10">
        <v>121452.4804</v>
      </c>
    </row>
    <row r="763" spans="1:12" x14ac:dyDescent="0.25">
      <c r="A763">
        <v>762</v>
      </c>
      <c r="B763" s="3">
        <v>0.2026951488781204</v>
      </c>
      <c r="C763" s="3">
        <v>7.1528374639744166E-2</v>
      </c>
      <c r="D763" s="1">
        <v>108579.65057857781</v>
      </c>
      <c r="E763" s="1">
        <v>4009387</v>
      </c>
      <c r="F763" s="1">
        <v>18608899</v>
      </c>
      <c r="G763" s="16">
        <v>16412.440490831428</v>
      </c>
      <c r="H763">
        <v>120.58</v>
      </c>
      <c r="I763" s="1">
        <v>402.69</v>
      </c>
      <c r="J763" s="16">
        <v>124992.09106940925</v>
      </c>
      <c r="K763" s="5">
        <v>0.16345254463751888</v>
      </c>
      <c r="L763" s="10">
        <v>196845.47760000001</v>
      </c>
    </row>
    <row r="764" spans="1:12" x14ac:dyDescent="0.25">
      <c r="A764">
        <v>763</v>
      </c>
      <c r="B764" s="3">
        <v>0.24632509346440137</v>
      </c>
      <c r="C764" s="3">
        <v>2.4806674905288061E-2</v>
      </c>
      <c r="D764" s="1">
        <v>84748.764810890905</v>
      </c>
      <c r="E764" s="1">
        <v>4915872</v>
      </c>
      <c r="F764" s="1">
        <v>24583815</v>
      </c>
      <c r="G764" s="16">
        <v>13648.870217534159</v>
      </c>
      <c r="H764">
        <v>148.61000000000001</v>
      </c>
      <c r="I764" s="1">
        <v>457.38</v>
      </c>
      <c r="J764" s="16">
        <v>98397.635028425066</v>
      </c>
      <c r="K764" s="5">
        <v>0.13538037276770742</v>
      </c>
      <c r="L764" s="10">
        <v>468783.41739999998</v>
      </c>
    </row>
    <row r="765" spans="1:12" x14ac:dyDescent="0.25">
      <c r="A765">
        <v>764</v>
      </c>
      <c r="B765" s="3">
        <v>0.13992248167921525</v>
      </c>
      <c r="C765" s="3">
        <v>2.3158530472007281E-2</v>
      </c>
      <c r="D765" s="1">
        <v>271101.43611854041</v>
      </c>
      <c r="E765" s="1">
        <v>9272237</v>
      </c>
      <c r="F765" s="1">
        <v>38517157</v>
      </c>
      <c r="G765" s="16">
        <v>40855.331346397565</v>
      </c>
      <c r="H765">
        <v>176.52</v>
      </c>
      <c r="I765" s="1">
        <v>518.21</v>
      </c>
      <c r="J765" s="16">
        <v>311956.76746493799</v>
      </c>
      <c r="K765" s="5">
        <v>0.1763785467098031</v>
      </c>
      <c r="L765" s="10">
        <v>2026410.1810000001</v>
      </c>
    </row>
    <row r="766" spans="1:12" x14ac:dyDescent="0.25">
      <c r="A766">
        <v>765</v>
      </c>
      <c r="B766" s="3">
        <v>0.16453121511241825</v>
      </c>
      <c r="C766" s="3">
        <v>7.5101424581562201E-2</v>
      </c>
      <c r="D766" s="1">
        <v>231444.87446341803</v>
      </c>
      <c r="E766" s="1">
        <v>10641422</v>
      </c>
      <c r="F766" s="1">
        <v>46139465</v>
      </c>
      <c r="G766" s="16">
        <v>14816.377607017701</v>
      </c>
      <c r="H766">
        <v>65.56</v>
      </c>
      <c r="I766" s="1">
        <v>243.11</v>
      </c>
      <c r="J766" s="16">
        <v>246261.25207043573</v>
      </c>
      <c r="K766" s="5">
        <v>0.15436738029641078</v>
      </c>
      <c r="L766" s="10">
        <v>327680.73229999997</v>
      </c>
    </row>
    <row r="767" spans="1:12" x14ac:dyDescent="0.25">
      <c r="A767">
        <v>766</v>
      </c>
      <c r="B767" s="3">
        <v>0.1716109026899244</v>
      </c>
      <c r="C767" s="3">
        <v>5.482587384260218E-2</v>
      </c>
      <c r="D767" s="1">
        <v>41828.229045227883</v>
      </c>
      <c r="E767" s="1">
        <v>1377112</v>
      </c>
      <c r="F767" s="1">
        <v>12691399</v>
      </c>
      <c r="G767" s="16">
        <v>26419.97850469207</v>
      </c>
      <c r="H767">
        <v>148.33000000000001</v>
      </c>
      <c r="I767" s="1">
        <v>472.14</v>
      </c>
      <c r="J767" s="16">
        <v>68248.207549919956</v>
      </c>
      <c r="K767" s="5">
        <v>0.16352636872549084</v>
      </c>
      <c r="L767" s="10">
        <v>169113.0563</v>
      </c>
    </row>
    <row r="768" spans="1:12" x14ac:dyDescent="0.25">
      <c r="A768">
        <v>767</v>
      </c>
      <c r="B768" s="3">
        <v>0.18717083838774079</v>
      </c>
      <c r="C768" s="3">
        <v>3.3988899498539206E-2</v>
      </c>
      <c r="D768" s="1">
        <v>234075.32553722753</v>
      </c>
      <c r="E768" s="1">
        <v>12347029</v>
      </c>
      <c r="F768" s="1">
        <v>51003141</v>
      </c>
      <c r="G768" s="16">
        <v>30528.05554445849</v>
      </c>
      <c r="H768">
        <v>195.7</v>
      </c>
      <c r="I768" s="1">
        <v>539.9</v>
      </c>
      <c r="J768" s="16">
        <v>264603.38108168601</v>
      </c>
      <c r="K768" s="5">
        <v>7.5342204283821684E-2</v>
      </c>
      <c r="L768" s="10">
        <v>497631.17859999998</v>
      </c>
    </row>
    <row r="769" spans="1:12" x14ac:dyDescent="0.25">
      <c r="A769">
        <v>768</v>
      </c>
      <c r="B769" s="3">
        <v>0.22534446899302168</v>
      </c>
      <c r="C769" s="3">
        <v>5.3556895309983907E-2</v>
      </c>
      <c r="D769" s="1">
        <v>68244.940828530773</v>
      </c>
      <c r="E769" s="1">
        <v>3546817</v>
      </c>
      <c r="F769" s="1">
        <v>23740442</v>
      </c>
      <c r="G769" s="16">
        <v>15900.49318615025</v>
      </c>
      <c r="H769">
        <v>110.63</v>
      </c>
      <c r="I769" s="1">
        <v>361.49</v>
      </c>
      <c r="J769" s="16">
        <v>84145.434014681028</v>
      </c>
      <c r="K769" s="5">
        <v>0.16096157822186169</v>
      </c>
      <c r="L769" s="10">
        <v>233302.87950000001</v>
      </c>
    </row>
    <row r="770" spans="1:12" x14ac:dyDescent="0.25">
      <c r="A770">
        <v>769</v>
      </c>
      <c r="B770" s="3">
        <v>0.13401457834134423</v>
      </c>
      <c r="C770" s="3">
        <v>4.992939173054739E-2</v>
      </c>
      <c r="D770" s="1">
        <v>344130.73173578741</v>
      </c>
      <c r="E770" s="1">
        <v>11452074</v>
      </c>
      <c r="F770" s="1">
        <v>42702875</v>
      </c>
      <c r="G770" s="16">
        <v>26494.940573706041</v>
      </c>
      <c r="H770">
        <v>94.5</v>
      </c>
      <c r="I770" s="1">
        <v>299.78999999999996</v>
      </c>
      <c r="J770" s="16">
        <v>370625.67230949347</v>
      </c>
      <c r="K770" s="5">
        <v>0.16768418567548404</v>
      </c>
      <c r="L770" s="10">
        <v>890698.94400000002</v>
      </c>
    </row>
    <row r="771" spans="1:12" x14ac:dyDescent="0.25">
      <c r="A771">
        <v>770</v>
      </c>
      <c r="B771" s="3">
        <v>0.22824595228753344</v>
      </c>
      <c r="C771" s="3">
        <v>2.3955187944918112E-2</v>
      </c>
      <c r="D771" s="1">
        <v>108754.7512908088</v>
      </c>
      <c r="E771" s="1">
        <v>7434578</v>
      </c>
      <c r="F771" s="1">
        <v>52030859</v>
      </c>
      <c r="G771" s="16">
        <v>11866.084299774306</v>
      </c>
      <c r="H771">
        <v>109.54</v>
      </c>
      <c r="I771" s="1">
        <v>471.58000000000004</v>
      </c>
      <c r="J771" s="16">
        <v>120620.8355905831</v>
      </c>
      <c r="K771" s="5">
        <v>6.8334103547616903E-3</v>
      </c>
      <c r="L771" s="10">
        <v>66251.609800000006</v>
      </c>
    </row>
    <row r="772" spans="1:12" x14ac:dyDescent="0.25">
      <c r="A772">
        <v>771</v>
      </c>
      <c r="B772" s="3">
        <v>0.22604650857482195</v>
      </c>
      <c r="C772" s="3">
        <v>4.9528784862370695E-2</v>
      </c>
      <c r="D772" s="1">
        <v>214289.37646323902</v>
      </c>
      <c r="E772" s="1">
        <v>11177474</v>
      </c>
      <c r="F772" s="1">
        <v>34922287</v>
      </c>
      <c r="G772" s="16">
        <v>11954.639445830822</v>
      </c>
      <c r="H772">
        <v>83.59</v>
      </c>
      <c r="I772" s="1">
        <v>270.13</v>
      </c>
      <c r="J772" s="16">
        <v>226244.01590906986</v>
      </c>
      <c r="K772" s="5">
        <v>0.18277354605875454</v>
      </c>
      <c r="L772" s="10">
        <v>609326.3027</v>
      </c>
    </row>
    <row r="773" spans="1:12" x14ac:dyDescent="0.25">
      <c r="A773">
        <v>772</v>
      </c>
      <c r="B773" s="3">
        <v>0.20923992236015249</v>
      </c>
      <c r="C773" s="3">
        <v>2.6217909596666169E-2</v>
      </c>
      <c r="D773" s="1">
        <v>164420.1785276001</v>
      </c>
      <c r="E773" s="1">
        <v>9952549</v>
      </c>
      <c r="F773" s="1">
        <v>43838907</v>
      </c>
      <c r="G773" s="16">
        <v>28406.683462943918</v>
      </c>
      <c r="H773">
        <v>221.31</v>
      </c>
      <c r="I773" s="1">
        <v>736.77</v>
      </c>
      <c r="J773" s="16">
        <v>192826.86199054401</v>
      </c>
      <c r="K773" s="5">
        <v>0.29314921702255498</v>
      </c>
      <c r="L773" s="10">
        <v>1879479.6322000001</v>
      </c>
    </row>
    <row r="774" spans="1:12" x14ac:dyDescent="0.25">
      <c r="A774">
        <v>773</v>
      </c>
      <c r="B774" s="3">
        <v>0.10973872985542636</v>
      </c>
      <c r="C774" s="3">
        <v>7.2774565491117119E-2</v>
      </c>
      <c r="D774" s="1">
        <v>64611.352936016498</v>
      </c>
      <c r="E774" s="1">
        <v>1713797</v>
      </c>
      <c r="F774" s="1">
        <v>15220718</v>
      </c>
      <c r="G774" s="16">
        <v>21528.580626800889</v>
      </c>
      <c r="H774">
        <v>58</v>
      </c>
      <c r="I774" s="1">
        <v>178.2</v>
      </c>
      <c r="J774" s="16">
        <v>86139.933562817387</v>
      </c>
      <c r="K774" s="5">
        <v>-8.0048662905282369E-2</v>
      </c>
      <c r="L774" s="10">
        <v>-34843.637499999997</v>
      </c>
    </row>
    <row r="775" spans="1:12" x14ac:dyDescent="0.25">
      <c r="A775">
        <v>774</v>
      </c>
      <c r="B775" s="3">
        <v>0.19067748938746548</v>
      </c>
      <c r="C775" s="3">
        <v>5.6596110284958687E-2</v>
      </c>
      <c r="D775" s="1">
        <v>200060.15690036654</v>
      </c>
      <c r="E775" s="1">
        <v>8727245</v>
      </c>
      <c r="F775" s="1">
        <v>30367790</v>
      </c>
      <c r="G775" s="16">
        <v>24718.739472956109</v>
      </c>
      <c r="H775">
        <v>132.61000000000001</v>
      </c>
      <c r="I775" s="1">
        <v>319.25</v>
      </c>
      <c r="J775" s="16">
        <v>224778.89637332264</v>
      </c>
      <c r="K775" s="5">
        <v>7.1002626421320311E-2</v>
      </c>
      <c r="L775" s="10">
        <v>226350.91680000001</v>
      </c>
    </row>
    <row r="776" spans="1:12" x14ac:dyDescent="0.25">
      <c r="A776">
        <v>775</v>
      </c>
      <c r="B776" s="3">
        <v>0.12710147573142339</v>
      </c>
      <c r="C776" s="3">
        <v>6.7282308239337604E-2</v>
      </c>
      <c r="D776" s="1">
        <v>152428.66789561158</v>
      </c>
      <c r="E776" s="1">
        <v>4913769</v>
      </c>
      <c r="F776" s="1">
        <v>27964622</v>
      </c>
      <c r="G776" s="16">
        <v>44778.684337218314</v>
      </c>
      <c r="H776">
        <v>174.46</v>
      </c>
      <c r="I776" s="1">
        <v>605.32000000000005</v>
      </c>
      <c r="J776" s="16">
        <v>197207.3522328299</v>
      </c>
      <c r="K776" s="5">
        <v>0.10262745905649823</v>
      </c>
      <c r="L776" s="10">
        <v>231415.08290000001</v>
      </c>
    </row>
    <row r="777" spans="1:12" x14ac:dyDescent="0.25">
      <c r="A777">
        <v>776</v>
      </c>
      <c r="B777" s="3">
        <v>0.22267331881588553</v>
      </c>
      <c r="C777" s="3">
        <v>3.6866239590016774E-2</v>
      </c>
      <c r="D777" s="1">
        <v>60796.839546654955</v>
      </c>
      <c r="E777" s="1">
        <v>2422550</v>
      </c>
      <c r="F777" s="1">
        <v>13637241</v>
      </c>
      <c r="G777" s="16">
        <v>7407.9317806645076</v>
      </c>
      <c r="H777">
        <v>39.22</v>
      </c>
      <c r="I777" s="1">
        <v>155.46999999999997</v>
      </c>
      <c r="J777" s="16">
        <v>68204.771327319468</v>
      </c>
      <c r="K777" s="5">
        <v>8.3662538209413037E-2</v>
      </c>
      <c r="L777" s="10">
        <v>126498.7117</v>
      </c>
    </row>
    <row r="778" spans="1:12" x14ac:dyDescent="0.25">
      <c r="A778">
        <v>777</v>
      </c>
      <c r="B778" s="3">
        <v>0.20238115772191612</v>
      </c>
      <c r="C778" s="3">
        <v>6.5016511357942855E-2</v>
      </c>
      <c r="D778" s="1">
        <v>134609.21682718289</v>
      </c>
      <c r="E778" s="1">
        <v>4964672</v>
      </c>
      <c r="F778" s="1">
        <v>19752303</v>
      </c>
      <c r="G778" s="16">
        <v>11423.851081777164</v>
      </c>
      <c r="H778">
        <v>66.78</v>
      </c>
      <c r="I778" s="1">
        <v>249.07</v>
      </c>
      <c r="J778" s="16">
        <v>146033.06790896005</v>
      </c>
      <c r="K778" s="5">
        <v>6.962240350948834E-3</v>
      </c>
      <c r="L778" s="10">
        <v>17867.3295</v>
      </c>
    </row>
    <row r="779" spans="1:12" x14ac:dyDescent="0.25">
      <c r="A779">
        <v>778</v>
      </c>
      <c r="B779" s="3">
        <v>0.17212994469359474</v>
      </c>
      <c r="C779" s="3">
        <v>2.9713809291587345E-2</v>
      </c>
      <c r="D779" s="1">
        <v>95366.82025121295</v>
      </c>
      <c r="E779" s="1">
        <v>3145675</v>
      </c>
      <c r="F779" s="1">
        <v>18234974</v>
      </c>
      <c r="G779" s="16">
        <v>9914.534310145742</v>
      </c>
      <c r="H779">
        <v>38.39</v>
      </c>
      <c r="I779" s="1">
        <v>176.26</v>
      </c>
      <c r="J779" s="16">
        <v>105281.35456135869</v>
      </c>
      <c r="K779" s="5">
        <v>6.269604428037516E-2</v>
      </c>
      <c r="L779" s="10">
        <v>207401.9866</v>
      </c>
    </row>
    <row r="780" spans="1:12" x14ac:dyDescent="0.25">
      <c r="A780">
        <v>779</v>
      </c>
      <c r="B780" s="3">
        <v>0.23178250680341492</v>
      </c>
      <c r="C780" s="3">
        <v>2.5982372377219426E-2</v>
      </c>
      <c r="D780" s="1">
        <v>176803.04268840875</v>
      </c>
      <c r="E780" s="1">
        <v>12367211</v>
      </c>
      <c r="F780" s="1">
        <v>49403941</v>
      </c>
      <c r="G780" s="16">
        <v>26802.316539362346</v>
      </c>
      <c r="H780">
        <v>332.39</v>
      </c>
      <c r="I780" s="1">
        <v>890.2399999999999</v>
      </c>
      <c r="J780" s="16">
        <v>203605.35922777108</v>
      </c>
      <c r="K780" s="5">
        <v>4.7690298956397287E-2</v>
      </c>
      <c r="L780" s="10">
        <v>334662.1348</v>
      </c>
    </row>
    <row r="781" spans="1:12" x14ac:dyDescent="0.25">
      <c r="A781">
        <v>780</v>
      </c>
      <c r="B781" s="3">
        <v>0.13219118486961962</v>
      </c>
      <c r="C781" s="3">
        <v>2.6088657312198987E-2</v>
      </c>
      <c r="D781" s="1">
        <v>100391.31069830335</v>
      </c>
      <c r="E781" s="1">
        <v>2874928</v>
      </c>
      <c r="F781" s="1">
        <v>20121543</v>
      </c>
      <c r="G781" s="16">
        <v>33317.144005297836</v>
      </c>
      <c r="H781">
        <v>117.42</v>
      </c>
      <c r="I781" s="1">
        <v>339.07</v>
      </c>
      <c r="J781" s="16">
        <v>133708.45470360119</v>
      </c>
      <c r="K781" s="5">
        <v>6.8625741976682475E-2</v>
      </c>
      <c r="L781" s="10">
        <v>322495.77159999998</v>
      </c>
    </row>
    <row r="782" spans="1:12" x14ac:dyDescent="0.25">
      <c r="A782">
        <v>781</v>
      </c>
      <c r="B782" s="3">
        <v>0.23008130664309243</v>
      </c>
      <c r="C782" s="3">
        <v>5.028136034835165E-2</v>
      </c>
      <c r="D782" s="1">
        <v>144165.72745171157</v>
      </c>
      <c r="E782" s="1">
        <v>7678669</v>
      </c>
      <c r="F782" s="1">
        <v>33287673</v>
      </c>
      <c r="G782" s="16">
        <v>8422.2121797343352</v>
      </c>
      <c r="H782">
        <v>60.83</v>
      </c>
      <c r="I782" s="1">
        <v>229.49</v>
      </c>
      <c r="J782" s="16">
        <v>152587.93963144592</v>
      </c>
      <c r="K782" s="5">
        <v>6.4914275828603846E-2</v>
      </c>
      <c r="L782" s="10">
        <v>158441.4675</v>
      </c>
    </row>
    <row r="783" spans="1:12" x14ac:dyDescent="0.25">
      <c r="A783">
        <v>782</v>
      </c>
      <c r="B783" s="3">
        <v>0.20639373109889581</v>
      </c>
      <c r="C783" s="3">
        <v>5.354136537091285E-2</v>
      </c>
      <c r="D783" s="1">
        <v>82263.721144534866</v>
      </c>
      <c r="E783" s="1">
        <v>2444564</v>
      </c>
      <c r="F783" s="1">
        <v>10531277</v>
      </c>
      <c r="G783" s="16">
        <v>8121.273282962773</v>
      </c>
      <c r="H783">
        <v>48.93</v>
      </c>
      <c r="I783" s="1">
        <v>209.74</v>
      </c>
      <c r="J783" s="16">
        <v>90384.994427497644</v>
      </c>
      <c r="K783" s="5">
        <v>1.7897890870165252E-2</v>
      </c>
      <c r="L783" s="10">
        <v>37765.716</v>
      </c>
    </row>
    <row r="784" spans="1:12" x14ac:dyDescent="0.25">
      <c r="A784">
        <v>783</v>
      </c>
      <c r="B784" s="3">
        <v>0.20623264924626761</v>
      </c>
      <c r="C784" s="3">
        <v>3.2366667591342151E-2</v>
      </c>
      <c r="D784" s="1">
        <v>124927.6386423041</v>
      </c>
      <c r="E784" s="1">
        <v>4674995</v>
      </c>
      <c r="F784" s="1">
        <v>18810682</v>
      </c>
      <c r="G784" s="16">
        <v>22461.334630358524</v>
      </c>
      <c r="H784">
        <v>170.17</v>
      </c>
      <c r="I784" s="1">
        <v>504.92999999999995</v>
      </c>
      <c r="J784" s="16">
        <v>147388.97327266261</v>
      </c>
      <c r="K784" s="5">
        <v>7.5379175689216454E-2</v>
      </c>
      <c r="L784" s="10">
        <v>281861.0882</v>
      </c>
    </row>
    <row r="785" spans="1:12" x14ac:dyDescent="0.25">
      <c r="A785">
        <v>784</v>
      </c>
      <c r="B785" s="3">
        <v>0.15086675722887224</v>
      </c>
      <c r="C785" s="3">
        <v>2.257178892622418E-2</v>
      </c>
      <c r="D785" s="1">
        <v>187278.77781107894</v>
      </c>
      <c r="E785" s="1">
        <v>6741984</v>
      </c>
      <c r="F785" s="1">
        <v>27513957</v>
      </c>
      <c r="G785" s="16">
        <v>27084.898065258123</v>
      </c>
      <c r="H785">
        <v>108.52</v>
      </c>
      <c r="I785" s="1">
        <v>312.74</v>
      </c>
      <c r="J785" s="16">
        <v>214363.67587633705</v>
      </c>
      <c r="K785" s="5">
        <v>3.1700484768349774E-2</v>
      </c>
      <c r="L785" s="10">
        <v>278735.49660000001</v>
      </c>
    </row>
    <row r="786" spans="1:12" x14ac:dyDescent="0.25">
      <c r="A786">
        <v>785</v>
      </c>
      <c r="B786" s="3">
        <v>0.15409185799917344</v>
      </c>
      <c r="C786" s="3">
        <v>3.0843951268315642E-2</v>
      </c>
      <c r="D786" s="1">
        <v>153695.79518989954</v>
      </c>
      <c r="E786" s="1">
        <v>5617873</v>
      </c>
      <c r="F786" s="1">
        <v>31008801</v>
      </c>
      <c r="G786" s="16">
        <v>24646.15122590696</v>
      </c>
      <c r="H786">
        <v>101.21</v>
      </c>
      <c r="I786" s="1">
        <v>311.77</v>
      </c>
      <c r="J786" s="16">
        <v>178341.94641580651</v>
      </c>
      <c r="K786" s="5">
        <v>0.1981203599265971</v>
      </c>
      <c r="L786" s="10">
        <v>993886.07720000006</v>
      </c>
    </row>
    <row r="787" spans="1:12" x14ac:dyDescent="0.25">
      <c r="A787">
        <v>786</v>
      </c>
      <c r="B787" s="3">
        <v>0.20161734868086628</v>
      </c>
      <c r="C787" s="3">
        <v>6.1374138541735471E-2</v>
      </c>
      <c r="D787" s="1">
        <v>297339.87594847241</v>
      </c>
      <c r="E787" s="1">
        <v>17155399</v>
      </c>
      <c r="F787" s="1">
        <v>61176402</v>
      </c>
      <c r="G787" s="16">
        <v>30323.248084001814</v>
      </c>
      <c r="H787">
        <v>221.06</v>
      </c>
      <c r="I787" s="1">
        <v>567.03</v>
      </c>
      <c r="J787" s="16">
        <v>327663.12403247424</v>
      </c>
      <c r="K787" s="5">
        <v>0.14885581893696909</v>
      </c>
      <c r="L787" s="10">
        <v>534601.75890000002</v>
      </c>
    </row>
    <row r="788" spans="1:12" x14ac:dyDescent="0.25">
      <c r="A788">
        <v>787</v>
      </c>
      <c r="B788" s="3">
        <v>0.13898084329495466</v>
      </c>
      <c r="C788" s="3">
        <v>2.001253797986487E-2</v>
      </c>
      <c r="D788" s="1">
        <v>269263.6195463211</v>
      </c>
      <c r="E788" s="1">
        <v>9169171</v>
      </c>
      <c r="F788" s="1">
        <v>32574262</v>
      </c>
      <c r="G788" s="16">
        <v>21871.341795883032</v>
      </c>
      <c r="H788">
        <v>80.91</v>
      </c>
      <c r="I788" s="1">
        <v>256.71000000000004</v>
      </c>
      <c r="J788" s="16">
        <v>291134.96134220413</v>
      </c>
      <c r="K788" s="5">
        <v>0.13381245199888489</v>
      </c>
      <c r="L788" s="10">
        <v>1738933.6647999999</v>
      </c>
    </row>
    <row r="789" spans="1:12" x14ac:dyDescent="0.25">
      <c r="A789">
        <v>788</v>
      </c>
      <c r="B789" s="3">
        <v>0.13218264277251804</v>
      </c>
      <c r="C789" s="3">
        <v>7.8889471262986954E-2</v>
      </c>
      <c r="D789" s="1">
        <v>120134.60422262985</v>
      </c>
      <c r="E789" s="1">
        <v>3440223</v>
      </c>
      <c r="F789" s="1">
        <v>18120091</v>
      </c>
      <c r="G789" s="16">
        <v>57595.088740349434</v>
      </c>
      <c r="H789">
        <v>233.78</v>
      </c>
      <c r="I789" s="1">
        <v>644.69999999999993</v>
      </c>
      <c r="J789" s="16">
        <v>177729.69296297929</v>
      </c>
      <c r="K789" s="5">
        <v>7.2563413815810357E-2</v>
      </c>
      <c r="L789" s="10">
        <v>114221.7341</v>
      </c>
    </row>
    <row r="790" spans="1:12" x14ac:dyDescent="0.25">
      <c r="A790">
        <v>789</v>
      </c>
      <c r="B790" s="3">
        <v>0.16310255983796879</v>
      </c>
      <c r="C790" s="3">
        <v>5.0982642396862621E-2</v>
      </c>
      <c r="D790" s="1">
        <v>47339.205035941763</v>
      </c>
      <c r="E790" s="1">
        <v>1511495</v>
      </c>
      <c r="F790" s="1">
        <v>11048648</v>
      </c>
      <c r="G790" s="16">
        <v>26191.484558371278</v>
      </c>
      <c r="H790">
        <v>136.91</v>
      </c>
      <c r="I790" s="1">
        <v>457.34000000000003</v>
      </c>
      <c r="J790" s="16">
        <v>73530.689594313037</v>
      </c>
      <c r="K790" s="5">
        <v>0.1586262993068851</v>
      </c>
      <c r="L790" s="10">
        <v>203064.34099999999</v>
      </c>
    </row>
    <row r="791" spans="1:12" x14ac:dyDescent="0.25">
      <c r="A791">
        <v>790</v>
      </c>
      <c r="B791" s="3">
        <v>0.20711633366581952</v>
      </c>
      <c r="C791" s="3">
        <v>2.925684115849601E-2</v>
      </c>
      <c r="D791" s="1">
        <v>80063.544241356707</v>
      </c>
      <c r="E791" s="1">
        <v>3006141</v>
      </c>
      <c r="F791" s="1">
        <v>17368273</v>
      </c>
      <c r="G791" s="16">
        <v>17624.476975204001</v>
      </c>
      <c r="H791">
        <v>134.65</v>
      </c>
      <c r="I791" s="1">
        <v>484.53</v>
      </c>
      <c r="J791" s="16">
        <v>97688.021216560708</v>
      </c>
      <c r="K791" s="5">
        <v>9.9304727574961532E-2</v>
      </c>
      <c r="L791" s="10">
        <v>323443.49589999998</v>
      </c>
    </row>
    <row r="792" spans="1:12" x14ac:dyDescent="0.25">
      <c r="A792">
        <v>791</v>
      </c>
      <c r="B792" s="3">
        <v>0.19632083849421866</v>
      </c>
      <c r="C792" s="3">
        <v>4.8364950403491445E-2</v>
      </c>
      <c r="D792" s="1">
        <v>87994.146533001229</v>
      </c>
      <c r="E792" s="1">
        <v>3947535</v>
      </c>
      <c r="F792" s="1">
        <v>26650830</v>
      </c>
      <c r="G792" s="16">
        <v>18408.016311060594</v>
      </c>
      <c r="H792">
        <v>127.83</v>
      </c>
      <c r="I792" s="1">
        <v>437.03999999999996</v>
      </c>
      <c r="J792" s="16">
        <v>106402.16284406182</v>
      </c>
      <c r="K792" s="5">
        <v>0.12408152182799007</v>
      </c>
      <c r="L792" s="10">
        <v>226902.4301</v>
      </c>
    </row>
    <row r="793" spans="1:12" x14ac:dyDescent="0.25">
      <c r="A793">
        <v>792</v>
      </c>
      <c r="B793" s="3">
        <v>0.179615020120132</v>
      </c>
      <c r="C793" s="3">
        <v>3.5932613544412427E-2</v>
      </c>
      <c r="D793" s="1">
        <v>222400.10666564523</v>
      </c>
      <c r="E793" s="1">
        <v>9188986</v>
      </c>
      <c r="F793" s="1">
        <v>41025868</v>
      </c>
      <c r="G793" s="16">
        <v>46198.416691066464</v>
      </c>
      <c r="H793">
        <v>277.91000000000003</v>
      </c>
      <c r="I793" s="1">
        <v>725.94</v>
      </c>
      <c r="J793" s="16">
        <v>268598.52335671172</v>
      </c>
      <c r="K793" s="5">
        <v>0.14361151480948978</v>
      </c>
      <c r="L793" s="10">
        <v>894365.12690000003</v>
      </c>
    </row>
    <row r="794" spans="1:12" x14ac:dyDescent="0.25">
      <c r="A794">
        <v>793</v>
      </c>
      <c r="B794" s="3">
        <v>0.12065509966794898</v>
      </c>
      <c r="C794" s="3">
        <v>4.7500095640613346E-2</v>
      </c>
      <c r="D794" s="1">
        <v>185794.26621996544</v>
      </c>
      <c r="E794" s="1">
        <v>5815645</v>
      </c>
      <c r="F794" s="1">
        <v>27385660</v>
      </c>
      <c r="G794" s="16">
        <v>45366.003836168922</v>
      </c>
      <c r="H794">
        <v>147.71</v>
      </c>
      <c r="I794" s="1">
        <v>381.55</v>
      </c>
      <c r="J794" s="16">
        <v>231160.27005613438</v>
      </c>
      <c r="K794" s="5">
        <v>6.8300092434914569E-2</v>
      </c>
      <c r="L794" s="10">
        <v>275309.09250000003</v>
      </c>
    </row>
    <row r="795" spans="1:12" x14ac:dyDescent="0.25">
      <c r="A795">
        <v>794</v>
      </c>
      <c r="B795" s="3">
        <v>0.16768872890118514</v>
      </c>
      <c r="C795" s="3">
        <v>5.8288837243797131E-2</v>
      </c>
      <c r="D795" s="1">
        <v>91432.433296002026</v>
      </c>
      <c r="E795" s="1">
        <v>2967877</v>
      </c>
      <c r="F795" s="1">
        <v>19933180</v>
      </c>
      <c r="G795" s="16">
        <v>42468.243752072885</v>
      </c>
      <c r="H795">
        <v>230.63</v>
      </c>
      <c r="I795" s="1">
        <v>558.79999999999995</v>
      </c>
      <c r="J795" s="16">
        <v>133900.6770480749</v>
      </c>
      <c r="K795" s="5">
        <v>0.17338966005982981</v>
      </c>
      <c r="L795" s="10">
        <v>288526.75900000002</v>
      </c>
    </row>
    <row r="796" spans="1:12" x14ac:dyDescent="0.25">
      <c r="A796">
        <v>795</v>
      </c>
      <c r="B796" s="3">
        <v>0.14795945853301556</v>
      </c>
      <c r="C796" s="3">
        <v>4.098151053426688E-2</v>
      </c>
      <c r="D796" s="1">
        <v>35570.738916661852</v>
      </c>
      <c r="E796" s="1">
        <v>917013</v>
      </c>
      <c r="F796" s="1">
        <v>9586826</v>
      </c>
      <c r="G796" s="16">
        <v>54142.211074759594</v>
      </c>
      <c r="H796">
        <v>249.81</v>
      </c>
      <c r="I796" s="1">
        <v>662.12</v>
      </c>
      <c r="J796" s="16">
        <v>89712.949991421454</v>
      </c>
      <c r="K796" s="5">
        <v>0.18197266617232841</v>
      </c>
      <c r="L796" s="10">
        <v>343416.83730000001</v>
      </c>
    </row>
    <row r="797" spans="1:12" x14ac:dyDescent="0.25">
      <c r="A797">
        <v>796</v>
      </c>
      <c r="B797" s="3">
        <v>0.14332102383612796</v>
      </c>
      <c r="C797" s="3">
        <v>2.0235685780052828E-2</v>
      </c>
      <c r="D797" s="1">
        <v>497572.73890691978</v>
      </c>
      <c r="E797" s="1">
        <v>20182208</v>
      </c>
      <c r="F797" s="1">
        <v>70529749</v>
      </c>
      <c r="G797" s="16">
        <v>100647.97617404997</v>
      </c>
      <c r="H797">
        <v>522.21</v>
      </c>
      <c r="I797" s="1">
        <v>1509.8700000000001</v>
      </c>
      <c r="J797" s="16">
        <v>598220.71508096973</v>
      </c>
      <c r="K797" s="5">
        <v>0.2263886145325183</v>
      </c>
      <c r="L797" s="10">
        <v>5831026.1224999996</v>
      </c>
    </row>
    <row r="798" spans="1:12" x14ac:dyDescent="0.25">
      <c r="A798">
        <v>797</v>
      </c>
      <c r="B798" s="3">
        <v>0.15286090018840329</v>
      </c>
      <c r="C798" s="3">
        <v>7.4940869849564301E-2</v>
      </c>
      <c r="D798" s="1">
        <v>246027.98799653995</v>
      </c>
      <c r="E798" s="1">
        <v>8940638</v>
      </c>
      <c r="F798" s="1">
        <v>28393229</v>
      </c>
      <c r="G798" s="16">
        <v>38794.871571351629</v>
      </c>
      <c r="H798">
        <v>186.25</v>
      </c>
      <c r="I798" s="1">
        <v>468.01</v>
      </c>
      <c r="J798" s="16">
        <v>284822.85956789157</v>
      </c>
      <c r="K798" s="5">
        <v>0.10896922346796979</v>
      </c>
      <c r="L798" s="10">
        <v>288596.44219999999</v>
      </c>
    </row>
    <row r="799" spans="1:12" x14ac:dyDescent="0.25">
      <c r="A799">
        <v>798</v>
      </c>
      <c r="B799" s="3">
        <v>0.24905245690674821</v>
      </c>
      <c r="C799" s="3">
        <v>7.4684937020053743E-2</v>
      </c>
      <c r="D799" s="1">
        <v>149785.99325335663</v>
      </c>
      <c r="E799" s="1">
        <v>8815266</v>
      </c>
      <c r="F799" s="1">
        <v>35141094</v>
      </c>
      <c r="G799" s="16">
        <v>7220.0649082343562</v>
      </c>
      <c r="H799">
        <v>60.64</v>
      </c>
      <c r="I799" s="1">
        <v>300.28000000000003</v>
      </c>
      <c r="J799" s="16">
        <v>157006.05816159098</v>
      </c>
      <c r="K799" s="5">
        <v>-0.14174658643008847</v>
      </c>
      <c r="L799" s="10">
        <v>-175690.69010000001</v>
      </c>
    </row>
    <row r="800" spans="1:12" x14ac:dyDescent="0.25">
      <c r="A800">
        <v>799</v>
      </c>
      <c r="B800" s="3">
        <v>0.1434102609314947</v>
      </c>
      <c r="C800" s="3">
        <v>2.098380061357806E-2</v>
      </c>
      <c r="D800" s="1">
        <v>46765.010310343961</v>
      </c>
      <c r="E800" s="1">
        <v>1192830</v>
      </c>
      <c r="F800" s="1">
        <v>9868583</v>
      </c>
      <c r="G800" s="16">
        <v>28267.27237824073</v>
      </c>
      <c r="H800">
        <v>125.75</v>
      </c>
      <c r="I800" s="1">
        <v>523.22</v>
      </c>
      <c r="J800" s="16">
        <v>75032.282688584688</v>
      </c>
      <c r="K800" s="5">
        <v>0.10833704112199097</v>
      </c>
      <c r="L800" s="10">
        <v>361826.96990000003</v>
      </c>
    </row>
    <row r="801" spans="1:12" x14ac:dyDescent="0.25">
      <c r="A801">
        <v>800</v>
      </c>
      <c r="B801" s="3">
        <v>0.23084749914425529</v>
      </c>
      <c r="C801" s="3">
        <v>5.3872454433460421E-2</v>
      </c>
      <c r="D801" s="1">
        <v>150804.42413250502</v>
      </c>
      <c r="E801" s="1">
        <v>6202683</v>
      </c>
      <c r="F801" s="1">
        <v>21413273</v>
      </c>
      <c r="G801" s="16">
        <v>17011.132254851964</v>
      </c>
      <c r="H801">
        <v>160.68</v>
      </c>
      <c r="I801" s="1">
        <v>499.50000000000006</v>
      </c>
      <c r="J801" s="16">
        <v>167815.55638735698</v>
      </c>
      <c r="K801" s="5">
        <v>0.10671389662935883</v>
      </c>
      <c r="L801" s="10">
        <v>240503.8388</v>
      </c>
    </row>
    <row r="802" spans="1:12" x14ac:dyDescent="0.25">
      <c r="A802">
        <v>801</v>
      </c>
      <c r="B802" s="3">
        <v>0.22743366562794867</v>
      </c>
      <c r="C802" s="3">
        <v>6.0142403605452421E-2</v>
      </c>
      <c r="D802" s="1">
        <v>146056.51714183809</v>
      </c>
      <c r="E802" s="1">
        <v>7673276</v>
      </c>
      <c r="F802" s="1">
        <v>29457538</v>
      </c>
      <c r="G802" s="16">
        <v>23161.712079000914</v>
      </c>
      <c r="H802">
        <v>274.69</v>
      </c>
      <c r="I802" s="1">
        <v>1087.7</v>
      </c>
      <c r="J802" s="16">
        <v>169218.22922083901</v>
      </c>
      <c r="K802" s="5">
        <v>0.16463317098194227</v>
      </c>
      <c r="L802" s="10">
        <v>358912.12439999997</v>
      </c>
    </row>
    <row r="803" spans="1:12" x14ac:dyDescent="0.25">
      <c r="A803">
        <v>802</v>
      </c>
      <c r="B803" s="3">
        <v>0.23984292021185044</v>
      </c>
      <c r="C803" s="3">
        <v>6.7099602501773145E-2</v>
      </c>
      <c r="D803" s="1">
        <v>61203.017051908391</v>
      </c>
      <c r="E803" s="1">
        <v>2607746</v>
      </c>
      <c r="F803" s="1">
        <v>14052291</v>
      </c>
      <c r="G803" s="16">
        <v>31708.933813280804</v>
      </c>
      <c r="H803">
        <v>427.54</v>
      </c>
      <c r="I803" s="1">
        <v>1230.18</v>
      </c>
      <c r="J803" s="16">
        <v>92911.950865189196</v>
      </c>
      <c r="K803" s="5">
        <v>-2.0331989450970988E-2</v>
      </c>
      <c r="L803" s="10">
        <v>-9956.1154000000006</v>
      </c>
    </row>
    <row r="804" spans="1:12" x14ac:dyDescent="0.25">
      <c r="A804">
        <v>803</v>
      </c>
      <c r="B804" s="3">
        <v>0.1297179155438761</v>
      </c>
      <c r="C804" s="3">
        <v>3.2004696362950426E-2</v>
      </c>
      <c r="D804" s="1">
        <v>164494.38154943605</v>
      </c>
      <c r="E804" s="1">
        <v>5366778</v>
      </c>
      <c r="F804" s="1">
        <v>26964964</v>
      </c>
      <c r="G804" s="16">
        <v>22463.416173827678</v>
      </c>
      <c r="H804">
        <v>77.75</v>
      </c>
      <c r="I804" s="1">
        <v>236.63</v>
      </c>
      <c r="J804" s="16">
        <v>186957.79772326373</v>
      </c>
      <c r="K804" s="5">
        <v>0.35348669126668791</v>
      </c>
      <c r="L804" s="10">
        <v>1730697.7674</v>
      </c>
    </row>
    <row r="805" spans="1:12" x14ac:dyDescent="0.25">
      <c r="A805">
        <v>804</v>
      </c>
      <c r="B805" s="3">
        <v>0.23951837751252505</v>
      </c>
      <c r="C805" s="3">
        <v>5.03459662725496E-2</v>
      </c>
      <c r="D805" s="1">
        <v>82654.460258205276</v>
      </c>
      <c r="E805" s="1">
        <v>3517243</v>
      </c>
      <c r="F805" s="1">
        <v>17524168</v>
      </c>
      <c r="G805" s="16">
        <v>26894.927333517076</v>
      </c>
      <c r="H805">
        <v>361.74</v>
      </c>
      <c r="I805" s="1">
        <v>1009.72</v>
      </c>
      <c r="J805" s="16">
        <v>109549.38759172235</v>
      </c>
      <c r="K805" s="5">
        <v>0.25519811631810896</v>
      </c>
      <c r="L805" s="10">
        <v>420949.36670000001</v>
      </c>
    </row>
    <row r="806" spans="1:12" x14ac:dyDescent="0.25">
      <c r="A806">
        <v>805</v>
      </c>
      <c r="B806" s="3">
        <v>0.24042295652945955</v>
      </c>
      <c r="C806" s="3">
        <v>6.2774230437302583E-2</v>
      </c>
      <c r="D806" s="1">
        <v>117904.37629849014</v>
      </c>
      <c r="E806" s="1">
        <v>6628958</v>
      </c>
      <c r="F806" s="1">
        <v>28073369</v>
      </c>
      <c r="G806" s="16">
        <v>29617.266455014906</v>
      </c>
      <c r="H806">
        <v>305.02999999999997</v>
      </c>
      <c r="I806" s="1">
        <v>712.46</v>
      </c>
      <c r="J806" s="16">
        <v>147521.64275350503</v>
      </c>
      <c r="K806" s="5">
        <v>9.8642054989572486E-2</v>
      </c>
      <c r="L806" s="10">
        <v>186664.6306</v>
      </c>
    </row>
    <row r="807" spans="1:12" x14ac:dyDescent="0.25">
      <c r="A807">
        <v>806</v>
      </c>
      <c r="B807" s="3">
        <v>0.10402308882349649</v>
      </c>
      <c r="C807" s="3">
        <v>2.3358349504834244E-2</v>
      </c>
      <c r="D807" s="1">
        <v>282739.09532661026</v>
      </c>
      <c r="E807" s="1">
        <v>9164415</v>
      </c>
      <c r="F807" s="1">
        <v>47255933</v>
      </c>
      <c r="G807" s="16">
        <v>12994.461925084566</v>
      </c>
      <c r="H807">
        <v>33.799999999999997</v>
      </c>
      <c r="I807" s="1">
        <v>128.85999999999999</v>
      </c>
      <c r="J807" s="16">
        <v>295733.55725169485</v>
      </c>
      <c r="K807" s="5">
        <v>0.20179568402978876</v>
      </c>
      <c r="L807" s="10">
        <v>2279064.2708999999</v>
      </c>
    </row>
    <row r="808" spans="1:12" x14ac:dyDescent="0.25">
      <c r="A808">
        <v>807</v>
      </c>
      <c r="B808" s="3">
        <v>0.11035992028213304</v>
      </c>
      <c r="C808" s="3">
        <v>4.7324482007010144E-2</v>
      </c>
      <c r="D808" s="1">
        <v>152003.94105144529</v>
      </c>
      <c r="E808" s="1">
        <v>4541509</v>
      </c>
      <c r="F808" s="1">
        <v>24436529</v>
      </c>
      <c r="G808" s="16">
        <v>61412.678203195086</v>
      </c>
      <c r="H808">
        <v>209.47</v>
      </c>
      <c r="I808" s="1">
        <v>634.38</v>
      </c>
      <c r="J808" s="16">
        <v>213416.61925464036</v>
      </c>
      <c r="K808" s="5">
        <v>5.5283749552832571E-2</v>
      </c>
      <c r="L808" s="10">
        <v>233459.7579</v>
      </c>
    </row>
    <row r="809" spans="1:12" x14ac:dyDescent="0.25">
      <c r="A809">
        <v>808</v>
      </c>
      <c r="B809" s="3">
        <v>0.17721321194977896</v>
      </c>
      <c r="C809" s="3">
        <v>3.168322145736114E-2</v>
      </c>
      <c r="D809" s="1">
        <v>135327.10243997732</v>
      </c>
      <c r="E809" s="1">
        <v>5526351</v>
      </c>
      <c r="F809" s="1">
        <v>25572507</v>
      </c>
      <c r="G809" s="16">
        <v>14749.791755820894</v>
      </c>
      <c r="H809">
        <v>58.93</v>
      </c>
      <c r="I809" s="1">
        <v>168.33</v>
      </c>
      <c r="J809" s="16">
        <v>150076.8941957982</v>
      </c>
      <c r="K809" s="5">
        <v>2.2238567410167304E-3</v>
      </c>
      <c r="L809" s="10">
        <v>2279.2361999999998</v>
      </c>
    </row>
    <row r="810" spans="1:12" x14ac:dyDescent="0.25">
      <c r="A810">
        <v>809</v>
      </c>
      <c r="B810" s="3">
        <v>0.2327195759661557</v>
      </c>
      <c r="C810" s="3">
        <v>5.1690306288247986E-2</v>
      </c>
      <c r="D810" s="1">
        <v>310564.17757255823</v>
      </c>
      <c r="E810" s="1">
        <v>21856653</v>
      </c>
      <c r="F810" s="1">
        <v>71530345</v>
      </c>
      <c r="G810" s="16">
        <v>7090.7961256694916</v>
      </c>
      <c r="H810">
        <v>52.17</v>
      </c>
      <c r="I810" s="1">
        <v>238.57</v>
      </c>
      <c r="J810" s="16">
        <v>317654.97369822772</v>
      </c>
      <c r="K810" s="5">
        <v>0.12879717450784822</v>
      </c>
      <c r="L810" s="10">
        <v>626475.81770000001</v>
      </c>
    </row>
    <row r="811" spans="1:12" x14ac:dyDescent="0.25">
      <c r="A811">
        <v>810</v>
      </c>
      <c r="B811" s="3">
        <v>0.19812807395172671</v>
      </c>
      <c r="C811" s="3">
        <v>3.9530376687081023E-2</v>
      </c>
      <c r="D811" s="1">
        <v>106790.15218127727</v>
      </c>
      <c r="E811" s="1">
        <v>3876316</v>
      </c>
      <c r="F811" s="1">
        <v>20028741</v>
      </c>
      <c r="G811" s="16">
        <v>17305.479998334278</v>
      </c>
      <c r="H811">
        <v>121.92</v>
      </c>
      <c r="I811" s="1">
        <v>389.8</v>
      </c>
      <c r="J811" s="16">
        <v>124095.63217961155</v>
      </c>
      <c r="K811" s="5">
        <v>0.17468246340153393</v>
      </c>
      <c r="L811" s="10">
        <v>485444.23359999998</v>
      </c>
    </row>
    <row r="812" spans="1:12" x14ac:dyDescent="0.25">
      <c r="A812">
        <v>811</v>
      </c>
      <c r="B812" s="3">
        <v>0.2215745366866349</v>
      </c>
      <c r="C812" s="3">
        <v>4.8473528153217982E-2</v>
      </c>
      <c r="D812" s="1">
        <v>41506.270791247873</v>
      </c>
      <c r="E812" s="1">
        <v>1281984</v>
      </c>
      <c r="F812" s="1">
        <v>8964568</v>
      </c>
      <c r="G812" s="16">
        <v>21020.066102584849</v>
      </c>
      <c r="H812">
        <v>182.54</v>
      </c>
      <c r="I812" s="1">
        <v>579.30999999999995</v>
      </c>
      <c r="J812" s="16">
        <v>62526.336893832718</v>
      </c>
      <c r="K812" s="5">
        <v>-0.15623951512700401</v>
      </c>
      <c r="L812" s="10">
        <v>-137993.978</v>
      </c>
    </row>
    <row r="813" spans="1:12" x14ac:dyDescent="0.25">
      <c r="A813">
        <v>812</v>
      </c>
      <c r="B813" s="3">
        <v>0.10910680305426257</v>
      </c>
      <c r="C813" s="3">
        <v>6.7738444019931315E-2</v>
      </c>
      <c r="D813" s="1">
        <v>69336.622196560362</v>
      </c>
      <c r="E813" s="1">
        <v>1634984</v>
      </c>
      <c r="F813" s="1">
        <v>8696677</v>
      </c>
      <c r="G813" s="16">
        <v>65300.982437185317</v>
      </c>
      <c r="H813">
        <v>220.5</v>
      </c>
      <c r="I813" s="1">
        <v>569.51</v>
      </c>
      <c r="J813" s="16">
        <v>134637.60463374568</v>
      </c>
      <c r="K813" s="5">
        <v>-1.1022469522632312E-2</v>
      </c>
      <c r="L813" s="10">
        <v>-4702.9853000000003</v>
      </c>
    </row>
    <row r="814" spans="1:12" x14ac:dyDescent="0.25">
      <c r="A814">
        <v>813</v>
      </c>
      <c r="B814" s="3">
        <v>0.14402152341605995</v>
      </c>
      <c r="C814" s="3">
        <v>3.0908834093935966E-2</v>
      </c>
      <c r="D814" s="1">
        <v>63465.553607690832</v>
      </c>
      <c r="E814" s="1">
        <v>1893881</v>
      </c>
      <c r="F814" s="1">
        <v>14996189</v>
      </c>
      <c r="G814" s="16">
        <v>14796.736541820754</v>
      </c>
      <c r="H814">
        <v>56.64</v>
      </c>
      <c r="I814" s="1">
        <v>254.08999999999997</v>
      </c>
      <c r="J814" s="16">
        <v>78262.29014951158</v>
      </c>
      <c r="K814" s="5">
        <v>1.2321109435524988E-2</v>
      </c>
      <c r="L814" s="10">
        <v>60968.329100000003</v>
      </c>
    </row>
    <row r="815" spans="1:12" x14ac:dyDescent="0.25">
      <c r="A815">
        <v>814</v>
      </c>
      <c r="B815" s="3">
        <v>0.23021965201462499</v>
      </c>
      <c r="C815" s="3">
        <v>7.8288803840417601E-2</v>
      </c>
      <c r="D815" s="1">
        <v>76836.844268763147</v>
      </c>
      <c r="E815" s="1">
        <v>3152624</v>
      </c>
      <c r="F815" s="1">
        <v>20863835</v>
      </c>
      <c r="G815" s="16">
        <v>12279.306504554006</v>
      </c>
      <c r="H815">
        <v>88.7</v>
      </c>
      <c r="I815" s="1">
        <v>324.51</v>
      </c>
      <c r="J815" s="16">
        <v>89116.150773317146</v>
      </c>
      <c r="K815" s="5">
        <v>0.15892985990802311</v>
      </c>
      <c r="L815" s="10">
        <v>132716.37150000001</v>
      </c>
    </row>
    <row r="816" spans="1:12" x14ac:dyDescent="0.25">
      <c r="A816">
        <v>815</v>
      </c>
      <c r="B816" s="3">
        <v>0.207603837719048</v>
      </c>
      <c r="C816" s="3">
        <v>3.2522923873688943E-2</v>
      </c>
      <c r="D816" s="1">
        <v>129885.6619612393</v>
      </c>
      <c r="E816" s="1">
        <v>6165874</v>
      </c>
      <c r="F816" s="1">
        <v>27846904</v>
      </c>
      <c r="G816" s="16">
        <v>19098.283355363717</v>
      </c>
      <c r="H816">
        <v>116.16</v>
      </c>
      <c r="I816" s="1">
        <v>354.5</v>
      </c>
      <c r="J816" s="16">
        <v>148983.945316603</v>
      </c>
      <c r="K816" s="5">
        <v>8.5382471109313893E-2</v>
      </c>
      <c r="L816" s="10">
        <v>319178.3162</v>
      </c>
    </row>
    <row r="817" spans="1:12" x14ac:dyDescent="0.25">
      <c r="A817">
        <v>816</v>
      </c>
      <c r="B817" s="3">
        <v>0.14364549945298072</v>
      </c>
      <c r="C817" s="3">
        <v>2.965672088621717E-2</v>
      </c>
      <c r="D817" s="1">
        <v>42066.239128653258</v>
      </c>
      <c r="E817" s="1">
        <v>1073567</v>
      </c>
      <c r="F817" s="1">
        <v>10627689</v>
      </c>
      <c r="G817" s="16">
        <v>51005.863103247997</v>
      </c>
      <c r="H817">
        <v>265.44</v>
      </c>
      <c r="I817" s="1">
        <v>776.55</v>
      </c>
      <c r="J817" s="16">
        <v>93072.102231901255</v>
      </c>
      <c r="K817" s="5">
        <v>7.9027036497363617E-2</v>
      </c>
      <c r="L817" s="10">
        <v>213852.054</v>
      </c>
    </row>
    <row r="818" spans="1:12" x14ac:dyDescent="0.25">
      <c r="A818">
        <v>817</v>
      </c>
      <c r="B818" s="3">
        <v>0.23841238865982792</v>
      </c>
      <c r="C818" s="3">
        <v>6.0297115260294784E-2</v>
      </c>
      <c r="D818" s="1">
        <v>154911.81295496208</v>
      </c>
      <c r="E818" s="1">
        <v>8618023</v>
      </c>
      <c r="F818" s="1">
        <v>33688992</v>
      </c>
      <c r="G818" s="16">
        <v>16383.288825531072</v>
      </c>
      <c r="H818">
        <v>165.96</v>
      </c>
      <c r="I818" s="1">
        <v>651.88</v>
      </c>
      <c r="J818" s="16">
        <v>171295.10178049316</v>
      </c>
      <c r="K818" s="5">
        <v>0.19434535875246872</v>
      </c>
      <c r="L818" s="10">
        <v>403180.58500000002</v>
      </c>
    </row>
    <row r="819" spans="1:12" x14ac:dyDescent="0.25">
      <c r="A819">
        <v>818</v>
      </c>
      <c r="B819" s="3">
        <v>0.13682392869559445</v>
      </c>
      <c r="C819" s="3">
        <v>3.0593003741085395E-2</v>
      </c>
      <c r="D819" s="1">
        <v>293363.41238460806</v>
      </c>
      <c r="E819" s="1">
        <v>11458078</v>
      </c>
      <c r="F819" s="1">
        <v>46946707</v>
      </c>
      <c r="G819" s="16">
        <v>21402.297880890619</v>
      </c>
      <c r="H819">
        <v>77.84</v>
      </c>
      <c r="I819" s="1">
        <v>314.89999999999998</v>
      </c>
      <c r="J819" s="16">
        <v>314765.71026549867</v>
      </c>
      <c r="K819" s="5">
        <v>0.2152033961860445</v>
      </c>
      <c r="L819" s="10">
        <v>1848304.5290000001</v>
      </c>
    </row>
    <row r="820" spans="1:12" x14ac:dyDescent="0.25">
      <c r="A820">
        <v>819</v>
      </c>
      <c r="B820" s="3">
        <v>0.1174594434958862</v>
      </c>
      <c r="C820" s="3">
        <v>3.7924162665582295E-2</v>
      </c>
      <c r="D820" s="1">
        <v>341803.21426580951</v>
      </c>
      <c r="E820" s="1">
        <v>11948280</v>
      </c>
      <c r="F820" s="1">
        <v>43525057</v>
      </c>
      <c r="G820" s="16">
        <v>14408.875693940536</v>
      </c>
      <c r="H820">
        <v>40.47</v>
      </c>
      <c r="I820" s="1">
        <v>151.07</v>
      </c>
      <c r="J820" s="16">
        <v>356212.08995975007</v>
      </c>
      <c r="K820" s="5">
        <v>0.11105313674780645</v>
      </c>
      <c r="L820" s="10">
        <v>858571.70620000002</v>
      </c>
    </row>
    <row r="821" spans="1:12" x14ac:dyDescent="0.25">
      <c r="A821">
        <v>820</v>
      </c>
      <c r="B821" s="3">
        <v>0.15401592182366619</v>
      </c>
      <c r="C821" s="3">
        <v>4.9292136811637188E-2</v>
      </c>
      <c r="D821" s="1">
        <v>200605.59221902041</v>
      </c>
      <c r="E821" s="1">
        <v>8664325</v>
      </c>
      <c r="F821" s="1">
        <v>54543303</v>
      </c>
      <c r="G821" s="16">
        <v>28445.745584116718</v>
      </c>
      <c r="H821">
        <v>138.1</v>
      </c>
      <c r="I821" s="1">
        <v>548.54</v>
      </c>
      <c r="J821" s="16">
        <v>229051.33780313714</v>
      </c>
      <c r="K821" s="5">
        <v>0.14192042719262535</v>
      </c>
      <c r="L821" s="10">
        <v>609247.43790000002</v>
      </c>
    </row>
    <row r="822" spans="1:12" x14ac:dyDescent="0.25">
      <c r="A822">
        <v>821</v>
      </c>
      <c r="B822" s="3">
        <v>0.13396880616635801</v>
      </c>
      <c r="C822" s="3">
        <v>4.9961357302017007E-2</v>
      </c>
      <c r="D822" s="1">
        <v>108640.91791221761</v>
      </c>
      <c r="E822" s="1">
        <v>3130367</v>
      </c>
      <c r="F822" s="1">
        <v>15862672</v>
      </c>
      <c r="G822" s="16">
        <v>45909.213542329519</v>
      </c>
      <c r="H822">
        <v>188.83</v>
      </c>
      <c r="I822" s="1">
        <v>524.9</v>
      </c>
      <c r="J822" s="16">
        <v>154550.13145454714</v>
      </c>
      <c r="K822" s="5">
        <v>0.13298375865231751</v>
      </c>
      <c r="L822" s="10">
        <v>297437.97320000001</v>
      </c>
    </row>
    <row r="823" spans="1:12" x14ac:dyDescent="0.25">
      <c r="A823">
        <v>822</v>
      </c>
      <c r="B823" s="3">
        <v>0.17591526170444144</v>
      </c>
      <c r="C823" s="3">
        <v>5.942737853959576E-2</v>
      </c>
      <c r="D823" s="1">
        <v>237079.6070062634</v>
      </c>
      <c r="E823" s="1">
        <v>11674478</v>
      </c>
      <c r="F823" s="1">
        <v>45009509</v>
      </c>
      <c r="G823" s="16">
        <v>19517.204049574157</v>
      </c>
      <c r="H823">
        <v>93.66</v>
      </c>
      <c r="I823" s="1">
        <v>298.14</v>
      </c>
      <c r="J823" s="16">
        <v>256596.81105583755</v>
      </c>
      <c r="K823" s="5">
        <v>7.572216076417497E-2</v>
      </c>
      <c r="L823" s="10">
        <v>214151.962</v>
      </c>
    </row>
    <row r="824" spans="1:12" x14ac:dyDescent="0.25">
      <c r="A824">
        <v>823</v>
      </c>
      <c r="B824" s="3">
        <v>0.18012054245102849</v>
      </c>
      <c r="C824" s="3">
        <v>7.7366105599184415E-2</v>
      </c>
      <c r="D824" s="1">
        <v>105181.39193153277</v>
      </c>
      <c r="E824" s="1">
        <v>3571837</v>
      </c>
      <c r="F824" s="1">
        <v>16104679</v>
      </c>
      <c r="G824" s="16">
        <v>18390.392860841977</v>
      </c>
      <c r="H824">
        <v>90.92</v>
      </c>
      <c r="I824" s="1">
        <v>261.56</v>
      </c>
      <c r="J824" s="16">
        <v>123571.78479237475</v>
      </c>
      <c r="K824" s="5">
        <v>0.24173447374903922</v>
      </c>
      <c r="L824" s="10">
        <v>261998.655</v>
      </c>
    </row>
    <row r="825" spans="1:12" x14ac:dyDescent="0.25">
      <c r="A825">
        <v>824</v>
      </c>
      <c r="B825" s="3">
        <v>0.10008644622705298</v>
      </c>
      <c r="C825" s="3">
        <v>7.9047028045434634E-2</v>
      </c>
      <c r="D825" s="1">
        <v>287828.45199967583</v>
      </c>
      <c r="E825" s="1">
        <v>8213599</v>
      </c>
      <c r="F825" s="1">
        <v>37572376</v>
      </c>
      <c r="G825" s="16">
        <v>23264.137926115898</v>
      </c>
      <c r="H825">
        <v>65.900000000000006</v>
      </c>
      <c r="I825" s="1">
        <v>276.68000000000006</v>
      </c>
      <c r="J825" s="16">
        <v>311092.58992579172</v>
      </c>
      <c r="K825" s="5">
        <v>0.27017222716462408</v>
      </c>
      <c r="L825" s="10">
        <v>724763.03769999999</v>
      </c>
    </row>
    <row r="826" spans="1:12" x14ac:dyDescent="0.25">
      <c r="A826">
        <v>825</v>
      </c>
      <c r="B826" s="3">
        <v>0.23060876060749996</v>
      </c>
      <c r="C826" s="3">
        <v>4.4747149600659161E-2</v>
      </c>
      <c r="D826" s="1">
        <v>72664.216369130692</v>
      </c>
      <c r="E826" s="1">
        <v>3880916</v>
      </c>
      <c r="F826" s="1">
        <v>21658105</v>
      </c>
      <c r="G826" s="16">
        <v>13009.057517267032</v>
      </c>
      <c r="H826">
        <v>122.5</v>
      </c>
      <c r="I826" s="1">
        <v>610.65000000000009</v>
      </c>
      <c r="J826" s="16">
        <v>85673.273886397728</v>
      </c>
      <c r="K826" s="5">
        <v>6.4729408103887304E-2</v>
      </c>
      <c r="L826" s="10">
        <v>113613.2559</v>
      </c>
    </row>
    <row r="827" spans="1:12" x14ac:dyDescent="0.25">
      <c r="A827">
        <v>826</v>
      </c>
      <c r="B827" s="3">
        <v>0.18382308305320946</v>
      </c>
      <c r="C827" s="3">
        <v>7.4990153546989693E-2</v>
      </c>
      <c r="D827" s="1">
        <v>79369.972057836669</v>
      </c>
      <c r="E827" s="1">
        <v>2732159</v>
      </c>
      <c r="F827" s="1">
        <v>18015882</v>
      </c>
      <c r="G827" s="16">
        <v>35452.759534844816</v>
      </c>
      <c r="H827">
        <v>271.17</v>
      </c>
      <c r="I827" s="1">
        <v>896.1400000000001</v>
      </c>
      <c r="J827" s="16">
        <v>114822.73159268149</v>
      </c>
      <c r="K827" s="5">
        <v>0.1289331639399337</v>
      </c>
      <c r="L827" s="10">
        <v>166054.88310000001</v>
      </c>
    </row>
    <row r="828" spans="1:12" x14ac:dyDescent="0.25">
      <c r="A828">
        <v>827</v>
      </c>
      <c r="B828" s="3">
        <v>0.10159027862492841</v>
      </c>
      <c r="C828" s="3">
        <v>5.4532857987884639E-2</v>
      </c>
      <c r="D828" s="1">
        <v>141092.20632602021</v>
      </c>
      <c r="E828" s="1">
        <v>4053298</v>
      </c>
      <c r="F828" s="1">
        <v>24066609</v>
      </c>
      <c r="G828" s="16">
        <v>70849.698282381753</v>
      </c>
      <c r="H828">
        <v>225.87</v>
      </c>
      <c r="I828" s="1">
        <v>646.25</v>
      </c>
      <c r="J828" s="16">
        <v>211941.90460840196</v>
      </c>
      <c r="K828" s="5">
        <v>5.5070172270807571E-2</v>
      </c>
      <c r="L828" s="10">
        <v>156357.11009999999</v>
      </c>
    </row>
    <row r="829" spans="1:12" x14ac:dyDescent="0.25">
      <c r="A829">
        <v>828</v>
      </c>
      <c r="B829" s="3">
        <v>0.2004422762229095</v>
      </c>
      <c r="C829" s="3">
        <v>3.0394581873110477E-2</v>
      </c>
      <c r="D829" s="1">
        <v>87447.58390832186</v>
      </c>
      <c r="E829" s="1">
        <v>3201850</v>
      </c>
      <c r="F829" s="1">
        <v>20213622</v>
      </c>
      <c r="G829" s="16">
        <v>17611.897303639646</v>
      </c>
      <c r="H829">
        <v>101.24</v>
      </c>
      <c r="I829" s="1">
        <v>366.09000000000003</v>
      </c>
      <c r="J829" s="16">
        <v>105059.48121196151</v>
      </c>
      <c r="K829" s="5">
        <v>-2.613152484109425E-2</v>
      </c>
      <c r="L829" s="10">
        <v>-45767.043899999997</v>
      </c>
    </row>
    <row r="830" spans="1:12" x14ac:dyDescent="0.25">
      <c r="A830">
        <v>829</v>
      </c>
      <c r="B830" s="3">
        <v>0.14592459805107016</v>
      </c>
      <c r="C830" s="3">
        <v>5.2931538237041817E-2</v>
      </c>
      <c r="D830" s="1">
        <v>352276.27976281766</v>
      </c>
      <c r="E830" s="1">
        <v>14507917</v>
      </c>
      <c r="F830" s="1">
        <v>43317456</v>
      </c>
      <c r="G830" s="16">
        <v>32615.781998526549</v>
      </c>
      <c r="H830">
        <v>147.94</v>
      </c>
      <c r="I830" s="1">
        <v>463.92</v>
      </c>
      <c r="J830" s="16">
        <v>384892.0617613442</v>
      </c>
      <c r="K830" s="5">
        <v>5.5067413547005069E-2</v>
      </c>
      <c r="L830" s="10">
        <v>262120.63339999999</v>
      </c>
    </row>
    <row r="831" spans="1:12" x14ac:dyDescent="0.25">
      <c r="A831">
        <v>830</v>
      </c>
      <c r="B831" s="3">
        <v>0.23733255322784561</v>
      </c>
      <c r="C831" s="3">
        <v>2.2803521847785467E-2</v>
      </c>
      <c r="D831" s="1">
        <v>71891.256926653936</v>
      </c>
      <c r="E831" s="1">
        <v>3033011</v>
      </c>
      <c r="F831" s="1">
        <v>13132710</v>
      </c>
      <c r="G831" s="16">
        <v>16107.468008507292</v>
      </c>
      <c r="H831">
        <v>123.28</v>
      </c>
      <c r="I831" s="1">
        <v>374.12</v>
      </c>
      <c r="J831" s="16">
        <v>87998.724935161226</v>
      </c>
      <c r="K831" s="5">
        <v>0.22123310991918171</v>
      </c>
      <c r="L831" s="10">
        <v>766822.84589999996</v>
      </c>
    </row>
    <row r="832" spans="1:12" x14ac:dyDescent="0.25">
      <c r="A832">
        <v>831</v>
      </c>
      <c r="B832" s="3">
        <v>0.16083898890119902</v>
      </c>
      <c r="C832" s="3">
        <v>4.6929155190709754E-2</v>
      </c>
      <c r="D832" s="1">
        <v>149773.44369393491</v>
      </c>
      <c r="E832" s="1">
        <v>5652712</v>
      </c>
      <c r="F832" s="1">
        <v>24613069</v>
      </c>
      <c r="G832" s="16">
        <v>38830.636706410449</v>
      </c>
      <c r="H832">
        <v>199.46</v>
      </c>
      <c r="I832" s="1">
        <v>578.79999999999995</v>
      </c>
      <c r="J832" s="16">
        <v>188604.08040034535</v>
      </c>
      <c r="K832" s="5">
        <v>0.26213598441883845</v>
      </c>
      <c r="L832" s="10">
        <v>816246.71889999998</v>
      </c>
    </row>
    <row r="833" spans="1:12" x14ac:dyDescent="0.25">
      <c r="A833">
        <v>832</v>
      </c>
      <c r="B833" s="3">
        <v>0.1515724725362253</v>
      </c>
      <c r="C833" s="3">
        <v>7.0370796019782453E-2</v>
      </c>
      <c r="D833" s="1">
        <v>273375.69934512879</v>
      </c>
      <c r="E833" s="1">
        <v>11638277</v>
      </c>
      <c r="F833" s="1">
        <v>54732478</v>
      </c>
      <c r="G833" s="16">
        <v>30431.997623993626</v>
      </c>
      <c r="H833">
        <v>144.72</v>
      </c>
      <c r="I833" s="1">
        <v>406</v>
      </c>
      <c r="J833" s="16">
        <v>303807.69696912239</v>
      </c>
      <c r="K833" s="5">
        <v>0.15933309138147927</v>
      </c>
      <c r="L833" s="10">
        <v>478825.76179999998</v>
      </c>
    </row>
    <row r="834" spans="1:12" x14ac:dyDescent="0.25">
      <c r="A834">
        <v>833</v>
      </c>
      <c r="B834" s="3">
        <v>0.24487631496118326</v>
      </c>
      <c r="C834" s="3">
        <v>4.0765303252010186E-2</v>
      </c>
      <c r="D834" s="1">
        <v>275028.08748330834</v>
      </c>
      <c r="E834" s="1">
        <v>20964731</v>
      </c>
      <c r="F834" s="1">
        <v>67136804</v>
      </c>
      <c r="G834" s="16">
        <v>8638.3484634153829</v>
      </c>
      <c r="H834">
        <v>70.02</v>
      </c>
      <c r="I834" s="1">
        <v>233.01999999999998</v>
      </c>
      <c r="J834" s="16">
        <v>283666.43594672374</v>
      </c>
      <c r="K834" s="5">
        <v>7.4874711654141224E-2</v>
      </c>
      <c r="L834" s="10">
        <v>422422.80550000002</v>
      </c>
    </row>
    <row r="835" spans="1:12" x14ac:dyDescent="0.25">
      <c r="A835">
        <v>834</v>
      </c>
      <c r="B835" s="3">
        <v>0.15312090092554148</v>
      </c>
      <c r="C835" s="3">
        <v>7.1132532723515357E-2</v>
      </c>
      <c r="D835" s="1">
        <v>139000.49619896876</v>
      </c>
      <c r="E835" s="1">
        <v>5057470</v>
      </c>
      <c r="F835" s="1">
        <v>24405584</v>
      </c>
      <c r="G835" s="16">
        <v>30087.215315368125</v>
      </c>
      <c r="H835">
        <v>144.93</v>
      </c>
      <c r="I835" s="1">
        <v>416.46999999999997</v>
      </c>
      <c r="J835" s="16">
        <v>169087.71151433687</v>
      </c>
      <c r="K835" s="5">
        <v>9.8068341856513475E-2</v>
      </c>
      <c r="L835" s="10">
        <v>206498.0809</v>
      </c>
    </row>
    <row r="836" spans="1:12" x14ac:dyDescent="0.25">
      <c r="A836">
        <v>835</v>
      </c>
      <c r="B836" s="3">
        <v>0.18598009835967033</v>
      </c>
      <c r="C836" s="3">
        <v>4.5336080635817677E-2</v>
      </c>
      <c r="D836" s="1">
        <v>191616.21792729088</v>
      </c>
      <c r="E836" s="1">
        <v>8167606</v>
      </c>
      <c r="F836" s="1">
        <v>39574215</v>
      </c>
      <c r="G836" s="16">
        <v>21217.410824626833</v>
      </c>
      <c r="H836">
        <v>134.52000000000001</v>
      </c>
      <c r="I836" s="1">
        <v>386.24</v>
      </c>
      <c r="J836" s="16">
        <v>212833.62875191771</v>
      </c>
      <c r="K836" s="5">
        <v>9.1698290345347155E-2</v>
      </c>
      <c r="L836" s="10">
        <v>369766.22830000002</v>
      </c>
    </row>
    <row r="837" spans="1:12" x14ac:dyDescent="0.25">
      <c r="A837">
        <v>836</v>
      </c>
      <c r="B837" s="3">
        <v>0.16958812569810902</v>
      </c>
      <c r="C837" s="3">
        <v>3.5553286878155059E-2</v>
      </c>
      <c r="D837" s="1">
        <v>223234.84007178491</v>
      </c>
      <c r="E837" s="1">
        <v>10580276</v>
      </c>
      <c r="F837" s="1">
        <v>50779889</v>
      </c>
      <c r="G837" s="16">
        <v>17013.448198057449</v>
      </c>
      <c r="H837">
        <v>78.010000000000005</v>
      </c>
      <c r="I837" s="1">
        <v>257.19</v>
      </c>
      <c r="J837" s="16">
        <v>240248.28826984236</v>
      </c>
      <c r="K837" s="5">
        <v>0.25562591616506902</v>
      </c>
      <c r="L837" s="10">
        <v>1415502.8263999999</v>
      </c>
    </row>
    <row r="838" spans="1:12" x14ac:dyDescent="0.25">
      <c r="A838">
        <v>837</v>
      </c>
      <c r="B838" s="3">
        <v>0.22280169588675347</v>
      </c>
      <c r="C838" s="3">
        <v>7.3615987384363091E-2</v>
      </c>
      <c r="D838" s="1">
        <v>123318.58453080762</v>
      </c>
      <c r="E838" s="1">
        <v>6325632</v>
      </c>
      <c r="F838" s="1">
        <v>24552481</v>
      </c>
      <c r="G838" s="16">
        <v>12569.011122573964</v>
      </c>
      <c r="H838">
        <v>85.66</v>
      </c>
      <c r="I838" s="1">
        <v>245.47</v>
      </c>
      <c r="J838" s="16">
        <v>135887.59565338158</v>
      </c>
      <c r="K838" s="5">
        <v>0.17201060793915632</v>
      </c>
      <c r="L838" s="10">
        <v>224997.22870000001</v>
      </c>
    </row>
    <row r="839" spans="1:12" x14ac:dyDescent="0.25">
      <c r="A839">
        <v>838</v>
      </c>
      <c r="B839" s="3">
        <v>0.22354719600317025</v>
      </c>
      <c r="C839" s="3">
        <v>6.252310146145898E-2</v>
      </c>
      <c r="D839" s="1">
        <v>93872.124419647094</v>
      </c>
      <c r="E839" s="1">
        <v>4833699</v>
      </c>
      <c r="F839" s="1">
        <v>22241906</v>
      </c>
      <c r="G839" s="16">
        <v>19930.068990199808</v>
      </c>
      <c r="H839">
        <v>176.13</v>
      </c>
      <c r="I839" s="1">
        <v>525.55999999999995</v>
      </c>
      <c r="J839" s="16">
        <v>113802.19340984691</v>
      </c>
      <c r="K839" s="5">
        <v>0.11307633267068706</v>
      </c>
      <c r="L839" s="10">
        <v>147677.3939</v>
      </c>
    </row>
    <row r="840" spans="1:12" x14ac:dyDescent="0.25">
      <c r="A840">
        <v>839</v>
      </c>
      <c r="B840" s="3">
        <v>0.15248727355769545</v>
      </c>
      <c r="C840" s="3">
        <v>4.5998846777875697E-2</v>
      </c>
      <c r="D840" s="1">
        <v>128016.23854463646</v>
      </c>
      <c r="E840" s="1">
        <v>4643899</v>
      </c>
      <c r="F840" s="1">
        <v>23765190</v>
      </c>
      <c r="G840" s="16">
        <v>56009.180490134619</v>
      </c>
      <c r="H840">
        <v>267.95</v>
      </c>
      <c r="I840" s="1">
        <v>639.81999999999994</v>
      </c>
      <c r="J840" s="16">
        <v>184025.4190347711</v>
      </c>
      <c r="K840" s="5">
        <v>0.10235640611784251</v>
      </c>
      <c r="L840" s="10">
        <v>321439.15090000001</v>
      </c>
    </row>
    <row r="841" spans="1:12" x14ac:dyDescent="0.25">
      <c r="A841">
        <v>840</v>
      </c>
      <c r="B841" s="3">
        <v>0.20930661019002461</v>
      </c>
      <c r="C841" s="3">
        <v>6.3599090300299546E-2</v>
      </c>
      <c r="D841" s="1">
        <v>208379.09165934971</v>
      </c>
      <c r="E841" s="1">
        <v>9977570</v>
      </c>
      <c r="F841" s="1">
        <v>35142896</v>
      </c>
      <c r="G841" s="16">
        <v>19754.718869023458</v>
      </c>
      <c r="H841">
        <v>153.71</v>
      </c>
      <c r="I841" s="1">
        <v>524.64</v>
      </c>
      <c r="J841" s="16">
        <v>228133.81052837317</v>
      </c>
      <c r="K841" s="5">
        <v>0.21609410732485429</v>
      </c>
      <c r="L841" s="10">
        <v>526872.51710000006</v>
      </c>
    </row>
    <row r="842" spans="1:12" x14ac:dyDescent="0.25">
      <c r="A842">
        <v>841</v>
      </c>
      <c r="B842" s="3">
        <v>0.15355595107314501</v>
      </c>
      <c r="C842" s="3">
        <v>5.3949805285067126E-2</v>
      </c>
      <c r="D842" s="1">
        <v>523962.54691240826</v>
      </c>
      <c r="E842" s="1">
        <v>22568985</v>
      </c>
      <c r="F842" s="1">
        <v>85647820</v>
      </c>
      <c r="G842" s="16">
        <v>40231.52201052005</v>
      </c>
      <c r="H842">
        <v>229.9</v>
      </c>
      <c r="I842" s="1">
        <v>805.45999999999992</v>
      </c>
      <c r="J842" s="16">
        <v>564194.0689229283</v>
      </c>
      <c r="K842" s="5">
        <v>0.24832360828625633</v>
      </c>
      <c r="L842" s="10">
        <v>1824017.034</v>
      </c>
    </row>
    <row r="843" spans="1:12" x14ac:dyDescent="0.25">
      <c r="A843">
        <v>842</v>
      </c>
      <c r="B843" s="3">
        <v>0.15413841097482955</v>
      </c>
      <c r="C843" s="3">
        <v>7.84902855898333E-2</v>
      </c>
      <c r="D843" s="1">
        <v>194958.00129130148</v>
      </c>
      <c r="E843" s="1">
        <v>8426503</v>
      </c>
      <c r="F843" s="1">
        <v>47156425</v>
      </c>
      <c r="G843" s="16">
        <v>26626.472402766514</v>
      </c>
      <c r="H843">
        <v>129.24</v>
      </c>
      <c r="I843" s="1">
        <v>461.76</v>
      </c>
      <c r="J843" s="16">
        <v>221584.473694068</v>
      </c>
      <c r="K843" s="5">
        <v>0.1204823606739103</v>
      </c>
      <c r="L843" s="10">
        <v>273567.72230000002</v>
      </c>
    </row>
    <row r="844" spans="1:12" x14ac:dyDescent="0.25">
      <c r="A844">
        <v>843</v>
      </c>
      <c r="B844" s="3">
        <v>0.18618785389907855</v>
      </c>
      <c r="C844" s="3">
        <v>5.2784658499494749E-2</v>
      </c>
      <c r="D844" s="1">
        <v>190032.54605771849</v>
      </c>
      <c r="E844" s="1">
        <v>8108377</v>
      </c>
      <c r="F844" s="1">
        <v>36578042</v>
      </c>
      <c r="G844" s="16">
        <v>29136.64022337303</v>
      </c>
      <c r="H844">
        <v>185.44</v>
      </c>
      <c r="I844" s="1">
        <v>642.48</v>
      </c>
      <c r="J844" s="16">
        <v>219169.1862810915</v>
      </c>
      <c r="K844" s="5">
        <v>0.22274260889681752</v>
      </c>
      <c r="L844" s="10">
        <v>712673.06949999998</v>
      </c>
    </row>
    <row r="845" spans="1:12" x14ac:dyDescent="0.25">
      <c r="A845">
        <v>844</v>
      </c>
      <c r="B845" s="3">
        <v>0.16544351656151518</v>
      </c>
      <c r="C845" s="3">
        <v>6.2412641898527035E-2</v>
      </c>
      <c r="D845" s="1">
        <v>324166.58287419868</v>
      </c>
      <c r="E845" s="1">
        <v>12506863</v>
      </c>
      <c r="F845" s="1">
        <v>35739617</v>
      </c>
      <c r="G845" s="16">
        <v>14993.598629513737</v>
      </c>
      <c r="H845">
        <v>66.8</v>
      </c>
      <c r="I845" s="1">
        <v>239.31</v>
      </c>
      <c r="J845" s="16">
        <v>339160.18150371243</v>
      </c>
      <c r="K845" s="5">
        <v>0.16370403901667868</v>
      </c>
      <c r="L845" s="10">
        <v>583159.92379999999</v>
      </c>
    </row>
    <row r="846" spans="1:12" x14ac:dyDescent="0.25">
      <c r="A846">
        <v>845</v>
      </c>
      <c r="B846" s="3">
        <v>0.1890970207892094</v>
      </c>
      <c r="C846" s="3">
        <v>7.8972791007290641E-2</v>
      </c>
      <c r="D846" s="1">
        <v>91385.476103521738</v>
      </c>
      <c r="E846" s="1">
        <v>3955526</v>
      </c>
      <c r="F846" s="1">
        <v>29123765</v>
      </c>
      <c r="G846" s="16">
        <v>18523.306603469151</v>
      </c>
      <c r="H846">
        <v>120.9</v>
      </c>
      <c r="I846" s="1">
        <v>428.23</v>
      </c>
      <c r="J846" s="16">
        <v>109908.7827069909</v>
      </c>
      <c r="K846" s="5">
        <v>0.12177909825878462</v>
      </c>
      <c r="L846" s="10">
        <v>155956.63389999999</v>
      </c>
    </row>
    <row r="847" spans="1:12" x14ac:dyDescent="0.25">
      <c r="A847">
        <v>846</v>
      </c>
      <c r="B847" s="3">
        <v>0.11436067978271339</v>
      </c>
      <c r="C847" s="3">
        <v>5.1652730618090364E-2</v>
      </c>
      <c r="D847" s="1">
        <v>205183.25180232813</v>
      </c>
      <c r="E847" s="1">
        <v>6241906</v>
      </c>
      <c r="F847" s="1">
        <v>32869398</v>
      </c>
      <c r="G847" s="16">
        <v>33004.540783935496</v>
      </c>
      <c r="H847">
        <v>102.96</v>
      </c>
      <c r="I847" s="1">
        <v>334.44</v>
      </c>
      <c r="J847" s="16">
        <v>238187.79258626362</v>
      </c>
      <c r="K847" s="5">
        <v>0.19901890488351118</v>
      </c>
      <c r="L847" s="10">
        <v>687887.72919999994</v>
      </c>
    </row>
    <row r="848" spans="1:12" x14ac:dyDescent="0.25">
      <c r="A848">
        <v>847</v>
      </c>
      <c r="B848" s="3">
        <v>0.24685812094935036</v>
      </c>
      <c r="C848" s="3">
        <v>7.9389110477718447E-2</v>
      </c>
      <c r="D848" s="1">
        <v>111464.53490134432</v>
      </c>
      <c r="E848" s="1">
        <v>6483838</v>
      </c>
      <c r="F848" s="1">
        <v>24087348</v>
      </c>
      <c r="G848" s="16">
        <v>8103.8948661554932</v>
      </c>
      <c r="H848">
        <v>88.62</v>
      </c>
      <c r="I848" s="1">
        <v>413.46</v>
      </c>
      <c r="J848" s="16">
        <v>119568.42976749981</v>
      </c>
      <c r="K848" s="5">
        <v>-1.3780577931652892E-2</v>
      </c>
      <c r="L848" s="10">
        <v>-464.07170000000002</v>
      </c>
    </row>
    <row r="849" spans="1:12" x14ac:dyDescent="0.25">
      <c r="A849">
        <v>848</v>
      </c>
      <c r="B849" s="3">
        <v>0.19734284980483419</v>
      </c>
      <c r="C849" s="3">
        <v>6.0130396380590395E-2</v>
      </c>
      <c r="D849" s="1">
        <v>78100.087317763726</v>
      </c>
      <c r="E849" s="1">
        <v>3521548</v>
      </c>
      <c r="F849" s="1">
        <v>21662928</v>
      </c>
      <c r="G849" s="16">
        <v>22196.608140317294</v>
      </c>
      <c r="H849">
        <v>155.77000000000001</v>
      </c>
      <c r="I849" s="1">
        <v>470.15999999999997</v>
      </c>
      <c r="J849" s="16">
        <v>100296.69545808103</v>
      </c>
      <c r="K849" s="5">
        <v>0.12406677682830597</v>
      </c>
      <c r="L849" s="10">
        <v>163294.10980000001</v>
      </c>
    </row>
    <row r="850" spans="1:12" x14ac:dyDescent="0.25">
      <c r="A850">
        <v>849</v>
      </c>
      <c r="B850" s="3">
        <v>0.23339550880501261</v>
      </c>
      <c r="C850" s="3">
        <v>7.117428975426629E-2</v>
      </c>
      <c r="D850" s="1">
        <v>121841.61526552089</v>
      </c>
      <c r="E850" s="1">
        <v>5061560</v>
      </c>
      <c r="F850" s="1">
        <v>21028426</v>
      </c>
      <c r="G850" s="16">
        <v>14575.23880095069</v>
      </c>
      <c r="H850">
        <v>108.18</v>
      </c>
      <c r="I850" s="1">
        <v>353.43</v>
      </c>
      <c r="J850" s="16">
        <v>136416.85406647157</v>
      </c>
      <c r="K850" s="5">
        <v>0.11242597583693562</v>
      </c>
      <c r="L850" s="10">
        <v>166601.11929999999</v>
      </c>
    </row>
    <row r="851" spans="1:12" x14ac:dyDescent="0.25">
      <c r="A851">
        <v>850</v>
      </c>
      <c r="B851" s="3">
        <v>0.19729748878926384</v>
      </c>
      <c r="C851" s="3">
        <v>3.4428230345904559E-2</v>
      </c>
      <c r="D851" s="1">
        <v>237625.70243783155</v>
      </c>
      <c r="E851" s="1">
        <v>10712184</v>
      </c>
      <c r="F851" s="1">
        <v>34569701</v>
      </c>
      <c r="G851" s="16">
        <v>9256.5577981861425</v>
      </c>
      <c r="H851">
        <v>41.85</v>
      </c>
      <c r="I851" s="1">
        <v>191.74</v>
      </c>
      <c r="J851" s="16">
        <v>246882.2602360177</v>
      </c>
      <c r="K851" s="5">
        <v>0.15394542125237967</v>
      </c>
      <c r="L851" s="10">
        <v>875257.89419999998</v>
      </c>
    </row>
    <row r="852" spans="1:12" x14ac:dyDescent="0.25">
      <c r="A852">
        <v>851</v>
      </c>
      <c r="B852" s="3">
        <v>0.15682427196804619</v>
      </c>
      <c r="C852" s="3">
        <v>6.8344568270788164E-2</v>
      </c>
      <c r="D852" s="1">
        <v>81509.618514937669</v>
      </c>
      <c r="E852" s="1">
        <v>2544820</v>
      </c>
      <c r="F852" s="1">
        <v>15674160</v>
      </c>
      <c r="G852" s="16">
        <v>12697.238689808248</v>
      </c>
      <c r="H852">
        <v>44.77</v>
      </c>
      <c r="I852" s="1">
        <v>173.22</v>
      </c>
      <c r="J852" s="16">
        <v>94206.857204745917</v>
      </c>
      <c r="K852" s="5">
        <v>0.18181208730512324</v>
      </c>
      <c r="L852" s="10">
        <v>178718.02160000001</v>
      </c>
    </row>
    <row r="853" spans="1:12" x14ac:dyDescent="0.25">
      <c r="A853">
        <v>852</v>
      </c>
      <c r="B853" s="3">
        <v>0.16706154721596123</v>
      </c>
      <c r="C853" s="3">
        <v>5.6590330597011587E-2</v>
      </c>
      <c r="D853" s="1">
        <v>147345.58668379468</v>
      </c>
      <c r="E853" s="1">
        <v>5729127</v>
      </c>
      <c r="F853" s="1">
        <v>23246231</v>
      </c>
      <c r="G853" s="16">
        <v>51789.112049034775</v>
      </c>
      <c r="H853">
        <v>336.91</v>
      </c>
      <c r="I853" s="1">
        <v>821.66000000000008</v>
      </c>
      <c r="J853" s="16">
        <v>199134.69873282945</v>
      </c>
      <c r="K853" s="5">
        <v>0.17538307854562629</v>
      </c>
      <c r="L853" s="10">
        <v>450271.50020000001</v>
      </c>
    </row>
    <row r="854" spans="1:12" x14ac:dyDescent="0.25">
      <c r="A854">
        <v>853</v>
      </c>
      <c r="B854" s="3">
        <v>0.24790542903825488</v>
      </c>
      <c r="C854" s="3">
        <v>5.1265230140263712E-2</v>
      </c>
      <c r="D854" s="1">
        <v>51830.528061259574</v>
      </c>
      <c r="E854" s="1">
        <v>2280194</v>
      </c>
      <c r="F854" s="1">
        <v>15601263</v>
      </c>
      <c r="G854" s="16">
        <v>15649.519317919436</v>
      </c>
      <c r="H854">
        <v>129.96</v>
      </c>
      <c r="I854" s="1">
        <v>367.5</v>
      </c>
      <c r="J854" s="16">
        <v>67480.047379179014</v>
      </c>
      <c r="K854" s="5">
        <v>8.7545155107016201E-2</v>
      </c>
      <c r="L854" s="10">
        <v>123070.8959</v>
      </c>
    </row>
    <row r="855" spans="1:12" x14ac:dyDescent="0.25">
      <c r="A855">
        <v>854</v>
      </c>
      <c r="B855" s="3">
        <v>0.13626042794706028</v>
      </c>
      <c r="C855" s="3">
        <v>7.5778914377735554E-2</v>
      </c>
      <c r="D855" s="1">
        <v>225042.05226499581</v>
      </c>
      <c r="E855" s="1">
        <v>8760973</v>
      </c>
      <c r="F855" s="1">
        <v>44259339</v>
      </c>
      <c r="G855" s="16">
        <v>23734.077245919481</v>
      </c>
      <c r="H855">
        <v>86.08</v>
      </c>
      <c r="I855" s="1">
        <v>300.09000000000003</v>
      </c>
      <c r="J855" s="16">
        <v>248776.12951091529</v>
      </c>
      <c r="K855" s="5">
        <v>-3.0968072969236884E-2</v>
      </c>
      <c r="L855" s="10">
        <v>-13369.5479</v>
      </c>
    </row>
    <row r="856" spans="1:12" x14ac:dyDescent="0.25">
      <c r="A856">
        <v>855</v>
      </c>
      <c r="B856" s="3">
        <v>0.17497825166177042</v>
      </c>
      <c r="C856" s="3">
        <v>3.6973212687724841E-2</v>
      </c>
      <c r="D856" s="1">
        <v>296179.29607294226</v>
      </c>
      <c r="E856" s="1">
        <v>11964550</v>
      </c>
      <c r="F856" s="1">
        <v>38471098</v>
      </c>
      <c r="G856" s="16">
        <v>13892.781336760125</v>
      </c>
      <c r="H856">
        <v>66.260000000000005</v>
      </c>
      <c r="I856" s="1">
        <v>254.26999999999998</v>
      </c>
      <c r="J856" s="16">
        <v>310072.07740970241</v>
      </c>
      <c r="K856" s="5">
        <v>0.19424844478540851</v>
      </c>
      <c r="L856" s="10">
        <v>1261243.0582999999</v>
      </c>
    </row>
    <row r="857" spans="1:12" x14ac:dyDescent="0.25">
      <c r="A857">
        <v>856</v>
      </c>
      <c r="B857" s="3">
        <v>0.24776725373897901</v>
      </c>
      <c r="C857" s="3">
        <v>6.5271940487907396E-2</v>
      </c>
      <c r="D857" s="1">
        <v>148058.55125167678</v>
      </c>
      <c r="E857" s="1">
        <v>8654210</v>
      </c>
      <c r="F857" s="1">
        <v>32128792</v>
      </c>
      <c r="G857" s="16">
        <v>18757.771294954171</v>
      </c>
      <c r="H857">
        <v>207.04</v>
      </c>
      <c r="I857" s="1">
        <v>486.96000000000004</v>
      </c>
      <c r="J857" s="16">
        <v>166816.32254663095</v>
      </c>
      <c r="K857" s="5">
        <v>0.13481577659702518</v>
      </c>
      <c r="L857" s="10">
        <v>237790.96090000001</v>
      </c>
    </row>
    <row r="858" spans="1:12" x14ac:dyDescent="0.25">
      <c r="A858">
        <v>857</v>
      </c>
      <c r="B858" s="3">
        <v>0.17093006440904002</v>
      </c>
      <c r="C858" s="3">
        <v>2.4658054225035142E-2</v>
      </c>
      <c r="D858" s="1">
        <v>403569.83654529246</v>
      </c>
      <c r="E858" s="1">
        <v>19282608</v>
      </c>
      <c r="F858" s="1">
        <v>59798916</v>
      </c>
      <c r="G858" s="16">
        <v>32440.514193464907</v>
      </c>
      <c r="H858">
        <v>150.22</v>
      </c>
      <c r="I858" s="1">
        <v>372.59000000000003</v>
      </c>
      <c r="J858" s="16">
        <v>436010.35073875735</v>
      </c>
      <c r="K858" s="5">
        <v>0.18726462659086976</v>
      </c>
      <c r="L858" s="10">
        <v>2823778.6784000001</v>
      </c>
    </row>
    <row r="859" spans="1:12" x14ac:dyDescent="0.25">
      <c r="A859">
        <v>858</v>
      </c>
      <c r="B859" s="3">
        <v>0.24950123639305852</v>
      </c>
      <c r="C859" s="3">
        <v>5.8541927026154086E-2</v>
      </c>
      <c r="D859" s="1">
        <v>157520.57672279948</v>
      </c>
      <c r="E859" s="1">
        <v>9292666</v>
      </c>
      <c r="F859" s="1">
        <v>41540624</v>
      </c>
      <c r="G859" s="16">
        <v>15795.216335274619</v>
      </c>
      <c r="H859">
        <v>177.05</v>
      </c>
      <c r="I859" s="1">
        <v>638.27</v>
      </c>
      <c r="J859" s="16">
        <v>173315.79305807411</v>
      </c>
      <c r="K859" s="5">
        <v>0.10390868147852467</v>
      </c>
      <c r="L859" s="10">
        <v>237519.2555</v>
      </c>
    </row>
    <row r="860" spans="1:12" x14ac:dyDescent="0.25">
      <c r="A860">
        <v>859</v>
      </c>
      <c r="B860" s="3">
        <v>0.17843732598700504</v>
      </c>
      <c r="C860" s="3">
        <v>5.0762232138968799E-2</v>
      </c>
      <c r="D860" s="1">
        <v>255465.1240236423</v>
      </c>
      <c r="E860" s="1">
        <v>10494729</v>
      </c>
      <c r="F860" s="1">
        <v>34260885</v>
      </c>
      <c r="G860" s="16">
        <v>22670.382197394814</v>
      </c>
      <c r="H860">
        <v>110.84</v>
      </c>
      <c r="I860" s="1">
        <v>366.15</v>
      </c>
      <c r="J860" s="16">
        <v>278135.50622103713</v>
      </c>
      <c r="K860" s="5">
        <v>3.6314503334940448E-2</v>
      </c>
      <c r="L860" s="10">
        <v>143797.89170000001</v>
      </c>
    </row>
    <row r="861" spans="1:12" x14ac:dyDescent="0.25">
      <c r="A861">
        <v>860</v>
      </c>
      <c r="B861" s="3">
        <v>0.21197928288563167</v>
      </c>
      <c r="C861" s="3">
        <v>3.1284843944171165E-2</v>
      </c>
      <c r="D861" s="1">
        <v>184821.58662006605</v>
      </c>
      <c r="E861" s="1">
        <v>8970250</v>
      </c>
      <c r="F861" s="1">
        <v>26814551</v>
      </c>
      <c r="G861" s="16">
        <v>21060.052154471177</v>
      </c>
      <c r="H861">
        <v>168.07</v>
      </c>
      <c r="I861" s="1">
        <v>474.34999999999997</v>
      </c>
      <c r="J861" s="16">
        <v>205881.63877453722</v>
      </c>
      <c r="K861" s="5">
        <v>0.19555748236161202</v>
      </c>
      <c r="L861" s="10">
        <v>1057304.6950999999</v>
      </c>
    </row>
    <row r="862" spans="1:12" x14ac:dyDescent="0.25">
      <c r="A862">
        <v>861</v>
      </c>
      <c r="B862" s="3">
        <v>0.22091341609227971</v>
      </c>
      <c r="C862" s="3">
        <v>5.7068394829981536E-2</v>
      </c>
      <c r="D862" s="1">
        <v>140355.77574227733</v>
      </c>
      <c r="E862" s="1">
        <v>7130009</v>
      </c>
      <c r="F862" s="1">
        <v>32883648</v>
      </c>
      <c r="G862" s="16">
        <v>24781.202922511038</v>
      </c>
      <c r="H862">
        <v>213.83</v>
      </c>
      <c r="I862" s="1">
        <v>521.4</v>
      </c>
      <c r="J862" s="16">
        <v>165136.97866478836</v>
      </c>
      <c r="K862" s="5">
        <v>0.21283570913900768</v>
      </c>
      <c r="L862" s="10">
        <v>472793.07169999997</v>
      </c>
    </row>
    <row r="863" spans="1:12" x14ac:dyDescent="0.25">
      <c r="A863">
        <v>862</v>
      </c>
      <c r="B863" s="3">
        <v>0.20127790021942688</v>
      </c>
      <c r="C863" s="3">
        <v>5.1658342790036116E-2</v>
      </c>
      <c r="D863" s="1">
        <v>302057.43086559552</v>
      </c>
      <c r="E863" s="1">
        <v>17390585</v>
      </c>
      <c r="F863" s="1">
        <v>63572381</v>
      </c>
      <c r="G863" s="16">
        <v>14247.640577660668</v>
      </c>
      <c r="H863">
        <v>103.23</v>
      </c>
      <c r="I863" s="1">
        <v>407.17</v>
      </c>
      <c r="J863" s="16">
        <v>316305.07144325617</v>
      </c>
      <c r="K863" s="5">
        <v>0.12956838214974764</v>
      </c>
      <c r="L863" s="10">
        <v>600838.0392</v>
      </c>
    </row>
    <row r="864" spans="1:12" x14ac:dyDescent="0.25">
      <c r="A864">
        <v>863</v>
      </c>
      <c r="B864" s="3">
        <v>0.14496980431161011</v>
      </c>
      <c r="C864" s="3">
        <v>6.0224660074360947E-2</v>
      </c>
      <c r="D864" s="1">
        <v>196092.57685467755</v>
      </c>
      <c r="E864" s="1">
        <v>6866541</v>
      </c>
      <c r="F864" s="1">
        <v>26949926</v>
      </c>
      <c r="G864" s="16">
        <v>55630.099045865689</v>
      </c>
      <c r="H864">
        <v>250.46</v>
      </c>
      <c r="I864" s="1">
        <v>677.32</v>
      </c>
      <c r="J864" s="16">
        <v>251722.67590054322</v>
      </c>
      <c r="K864" s="5">
        <v>6.7735351148424244E-2</v>
      </c>
      <c r="L864" s="10">
        <v>234476.30619999999</v>
      </c>
    </row>
    <row r="865" spans="1:12" x14ac:dyDescent="0.25">
      <c r="A865">
        <v>864</v>
      </c>
      <c r="B865" s="3">
        <v>0.14025947148748993</v>
      </c>
      <c r="C865" s="3">
        <v>6.3558202971920719E-2</v>
      </c>
      <c r="D865" s="1">
        <v>148909.80705512557</v>
      </c>
      <c r="E865" s="1">
        <v>5101009</v>
      </c>
      <c r="F865" s="1">
        <v>24769929</v>
      </c>
      <c r="G865" s="16">
        <v>64410.962578642961</v>
      </c>
      <c r="H865">
        <v>324.74</v>
      </c>
      <c r="I865" s="1">
        <v>886.63</v>
      </c>
      <c r="J865" s="16">
        <v>213320.76963376853</v>
      </c>
      <c r="K865" s="5">
        <v>0.14083313483408852</v>
      </c>
      <c r="L865" s="10">
        <v>340033.94910000003</v>
      </c>
    </row>
    <row r="866" spans="1:12" x14ac:dyDescent="0.25">
      <c r="A866">
        <v>865</v>
      </c>
      <c r="B866" s="3">
        <v>0.11883435815418975</v>
      </c>
      <c r="C866" s="3">
        <v>5.191898361732164E-2</v>
      </c>
      <c r="D866" s="1">
        <v>67278.458786149058</v>
      </c>
      <c r="E866" s="1">
        <v>1840375</v>
      </c>
      <c r="F866" s="1">
        <v>11589689</v>
      </c>
      <c r="G866" s="16">
        <v>39671.104642634346</v>
      </c>
      <c r="H866">
        <v>127.42</v>
      </c>
      <c r="I866" s="1">
        <v>354.87</v>
      </c>
      <c r="J866" s="16">
        <v>106949.56342878341</v>
      </c>
      <c r="K866" s="5">
        <v>4.4571556249958622E-2</v>
      </c>
      <c r="L866" s="10">
        <v>78327.867199999993</v>
      </c>
    </row>
    <row r="867" spans="1:12" x14ac:dyDescent="0.25">
      <c r="A867">
        <v>866</v>
      </c>
      <c r="B867" s="3">
        <v>0.12781366075076689</v>
      </c>
      <c r="C867" s="3">
        <v>3.0412900607655804E-2</v>
      </c>
      <c r="D867" s="1">
        <v>321983.98999334918</v>
      </c>
      <c r="E867" s="1">
        <v>10413581</v>
      </c>
      <c r="F867" s="1">
        <v>34189400</v>
      </c>
      <c r="G867" s="16">
        <v>57543.627508172787</v>
      </c>
      <c r="H867">
        <v>225.56</v>
      </c>
      <c r="I867" s="1">
        <v>619.23</v>
      </c>
      <c r="J867" s="16">
        <v>379527.61750152195</v>
      </c>
      <c r="K867" s="5">
        <v>0.21393864445327726</v>
      </c>
      <c r="L867" s="10">
        <v>2129138.7938999999</v>
      </c>
    </row>
    <row r="868" spans="1:12" x14ac:dyDescent="0.25">
      <c r="A868">
        <v>867</v>
      </c>
      <c r="B868" s="3">
        <v>0.13965284307797893</v>
      </c>
      <c r="C868" s="3">
        <v>2.0520723330395691E-2</v>
      </c>
      <c r="D868" s="1">
        <v>291708.75238956517</v>
      </c>
      <c r="E868" s="1">
        <v>9964536</v>
      </c>
      <c r="F868" s="1">
        <v>40556225</v>
      </c>
      <c r="G868" s="16">
        <v>58048.048788030988</v>
      </c>
      <c r="H868">
        <v>250.11</v>
      </c>
      <c r="I868" s="1">
        <v>638.95000000000005</v>
      </c>
      <c r="J868" s="16">
        <v>349756.80117759615</v>
      </c>
      <c r="K868" s="5">
        <v>0.18424873065833086</v>
      </c>
      <c r="L868" s="10">
        <v>2780154.2126000002</v>
      </c>
    </row>
    <row r="869" spans="1:12" x14ac:dyDescent="0.25">
      <c r="A869">
        <v>868</v>
      </c>
      <c r="B869" s="3">
        <v>0.2089891110778771</v>
      </c>
      <c r="C869" s="3">
        <v>4.3262621117874309E-2</v>
      </c>
      <c r="D869" s="1">
        <v>96519.053442596138</v>
      </c>
      <c r="E869" s="1">
        <v>3649793</v>
      </c>
      <c r="F869" s="1">
        <v>19586564</v>
      </c>
      <c r="G869" s="16">
        <v>25033.661759487673</v>
      </c>
      <c r="H869">
        <v>194.46</v>
      </c>
      <c r="I869" s="1">
        <v>650.74</v>
      </c>
      <c r="J869" s="16">
        <v>121552.71520208381</v>
      </c>
      <c r="K869" s="5">
        <v>0.15374294434435909</v>
      </c>
      <c r="L869" s="10">
        <v>337959.62150000001</v>
      </c>
    </row>
    <row r="870" spans="1:12" x14ac:dyDescent="0.25">
      <c r="A870">
        <v>869</v>
      </c>
      <c r="B870" s="3">
        <v>0.10900689677125709</v>
      </c>
      <c r="C870" s="3">
        <v>4.6861545865583609E-2</v>
      </c>
      <c r="D870" s="1">
        <v>123959.36737760153</v>
      </c>
      <c r="E870" s="1">
        <v>3279886</v>
      </c>
      <c r="F870" s="1">
        <v>17272443</v>
      </c>
      <c r="G870" s="16">
        <v>48508.988217073864</v>
      </c>
      <c r="H870">
        <v>163.84</v>
      </c>
      <c r="I870" s="1">
        <v>584.74</v>
      </c>
      <c r="J870" s="16">
        <v>172468.35559467541</v>
      </c>
      <c r="K870" s="5">
        <v>0.12283084517255825</v>
      </c>
      <c r="L870" s="10">
        <v>349920.92139999999</v>
      </c>
    </row>
    <row r="871" spans="1:12" x14ac:dyDescent="0.25">
      <c r="A871">
        <v>870</v>
      </c>
      <c r="B871" s="3">
        <v>0.17840120256089806</v>
      </c>
      <c r="C871" s="3">
        <v>5.7696355795321536E-2</v>
      </c>
      <c r="D871" s="1">
        <v>376382.25501477817</v>
      </c>
      <c r="E871" s="1">
        <v>18816239</v>
      </c>
      <c r="F871" s="1">
        <v>51532249</v>
      </c>
      <c r="G871" s="16">
        <v>15874.825919239216</v>
      </c>
      <c r="H871">
        <v>77.55</v>
      </c>
      <c r="I871" s="1">
        <v>233.41000000000003</v>
      </c>
      <c r="J871" s="16">
        <v>392257.08093401737</v>
      </c>
      <c r="K871" s="5">
        <v>6.6700674435032026E-2</v>
      </c>
      <c r="L871" s="10">
        <v>304305.37900000002</v>
      </c>
    </row>
    <row r="872" spans="1:12" x14ac:dyDescent="0.25">
      <c r="A872">
        <v>871</v>
      </c>
      <c r="B872" s="3">
        <v>0.12901322614500488</v>
      </c>
      <c r="C872" s="3">
        <v>7.2550614374583974E-2</v>
      </c>
      <c r="D872" s="1">
        <v>209358.22479376043</v>
      </c>
      <c r="E872" s="1">
        <v>6808418</v>
      </c>
      <c r="F872" s="1">
        <v>30966819</v>
      </c>
      <c r="G872" s="16">
        <v>28946.686434045245</v>
      </c>
      <c r="H872">
        <v>99.68</v>
      </c>
      <c r="I872" s="1">
        <v>320.68000000000006</v>
      </c>
      <c r="J872" s="16">
        <v>238304.91122780566</v>
      </c>
      <c r="K872" s="5">
        <v>0.12999963299103751</v>
      </c>
      <c r="L872" s="10">
        <v>283626.40000000002</v>
      </c>
    </row>
    <row r="873" spans="1:12" x14ac:dyDescent="0.25">
      <c r="A873">
        <v>872</v>
      </c>
      <c r="B873" s="3">
        <v>0.23349693474823963</v>
      </c>
      <c r="C873" s="3">
        <v>7.0976735712306158E-2</v>
      </c>
      <c r="D873" s="1">
        <v>43534.611838674908</v>
      </c>
      <c r="E873" s="1">
        <v>1809238</v>
      </c>
      <c r="F873" s="1">
        <v>13769364</v>
      </c>
      <c r="G873" s="16">
        <v>17540.523891554894</v>
      </c>
      <c r="H873">
        <v>170.03</v>
      </c>
      <c r="I873" s="1">
        <v>452.55999999999995</v>
      </c>
      <c r="J873" s="16">
        <v>61075.135730229798</v>
      </c>
      <c r="K873" s="5">
        <v>0.12482481776501017</v>
      </c>
      <c r="L873" s="10">
        <v>104014.5238</v>
      </c>
    </row>
    <row r="874" spans="1:12" x14ac:dyDescent="0.25">
      <c r="A874">
        <v>873</v>
      </c>
      <c r="B874" s="3">
        <v>0.22560634916015526</v>
      </c>
      <c r="C874" s="3">
        <v>6.60094906011469E-2</v>
      </c>
      <c r="D874" s="1">
        <v>72463.14394232801</v>
      </c>
      <c r="E874" s="1">
        <v>3771138</v>
      </c>
      <c r="F874" s="1">
        <v>26050471</v>
      </c>
      <c r="G874" s="16">
        <v>22591.516181965133</v>
      </c>
      <c r="H874">
        <v>203.4</v>
      </c>
      <c r="I874" s="1">
        <v>528.52</v>
      </c>
      <c r="J874" s="16">
        <v>95054.66012429315</v>
      </c>
      <c r="K874" s="5">
        <v>0.21203301485072892</v>
      </c>
      <c r="L874" s="10">
        <v>264295.91759999999</v>
      </c>
    </row>
    <row r="875" spans="1:12" x14ac:dyDescent="0.25">
      <c r="A875">
        <v>874</v>
      </c>
      <c r="B875" s="3">
        <v>0.14716038342903387</v>
      </c>
      <c r="C875" s="3">
        <v>2.7497138932479001E-2</v>
      </c>
      <c r="D875" s="1">
        <v>107177.12718045828</v>
      </c>
      <c r="E875" s="1">
        <v>3791715</v>
      </c>
      <c r="F875" s="1">
        <v>21754423</v>
      </c>
      <c r="G875" s="16">
        <v>33525.916275916119</v>
      </c>
      <c r="H875">
        <v>153.66</v>
      </c>
      <c r="I875" s="1">
        <v>490.18000000000006</v>
      </c>
      <c r="J875" s="16">
        <v>140703.04345637441</v>
      </c>
      <c r="K875" s="5">
        <v>0.16431785784260663</v>
      </c>
      <c r="L875" s="10">
        <v>725442.68460000004</v>
      </c>
    </row>
    <row r="876" spans="1:12" x14ac:dyDescent="0.25">
      <c r="A876">
        <v>875</v>
      </c>
      <c r="B876" s="3">
        <v>0.16032918532212476</v>
      </c>
      <c r="C876" s="3">
        <v>3.2202715784433317E-2</v>
      </c>
      <c r="D876" s="1">
        <v>74490.469254628842</v>
      </c>
      <c r="E876" s="1">
        <v>2354921</v>
      </c>
      <c r="F876" s="1">
        <v>14711083</v>
      </c>
      <c r="G876" s="16">
        <v>52486.544975773104</v>
      </c>
      <c r="H876">
        <v>319.52</v>
      </c>
      <c r="I876" s="1">
        <v>815.66</v>
      </c>
      <c r="J876" s="16">
        <v>126977.01423040195</v>
      </c>
      <c r="K876" s="5">
        <v>0.1087320148861915</v>
      </c>
      <c r="L876" s="10">
        <v>378174.10080000001</v>
      </c>
    </row>
    <row r="877" spans="1:12" x14ac:dyDescent="0.25">
      <c r="A877">
        <v>876</v>
      </c>
      <c r="B877" s="3">
        <v>0.15274889267729039</v>
      </c>
      <c r="C877" s="3">
        <v>2.820900964299048E-2</v>
      </c>
      <c r="D877" s="1">
        <v>207028.77010722354</v>
      </c>
      <c r="E877" s="1">
        <v>7519432</v>
      </c>
      <c r="F877" s="1">
        <v>26637551</v>
      </c>
      <c r="G877" s="16">
        <v>21250.041183831323</v>
      </c>
      <c r="H877">
        <v>101.9</v>
      </c>
      <c r="I877" s="1">
        <v>387.07000000000005</v>
      </c>
      <c r="J877" s="16">
        <v>228278.81129105485</v>
      </c>
      <c r="K877" s="5">
        <v>0.25486799661322412</v>
      </c>
      <c r="L877" s="10">
        <v>1749648.9268</v>
      </c>
    </row>
    <row r="878" spans="1:12" x14ac:dyDescent="0.25">
      <c r="A878">
        <v>877</v>
      </c>
      <c r="B878" s="3">
        <v>0.15224208632376399</v>
      </c>
      <c r="C878" s="3">
        <v>5.7478859684030575E-2</v>
      </c>
      <c r="D878" s="1">
        <v>170497.64010382254</v>
      </c>
      <c r="E878" s="1">
        <v>5237280</v>
      </c>
      <c r="F878" s="1">
        <v>19261406</v>
      </c>
      <c r="G878" s="16">
        <v>44828.005313005575</v>
      </c>
      <c r="H878">
        <v>214.13</v>
      </c>
      <c r="I878" s="1">
        <v>631.46</v>
      </c>
      <c r="J878" s="16">
        <v>215325.64541682811</v>
      </c>
      <c r="K878" s="5">
        <v>0.19183612397213134</v>
      </c>
      <c r="L878" s="10">
        <v>499741.33289999998</v>
      </c>
    </row>
    <row r="879" spans="1:12" x14ac:dyDescent="0.25">
      <c r="A879">
        <v>878</v>
      </c>
      <c r="B879" s="3">
        <v>0.1272256566459829</v>
      </c>
      <c r="C879" s="3">
        <v>6.9945445771112183E-2</v>
      </c>
      <c r="D879" s="1">
        <v>409582.44613918907</v>
      </c>
      <c r="E879" s="1">
        <v>15136763</v>
      </c>
      <c r="F879" s="1">
        <v>45278968</v>
      </c>
      <c r="G879" s="16">
        <v>52055.234107571509</v>
      </c>
      <c r="H879">
        <v>203.09</v>
      </c>
      <c r="I879" s="1">
        <v>630.96</v>
      </c>
      <c r="J879" s="16">
        <v>461637.6802467606</v>
      </c>
      <c r="K879" s="5">
        <v>0.12192748824293706</v>
      </c>
      <c r="L879" s="10">
        <v>528183.41989999998</v>
      </c>
    </row>
    <row r="880" spans="1:12" x14ac:dyDescent="0.25">
      <c r="A880">
        <v>879</v>
      </c>
      <c r="B880" s="3">
        <v>0.2372064183800785</v>
      </c>
      <c r="C880" s="3">
        <v>6.8599755643453372E-2</v>
      </c>
      <c r="D880" s="1">
        <v>121949.36110329878</v>
      </c>
      <c r="E880" s="1">
        <v>6741458</v>
      </c>
      <c r="F880" s="1">
        <v>30737516</v>
      </c>
      <c r="G880" s="16">
        <v>17031.427153000444</v>
      </c>
      <c r="H880">
        <v>130.19999999999999</v>
      </c>
      <c r="I880" s="1">
        <v>364.18</v>
      </c>
      <c r="J880" s="16">
        <v>138980.78825629922</v>
      </c>
      <c r="K880" s="5">
        <v>5.4036237030343624E-2</v>
      </c>
      <c r="L880" s="10">
        <v>84629.369200000001</v>
      </c>
    </row>
    <row r="881" spans="1:12" x14ac:dyDescent="0.25">
      <c r="A881">
        <v>880</v>
      </c>
      <c r="B881" s="3">
        <v>0.11650014021866589</v>
      </c>
      <c r="C881" s="3">
        <v>6.4017188292318727E-2</v>
      </c>
      <c r="D881" s="1">
        <v>260422.06370282918</v>
      </c>
      <c r="E881" s="1">
        <v>7999355</v>
      </c>
      <c r="F881" s="1">
        <v>35343315</v>
      </c>
      <c r="G881" s="16">
        <v>92372.926005865957</v>
      </c>
      <c r="H881">
        <v>331.11</v>
      </c>
      <c r="I881" s="1">
        <v>766.34</v>
      </c>
      <c r="J881" s="16">
        <v>352794.98970869515</v>
      </c>
      <c r="K881" s="5">
        <v>0.11168947759165732</v>
      </c>
      <c r="L881" s="10">
        <v>390646.05489999999</v>
      </c>
    </row>
    <row r="882" spans="1:12" x14ac:dyDescent="0.25">
      <c r="A882">
        <v>881</v>
      </c>
      <c r="B882" s="3">
        <v>0.11961489290095614</v>
      </c>
      <c r="C882" s="3">
        <v>3.87718705658417E-2</v>
      </c>
      <c r="D882" s="1">
        <v>368950.94768079725</v>
      </c>
      <c r="E882" s="1">
        <v>11494250</v>
      </c>
      <c r="F882" s="1">
        <v>42424460</v>
      </c>
      <c r="G882" s="16">
        <v>75583.899260903578</v>
      </c>
      <c r="H882">
        <v>277.35000000000002</v>
      </c>
      <c r="I882" s="1">
        <v>710.12</v>
      </c>
      <c r="J882" s="16">
        <v>444534.84694170085</v>
      </c>
      <c r="K882" s="5">
        <v>0.10148570523507239</v>
      </c>
      <c r="L882" s="10">
        <v>930684.02709999995</v>
      </c>
    </row>
    <row r="883" spans="1:12" x14ac:dyDescent="0.25">
      <c r="A883">
        <v>882</v>
      </c>
      <c r="B883" s="3">
        <v>0.11048785252962118</v>
      </c>
      <c r="C883" s="3">
        <v>6.5315451093067148E-2</v>
      </c>
      <c r="D883" s="1">
        <v>289895.79052326811</v>
      </c>
      <c r="E883" s="1">
        <v>8666364</v>
      </c>
      <c r="F883" s="1">
        <v>30610125</v>
      </c>
      <c r="G883" s="16">
        <v>61148.997182270439</v>
      </c>
      <c r="H883">
        <v>209.26</v>
      </c>
      <c r="I883" s="1">
        <v>512.64</v>
      </c>
      <c r="J883" s="16">
        <v>351044.78770553856</v>
      </c>
      <c r="K883" s="5">
        <v>0.13158269423243135</v>
      </c>
      <c r="L883" s="10">
        <v>473898.62229999999</v>
      </c>
    </row>
    <row r="884" spans="1:12" x14ac:dyDescent="0.25">
      <c r="A884">
        <v>883</v>
      </c>
      <c r="B884" s="3">
        <v>0.19526651916501075</v>
      </c>
      <c r="C884" s="3">
        <v>6.0407663629581262E-2</v>
      </c>
      <c r="D884" s="1">
        <v>141260.33283766743</v>
      </c>
      <c r="E884" s="1">
        <v>6303980</v>
      </c>
      <c r="F884" s="1">
        <v>38069242</v>
      </c>
      <c r="G884" s="16">
        <v>32869.672005950742</v>
      </c>
      <c r="H884">
        <v>226.07</v>
      </c>
      <c r="I884" s="1">
        <v>598.36</v>
      </c>
      <c r="J884" s="16">
        <v>174130.00484361817</v>
      </c>
      <c r="K884" s="5">
        <v>1.0151812223283305E-2</v>
      </c>
      <c r="L884" s="10">
        <v>10310.793600000001</v>
      </c>
    </row>
    <row r="885" spans="1:12" x14ac:dyDescent="0.25">
      <c r="A885">
        <v>884</v>
      </c>
      <c r="B885" s="3">
        <v>0.10710715982809171</v>
      </c>
      <c r="C885" s="3">
        <v>2.243021194156844E-2</v>
      </c>
      <c r="D885" s="1">
        <v>64500.369716468231</v>
      </c>
      <c r="E885" s="1">
        <v>1514143</v>
      </c>
      <c r="F885" s="1">
        <v>9710697</v>
      </c>
      <c r="G885" s="16">
        <v>33467.331664181278</v>
      </c>
      <c r="H885">
        <v>111.28</v>
      </c>
      <c r="I885" s="1">
        <v>457.61</v>
      </c>
      <c r="J885" s="16">
        <v>97967.701380649509</v>
      </c>
      <c r="K885" s="5">
        <v>0.17945060877011965</v>
      </c>
      <c r="L885" s="10">
        <v>691759.08349999995</v>
      </c>
    </row>
    <row r="886" spans="1:12" x14ac:dyDescent="0.25">
      <c r="A886">
        <v>885</v>
      </c>
      <c r="B886" s="3">
        <v>0.24920608041558168</v>
      </c>
      <c r="C886" s="3">
        <v>4.3173927367190945E-2</v>
      </c>
      <c r="D886" s="1">
        <v>145067.58670681849</v>
      </c>
      <c r="E886" s="1">
        <v>8544585</v>
      </c>
      <c r="F886" s="1">
        <v>31446940</v>
      </c>
      <c r="G886" s="16">
        <v>12992.594569024865</v>
      </c>
      <c r="H886">
        <v>145.38</v>
      </c>
      <c r="I886" s="1">
        <v>533.04</v>
      </c>
      <c r="J886" s="16">
        <v>158060.18127584335</v>
      </c>
      <c r="K886" s="5">
        <v>1.6267162634576671E-2</v>
      </c>
      <c r="L886" s="10">
        <v>84220.457699999999</v>
      </c>
    </row>
    <row r="887" spans="1:12" x14ac:dyDescent="0.25">
      <c r="A887">
        <v>886</v>
      </c>
      <c r="B887" s="3">
        <v>0.17500984813183734</v>
      </c>
      <c r="C887" s="3">
        <v>3.7070030703313335E-2</v>
      </c>
      <c r="D887" s="1">
        <v>509918.64407958707</v>
      </c>
      <c r="E887" s="1">
        <v>24972363</v>
      </c>
      <c r="F887" s="1">
        <v>67036472</v>
      </c>
      <c r="G887" s="16">
        <v>9102.3819367391261</v>
      </c>
      <c r="H887">
        <v>35.83</v>
      </c>
      <c r="I887" s="1">
        <v>147.72</v>
      </c>
      <c r="J887" s="16">
        <v>519021.02601632621</v>
      </c>
      <c r="K887" s="5">
        <v>-4.8972641247485058E-2</v>
      </c>
      <c r="L887" s="10">
        <v>-467431.30200000003</v>
      </c>
    </row>
    <row r="888" spans="1:12" x14ac:dyDescent="0.25">
      <c r="A888">
        <v>887</v>
      </c>
      <c r="B888" s="3">
        <v>0.14281267291093008</v>
      </c>
      <c r="C888" s="3">
        <v>6.653804510873329E-2</v>
      </c>
      <c r="D888" s="1">
        <v>344861.90506709437</v>
      </c>
      <c r="E888" s="1">
        <v>11954873</v>
      </c>
      <c r="F888" s="1">
        <v>34605313</v>
      </c>
      <c r="G888" s="16">
        <v>49713.595685291919</v>
      </c>
      <c r="H888">
        <v>219.83</v>
      </c>
      <c r="I888" s="1">
        <v>704.72</v>
      </c>
      <c r="J888" s="16">
        <v>394575.50075238629</v>
      </c>
      <c r="K888" s="5">
        <v>1.3335640469745697E-2</v>
      </c>
      <c r="L888" s="10">
        <v>39166.428999999996</v>
      </c>
    </row>
    <row r="889" spans="1:12" x14ac:dyDescent="0.25">
      <c r="A889">
        <v>888</v>
      </c>
      <c r="B889" s="3">
        <v>0.24468858492748979</v>
      </c>
      <c r="C889" s="3">
        <v>3.9117948134920644E-2</v>
      </c>
      <c r="D889" s="1">
        <v>64238.515222035327</v>
      </c>
      <c r="E889" s="1">
        <v>2790100</v>
      </c>
      <c r="F889" s="1">
        <v>17229369</v>
      </c>
      <c r="G889" s="16">
        <v>11517.281825517901</v>
      </c>
      <c r="H889">
        <v>93.31</v>
      </c>
      <c r="I889" s="1">
        <v>350.69</v>
      </c>
      <c r="J889" s="16">
        <v>75755.797047553235</v>
      </c>
      <c r="K889" s="5">
        <v>5.4011113421214105E-2</v>
      </c>
      <c r="L889" s="10">
        <v>97635.0049</v>
      </c>
    </row>
    <row r="890" spans="1:12" x14ac:dyDescent="0.25">
      <c r="A890">
        <v>889</v>
      </c>
      <c r="B890" s="3">
        <v>0.10683588803943966</v>
      </c>
      <c r="C890" s="3">
        <v>4.9932345418853857E-2</v>
      </c>
      <c r="D890" s="1">
        <v>263267.63949698111</v>
      </c>
      <c r="E890" s="1">
        <v>7742382</v>
      </c>
      <c r="F890" s="1">
        <v>24383756</v>
      </c>
      <c r="G890" s="16">
        <v>76802.505511342504</v>
      </c>
      <c r="H890">
        <v>285.60000000000002</v>
      </c>
      <c r="I890" s="1">
        <v>893.72</v>
      </c>
      <c r="J890" s="16">
        <v>340070.1450083236</v>
      </c>
      <c r="K890" s="5">
        <v>9.5065364856528001E-2</v>
      </c>
      <c r="L890" s="10">
        <v>454486.63819999999</v>
      </c>
    </row>
    <row r="891" spans="1:12" x14ac:dyDescent="0.25">
      <c r="A891">
        <v>890</v>
      </c>
      <c r="B891" s="3">
        <v>0.11688520257559711</v>
      </c>
      <c r="C891" s="3">
        <v>4.6911449049889448E-2</v>
      </c>
      <c r="D891" s="1">
        <v>85782.043343594982</v>
      </c>
      <c r="E891" s="1">
        <v>2331028</v>
      </c>
      <c r="F891" s="1">
        <v>17931151</v>
      </c>
      <c r="G891" s="16">
        <v>37180.442633717597</v>
      </c>
      <c r="H891">
        <v>117.89</v>
      </c>
      <c r="I891" s="1">
        <v>371.86</v>
      </c>
      <c r="J891" s="16">
        <v>122962.48597731258</v>
      </c>
      <c r="K891" s="5">
        <v>7.2779593052924557E-2</v>
      </c>
      <c r="L891" s="10">
        <v>161180.44649999999</v>
      </c>
    </row>
    <row r="892" spans="1:12" x14ac:dyDescent="0.25">
      <c r="A892">
        <v>891</v>
      </c>
      <c r="B892" s="3">
        <v>0.20926493860986667</v>
      </c>
      <c r="C892" s="3">
        <v>4.9686501399363633E-2</v>
      </c>
      <c r="D892" s="1">
        <v>26751.529058229287</v>
      </c>
      <c r="E892" s="1">
        <v>800738</v>
      </c>
      <c r="F892" s="1">
        <v>7493265</v>
      </c>
      <c r="G892" s="16">
        <v>14090.75194785257</v>
      </c>
      <c r="H892">
        <v>109.55</v>
      </c>
      <c r="I892" s="1">
        <v>400.24</v>
      </c>
      <c r="J892" s="16">
        <v>40842.281006081859</v>
      </c>
      <c r="K892" s="5">
        <v>1.3049944613034679E-3</v>
      </c>
      <c r="L892" s="10">
        <v>4730.6472999999996</v>
      </c>
    </row>
    <row r="893" spans="1:12" x14ac:dyDescent="0.25">
      <c r="A893">
        <v>892</v>
      </c>
      <c r="B893" s="3">
        <v>0.16839190204090443</v>
      </c>
      <c r="C893" s="3">
        <v>3.1536988127143506E-2</v>
      </c>
      <c r="D893" s="1">
        <v>101189.99518189806</v>
      </c>
      <c r="E893" s="1">
        <v>3959728</v>
      </c>
      <c r="F893" s="1">
        <v>25013956</v>
      </c>
      <c r="G893" s="16">
        <v>29122.64493184417</v>
      </c>
      <c r="H893">
        <v>159.38</v>
      </c>
      <c r="I893" s="1">
        <v>452.06</v>
      </c>
      <c r="J893" s="16">
        <v>130312.64011374224</v>
      </c>
      <c r="K893" s="5">
        <v>0.1478193332916575</v>
      </c>
      <c r="L893" s="10">
        <v>527312.995</v>
      </c>
    </row>
    <row r="894" spans="1:12" x14ac:dyDescent="0.25">
      <c r="A894">
        <v>893</v>
      </c>
      <c r="B894" s="3">
        <v>0.24961561509197308</v>
      </c>
      <c r="C894" s="3">
        <v>7.0531053406281241E-2</v>
      </c>
      <c r="D894" s="1">
        <v>44959.763314366704</v>
      </c>
      <c r="E894" s="1">
        <v>1494371</v>
      </c>
      <c r="F894" s="1">
        <v>10103334</v>
      </c>
      <c r="G894" s="16">
        <v>20179.848129543458</v>
      </c>
      <c r="H894">
        <v>226.41</v>
      </c>
      <c r="I894" s="1">
        <v>582.68999999999994</v>
      </c>
      <c r="J894" s="16">
        <v>65139.611443910166</v>
      </c>
      <c r="K894" s="5">
        <v>6.7909083167607229E-2</v>
      </c>
      <c r="L894" s="10">
        <v>52432.166299999997</v>
      </c>
    </row>
    <row r="895" spans="1:12" x14ac:dyDescent="0.25">
      <c r="A895">
        <v>894</v>
      </c>
      <c r="B895" s="3">
        <v>0.1633375363252241</v>
      </c>
      <c r="C895" s="3">
        <v>3.6382470478828741E-2</v>
      </c>
      <c r="D895" s="1">
        <v>106415.70186497888</v>
      </c>
      <c r="E895" s="1">
        <v>3400614</v>
      </c>
      <c r="F895" s="1">
        <v>17708697</v>
      </c>
      <c r="G895" s="16">
        <v>19423.668386563211</v>
      </c>
      <c r="H895">
        <v>85.17</v>
      </c>
      <c r="I895" s="1">
        <v>289.33999999999997</v>
      </c>
      <c r="J895" s="16">
        <v>125839.37025154209</v>
      </c>
      <c r="K895" s="5">
        <v>0.13272768262763218</v>
      </c>
      <c r="L895" s="10">
        <v>385143.9852</v>
      </c>
    </row>
    <row r="896" spans="1:12" x14ac:dyDescent="0.25">
      <c r="A896">
        <v>895</v>
      </c>
      <c r="B896" s="3">
        <v>0.1535855778485026</v>
      </c>
      <c r="C896" s="3">
        <v>6.3993044361205731E-2</v>
      </c>
      <c r="D896" s="1">
        <v>314475.29188004188</v>
      </c>
      <c r="E896" s="1">
        <v>13547985</v>
      </c>
      <c r="F896" s="1">
        <v>42960177</v>
      </c>
      <c r="G896" s="16">
        <v>33595.987454262962</v>
      </c>
      <c r="H896">
        <v>162.28</v>
      </c>
      <c r="I896" s="1">
        <v>473.11</v>
      </c>
      <c r="J896" s="16">
        <v>348071.27933430485</v>
      </c>
      <c r="K896" s="5">
        <v>0.10124874736699374</v>
      </c>
      <c r="L896" s="10">
        <v>393441.9681</v>
      </c>
    </row>
    <row r="897" spans="1:12" x14ac:dyDescent="0.25">
      <c r="A897">
        <v>896</v>
      </c>
      <c r="B897" s="3">
        <v>0.16928443558934891</v>
      </c>
      <c r="C897" s="3">
        <v>4.2484213666860671E-2</v>
      </c>
      <c r="D897" s="1">
        <v>65144.745599782051</v>
      </c>
      <c r="E897" s="1">
        <v>2126795</v>
      </c>
      <c r="F897" s="1">
        <v>13220547</v>
      </c>
      <c r="G897" s="16">
        <v>32782.44200631031</v>
      </c>
      <c r="H897">
        <v>180.58</v>
      </c>
      <c r="I897" s="1">
        <v>543.52</v>
      </c>
      <c r="J897" s="16">
        <v>97927.187606092368</v>
      </c>
      <c r="K897" s="5">
        <v>0.13376112677048593</v>
      </c>
      <c r="L897" s="10">
        <v>231464.31229999999</v>
      </c>
    </row>
    <row r="898" spans="1:12" x14ac:dyDescent="0.25">
      <c r="A898">
        <v>897</v>
      </c>
      <c r="B898" s="3">
        <v>0.10555073022934658</v>
      </c>
      <c r="C898" s="3">
        <v>6.9073889319595988E-2</v>
      </c>
      <c r="D898" s="1">
        <v>196164.22929904843</v>
      </c>
      <c r="E898" s="1">
        <v>5735877</v>
      </c>
      <c r="F898" s="1">
        <v>27293869</v>
      </c>
      <c r="G898" s="16">
        <v>22237.318605382075</v>
      </c>
      <c r="H898">
        <v>65.319999999999993</v>
      </c>
      <c r="I898" s="1">
        <v>274.78999999999996</v>
      </c>
      <c r="J898" s="16">
        <v>218401.54790443051</v>
      </c>
      <c r="K898" s="5">
        <v>0.22379190337919863</v>
      </c>
      <c r="L898" s="10">
        <v>501701.8382</v>
      </c>
    </row>
    <row r="899" spans="1:12" x14ac:dyDescent="0.25">
      <c r="A899">
        <v>898</v>
      </c>
      <c r="B899" s="3">
        <v>0.19774537378564389</v>
      </c>
      <c r="C899" s="3">
        <v>4.5764358421716445E-2</v>
      </c>
      <c r="D899" s="1">
        <v>82598.720042573521</v>
      </c>
      <c r="E899" s="1">
        <v>2993919</v>
      </c>
      <c r="F899" s="1">
        <v>17046148</v>
      </c>
      <c r="G899" s="16">
        <v>18247.362537791778</v>
      </c>
      <c r="H899">
        <v>103.12</v>
      </c>
      <c r="I899" s="1">
        <v>320.69</v>
      </c>
      <c r="J899" s="16">
        <v>100846.0825803653</v>
      </c>
      <c r="K899" s="5">
        <v>2.7243350276083201E-2</v>
      </c>
      <c r="L899" s="10">
        <v>59095.850899999998</v>
      </c>
    </row>
    <row r="900" spans="1:12" x14ac:dyDescent="0.25">
      <c r="A900">
        <v>899</v>
      </c>
      <c r="B900" s="3">
        <v>0.11346374820803105</v>
      </c>
      <c r="C900" s="3">
        <v>6.1642272982930499E-2</v>
      </c>
      <c r="D900" s="1">
        <v>150976.80198402476</v>
      </c>
      <c r="E900" s="1">
        <v>4574321</v>
      </c>
      <c r="F900" s="1">
        <v>24070813</v>
      </c>
      <c r="G900" s="16">
        <v>19591.05952897044</v>
      </c>
      <c r="H900">
        <v>60.84</v>
      </c>
      <c r="I900" s="1">
        <v>200</v>
      </c>
      <c r="J900" s="16">
        <v>170567.86151299521</v>
      </c>
      <c r="K900" s="5">
        <v>0.15161027737630423</v>
      </c>
      <c r="L900" s="10">
        <v>320624.40389999998</v>
      </c>
    </row>
    <row r="901" spans="1:12" x14ac:dyDescent="0.25">
      <c r="A901">
        <v>900</v>
      </c>
      <c r="B901" s="3">
        <v>0.10495215520546612</v>
      </c>
      <c r="C901" s="3">
        <v>7.7229333308198297E-2</v>
      </c>
      <c r="D901" s="1">
        <v>147718.1296098876</v>
      </c>
      <c r="E901" s="1">
        <v>4307760</v>
      </c>
      <c r="F901" s="1">
        <v>21928232</v>
      </c>
      <c r="G901" s="16">
        <v>28676.463938003675</v>
      </c>
      <c r="H901">
        <v>83.93</v>
      </c>
      <c r="I901" s="1">
        <v>306.14999999999998</v>
      </c>
      <c r="J901" s="16">
        <v>176394.59354789127</v>
      </c>
      <c r="K901" s="5">
        <v>3.696061175131226E-2</v>
      </c>
      <c r="L901" s="10">
        <v>77660.468699999998</v>
      </c>
    </row>
    <row r="902" spans="1:12" x14ac:dyDescent="0.25">
      <c r="A902">
        <v>901</v>
      </c>
      <c r="B902" s="3">
        <v>0.10756857067254355</v>
      </c>
      <c r="C902" s="3">
        <v>5.9117671960896692E-2</v>
      </c>
      <c r="D902" s="1">
        <v>276569.08142513782</v>
      </c>
      <c r="E902" s="1">
        <v>8160309</v>
      </c>
      <c r="F902" s="1">
        <v>30005180</v>
      </c>
      <c r="G902" s="16">
        <v>40547.783395937317</v>
      </c>
      <c r="H902">
        <v>135.26</v>
      </c>
      <c r="I902" s="1">
        <v>393.31</v>
      </c>
      <c r="J902" s="16">
        <v>317116.86482107511</v>
      </c>
      <c r="K902" s="5">
        <v>0.11088823133727138</v>
      </c>
      <c r="L902" s="10">
        <v>395554.73119999998</v>
      </c>
    </row>
    <row r="903" spans="1:12" x14ac:dyDescent="0.25">
      <c r="A903">
        <v>902</v>
      </c>
      <c r="B903" s="3">
        <v>0.19220438028616146</v>
      </c>
      <c r="C903" s="3">
        <v>6.7420479851812168E-2</v>
      </c>
      <c r="D903" s="1">
        <v>62189.393371016267</v>
      </c>
      <c r="E903" s="1">
        <v>2208082</v>
      </c>
      <c r="F903" s="1">
        <v>13504597</v>
      </c>
      <c r="G903" s="16">
        <v>18927.861136928943</v>
      </c>
      <c r="H903">
        <v>126.97</v>
      </c>
      <c r="I903" s="1">
        <v>479.31999999999994</v>
      </c>
      <c r="J903" s="16">
        <v>81117.25450794521</v>
      </c>
      <c r="K903" s="5">
        <v>0.25138761707056234</v>
      </c>
      <c r="L903" s="10">
        <v>215802.61679999999</v>
      </c>
    </row>
    <row r="904" spans="1:12" x14ac:dyDescent="0.25">
      <c r="A904">
        <v>903</v>
      </c>
      <c r="B904" s="3">
        <v>0.12159847853805968</v>
      </c>
      <c r="C904" s="3">
        <v>4.5459530366996521E-2</v>
      </c>
      <c r="D904" s="1">
        <v>122005.8387909149</v>
      </c>
      <c r="E904" s="1">
        <v>3835400</v>
      </c>
      <c r="F904" s="1">
        <v>23102116</v>
      </c>
      <c r="G904" s="16">
        <v>99065.702731820507</v>
      </c>
      <c r="H904">
        <v>419.85</v>
      </c>
      <c r="I904" s="1">
        <v>1049.0500000000002</v>
      </c>
      <c r="J904" s="16">
        <v>221071.54152273541</v>
      </c>
      <c r="K904" s="5">
        <v>3.1890188047367235E-3</v>
      </c>
      <c r="L904" s="10">
        <v>58132.078999999998</v>
      </c>
    </row>
    <row r="905" spans="1:12" x14ac:dyDescent="0.25">
      <c r="A905">
        <v>904</v>
      </c>
      <c r="B905" s="3">
        <v>0.18168619041620382</v>
      </c>
      <c r="C905" s="3">
        <v>2.777292070194335E-2</v>
      </c>
      <c r="D905" s="1">
        <v>178337.58566048654</v>
      </c>
      <c r="E905" s="1">
        <v>9095918</v>
      </c>
      <c r="F905" s="1">
        <v>44223089</v>
      </c>
      <c r="G905" s="16">
        <v>28223.606011205633</v>
      </c>
      <c r="H905">
        <v>172.8</v>
      </c>
      <c r="I905" s="1">
        <v>505.67</v>
      </c>
      <c r="J905" s="16">
        <v>206561.19167169218</v>
      </c>
      <c r="K905" s="5">
        <v>0.22165950249747232</v>
      </c>
      <c r="L905" s="10">
        <v>1395099.7308</v>
      </c>
    </row>
    <row r="906" spans="1:12" x14ac:dyDescent="0.25">
      <c r="A906">
        <v>905</v>
      </c>
      <c r="B906" s="3">
        <v>0.2447766652231893</v>
      </c>
      <c r="C906" s="3">
        <v>6.5010382123020682E-2</v>
      </c>
      <c r="D906" s="1">
        <v>62648.504408502238</v>
      </c>
      <c r="E906" s="1">
        <v>3604228</v>
      </c>
      <c r="F906" s="1">
        <v>31527612</v>
      </c>
      <c r="G906" s="16">
        <v>32938.025628409086</v>
      </c>
      <c r="H906">
        <v>467.82</v>
      </c>
      <c r="I906" s="1">
        <v>1088.2</v>
      </c>
      <c r="J906" s="16">
        <v>95586.530036911325</v>
      </c>
      <c r="K906" s="5">
        <v>0.29768647162262901</v>
      </c>
      <c r="L906" s="10">
        <v>382138.5796</v>
      </c>
    </row>
    <row r="907" spans="1:12" x14ac:dyDescent="0.25">
      <c r="A907">
        <v>906</v>
      </c>
      <c r="B907" s="3">
        <v>0.1805828409833295</v>
      </c>
      <c r="C907" s="3">
        <v>6.3982708598209287E-2</v>
      </c>
      <c r="D907" s="1">
        <v>88887.862802528442</v>
      </c>
      <c r="E907" s="1">
        <v>3023645</v>
      </c>
      <c r="F907" s="1">
        <v>15356972</v>
      </c>
      <c r="G907" s="16">
        <v>17683.899991733633</v>
      </c>
      <c r="H907">
        <v>88.11</v>
      </c>
      <c r="I907" s="1">
        <v>245.95</v>
      </c>
      <c r="J907" s="16">
        <v>106571.76279426207</v>
      </c>
      <c r="K907" s="5">
        <v>0.12330540262084683</v>
      </c>
      <c r="L907" s="10">
        <v>165084.40770000001</v>
      </c>
    </row>
    <row r="908" spans="1:12" x14ac:dyDescent="0.25">
      <c r="A908">
        <v>907</v>
      </c>
      <c r="B908" s="3">
        <v>0.24803064730833341</v>
      </c>
      <c r="C908" s="3">
        <v>5.8665022345107148E-2</v>
      </c>
      <c r="D908" s="1">
        <v>89416.929226896056</v>
      </c>
      <c r="E908" s="1">
        <v>3935694</v>
      </c>
      <c r="F908" s="1">
        <v>21190852</v>
      </c>
      <c r="G908" s="16">
        <v>16398.464970259825</v>
      </c>
      <c r="H908">
        <v>181.54</v>
      </c>
      <c r="I908" s="1">
        <v>682.09999999999991</v>
      </c>
      <c r="J908" s="16">
        <v>105815.39419715588</v>
      </c>
      <c r="K908" s="5">
        <v>0.24249517862246733</v>
      </c>
      <c r="L908" s="10">
        <v>329202.4241</v>
      </c>
    </row>
    <row r="909" spans="1:12" x14ac:dyDescent="0.25">
      <c r="A909">
        <v>908</v>
      </c>
      <c r="B909" s="3">
        <v>0.22077473228436931</v>
      </c>
      <c r="C909" s="3">
        <v>2.9789148736931319E-2</v>
      </c>
      <c r="D909" s="1">
        <v>121311.86178453769</v>
      </c>
      <c r="E909" s="1">
        <v>4798628</v>
      </c>
      <c r="F909" s="1">
        <v>18049728</v>
      </c>
      <c r="G909" s="16">
        <v>15188.894840022949</v>
      </c>
      <c r="H909">
        <v>131.11000000000001</v>
      </c>
      <c r="I909" s="1">
        <v>415.22</v>
      </c>
      <c r="J909" s="16">
        <v>136500.75662456063</v>
      </c>
      <c r="K909" s="5">
        <v>4.3351837051806646E-2</v>
      </c>
      <c r="L909" s="10">
        <v>176459.04089999999</v>
      </c>
    </row>
    <row r="910" spans="1:12" x14ac:dyDescent="0.25">
      <c r="A910">
        <v>909</v>
      </c>
      <c r="B910" s="3">
        <v>0.1582075240512264</v>
      </c>
      <c r="C910" s="3">
        <v>2.5011420081575374E-2</v>
      </c>
      <c r="D910" s="1">
        <v>72783.929137073195</v>
      </c>
      <c r="E910" s="1">
        <v>2283621</v>
      </c>
      <c r="F910" s="1">
        <v>10839632</v>
      </c>
      <c r="G910" s="16">
        <v>23459.582349355231</v>
      </c>
      <c r="H910">
        <v>117.74</v>
      </c>
      <c r="I910" s="1">
        <v>398.29</v>
      </c>
      <c r="J910" s="16">
        <v>96243.511486428426</v>
      </c>
      <c r="K910" s="5">
        <v>0.27091869713187811</v>
      </c>
      <c r="L910" s="10">
        <v>903761.38269999996</v>
      </c>
    </row>
    <row r="911" spans="1:12" x14ac:dyDescent="0.25">
      <c r="A911">
        <v>910</v>
      </c>
      <c r="B911" s="3">
        <v>0.14630667276744289</v>
      </c>
      <c r="C911" s="3">
        <v>7.981639118598112E-2</v>
      </c>
      <c r="D911" s="1">
        <v>109483.01674695731</v>
      </c>
      <c r="E911" s="1">
        <v>3293396</v>
      </c>
      <c r="F911" s="1">
        <v>20186303</v>
      </c>
      <c r="G911" s="16">
        <v>45501.977966539242</v>
      </c>
      <c r="H911">
        <v>207.31</v>
      </c>
      <c r="I911" s="1">
        <v>561.57999999999993</v>
      </c>
      <c r="J911" s="16">
        <v>154984.99471349653</v>
      </c>
      <c r="K911" s="5">
        <v>6.6577162466775863E-2</v>
      </c>
      <c r="L911" s="10">
        <v>101268.955</v>
      </c>
    </row>
    <row r="912" spans="1:12" x14ac:dyDescent="0.25">
      <c r="A912">
        <v>911</v>
      </c>
      <c r="B912" s="3">
        <v>0.15452653610527445</v>
      </c>
      <c r="C912" s="3">
        <v>2.1968235165169828E-2</v>
      </c>
      <c r="D912" s="1">
        <v>32413.541288281089</v>
      </c>
      <c r="E912" s="1">
        <v>1003758</v>
      </c>
      <c r="F912" s="1">
        <v>10943768</v>
      </c>
      <c r="G912" s="16">
        <v>49418.228532929177</v>
      </c>
      <c r="H912">
        <v>240.87</v>
      </c>
      <c r="I912" s="1">
        <v>617.68000000000006</v>
      </c>
      <c r="J912" s="16">
        <v>81831.76982121027</v>
      </c>
      <c r="K912" s="5">
        <v>0.16538654831749414</v>
      </c>
      <c r="L912" s="10">
        <v>561721.72499999998</v>
      </c>
    </row>
    <row r="913" spans="1:12" x14ac:dyDescent="0.25">
      <c r="A913">
        <v>912</v>
      </c>
      <c r="B913" s="3">
        <v>0.15040510138357457</v>
      </c>
      <c r="C913" s="3">
        <v>5.4995980461496244E-2</v>
      </c>
      <c r="D913" s="1">
        <v>226763.89332494457</v>
      </c>
      <c r="E913" s="1">
        <v>8145710</v>
      </c>
      <c r="F913" s="1">
        <v>31119190</v>
      </c>
      <c r="G913" s="16">
        <v>41185.406012481137</v>
      </c>
      <c r="H913">
        <v>194.08</v>
      </c>
      <c r="I913" s="1">
        <v>523.21</v>
      </c>
      <c r="J913" s="16">
        <v>267949.29933742573</v>
      </c>
      <c r="K913" s="5">
        <v>0.14001148385453557</v>
      </c>
      <c r="L913" s="10">
        <v>491342.37540000002</v>
      </c>
    </row>
    <row r="914" spans="1:12" x14ac:dyDescent="0.25">
      <c r="A914">
        <v>913</v>
      </c>
      <c r="B914" s="3">
        <v>0.20096404849194388</v>
      </c>
      <c r="C914" s="3">
        <v>4.577305273139344E-2</v>
      </c>
      <c r="D914" s="1">
        <v>92712.967098928028</v>
      </c>
      <c r="E914" s="1">
        <v>4256746</v>
      </c>
      <c r="F914" s="1">
        <v>24738580</v>
      </c>
      <c r="G914" s="16">
        <v>22110.516005047484</v>
      </c>
      <c r="H914">
        <v>127.73</v>
      </c>
      <c r="I914" s="1">
        <v>310.26</v>
      </c>
      <c r="J914" s="16">
        <v>114823.48310397551</v>
      </c>
      <c r="K914" s="5">
        <v>8.7278302151348436E-2</v>
      </c>
      <c r="L914" s="10">
        <v>181357.45449999999</v>
      </c>
    </row>
    <row r="915" spans="1:12" x14ac:dyDescent="0.25">
      <c r="A915">
        <v>914</v>
      </c>
      <c r="B915" s="3">
        <v>0.16309502984337515</v>
      </c>
      <c r="C915" s="3">
        <v>3.0334336606308708E-2</v>
      </c>
      <c r="D915" s="1">
        <v>215361.29705794534</v>
      </c>
      <c r="E915" s="1">
        <v>9817245</v>
      </c>
      <c r="F915" s="1">
        <v>46889020</v>
      </c>
      <c r="G915" s="16">
        <v>19670.194636048804</v>
      </c>
      <c r="H915">
        <v>86.12</v>
      </c>
      <c r="I915" s="1">
        <v>228.07000000000002</v>
      </c>
      <c r="J915" s="16">
        <v>235031.49169399415</v>
      </c>
      <c r="K915" s="5">
        <v>4.1925227540206458E-2</v>
      </c>
      <c r="L915" s="10">
        <v>328483.1421</v>
      </c>
    </row>
    <row r="916" spans="1:12" x14ac:dyDescent="0.25">
      <c r="A916">
        <v>915</v>
      </c>
      <c r="B916" s="3">
        <v>0.19891231411625726</v>
      </c>
      <c r="C916" s="3">
        <v>4.6870280989252541E-2</v>
      </c>
      <c r="D916" s="1">
        <v>140804.49523805486</v>
      </c>
      <c r="E916" s="1">
        <v>7987650</v>
      </c>
      <c r="F916" s="1">
        <v>43809145</v>
      </c>
      <c r="G916" s="16">
        <v>50045.676183157753</v>
      </c>
      <c r="H916">
        <v>444.15</v>
      </c>
      <c r="I916" s="1">
        <v>1183.7599999999998</v>
      </c>
      <c r="J916" s="16">
        <v>190850.17142121261</v>
      </c>
      <c r="K916" s="5">
        <v>6.9555949024656574E-2</v>
      </c>
      <c r="L916" s="10">
        <v>289013.79119999998</v>
      </c>
    </row>
    <row r="917" spans="1:12" x14ac:dyDescent="0.25">
      <c r="A917">
        <v>916</v>
      </c>
      <c r="B917" s="3">
        <v>0.19980113027140928</v>
      </c>
      <c r="C917" s="3">
        <v>7.6907877326775079E-2</v>
      </c>
      <c r="D917" s="1">
        <v>112252.69380595417</v>
      </c>
      <c r="E917" s="1">
        <v>4100211</v>
      </c>
      <c r="F917" s="1">
        <v>20655629</v>
      </c>
      <c r="G917" s="16">
        <v>17215.618330767877</v>
      </c>
      <c r="H917">
        <v>98.74</v>
      </c>
      <c r="I917" s="1">
        <v>315.42</v>
      </c>
      <c r="J917" s="16">
        <v>129468.31213672204</v>
      </c>
      <c r="K917" s="5">
        <v>7.3701736569974752E-2</v>
      </c>
      <c r="L917" s="10">
        <v>92185.589300000007</v>
      </c>
    </row>
    <row r="918" spans="1:12" x14ac:dyDescent="0.25">
      <c r="A918">
        <v>917</v>
      </c>
      <c r="B918" s="3">
        <v>0.19710744341544709</v>
      </c>
      <c r="C918" s="3">
        <v>7.8724365160756177E-2</v>
      </c>
      <c r="D918" s="1">
        <v>79014.545101427255</v>
      </c>
      <c r="E918" s="1">
        <v>2857177</v>
      </c>
      <c r="F918" s="1">
        <v>20879564</v>
      </c>
      <c r="G918" s="16">
        <v>40779.080015420906</v>
      </c>
      <c r="H918">
        <v>355.93</v>
      </c>
      <c r="I918" s="1">
        <v>820.01</v>
      </c>
      <c r="J918" s="16">
        <v>119793.62511684815</v>
      </c>
      <c r="K918" s="5">
        <v>-1.5900947545104099E-2</v>
      </c>
      <c r="L918" s="10">
        <v>9334.0655999999999</v>
      </c>
    </row>
    <row r="919" spans="1:12" x14ac:dyDescent="0.25">
      <c r="A919">
        <v>918</v>
      </c>
      <c r="B919" s="3">
        <v>0.18443325176233449</v>
      </c>
      <c r="C919" s="3">
        <v>4.5397941238719514E-2</v>
      </c>
      <c r="D919" s="1">
        <v>115436.8849338209</v>
      </c>
      <c r="E919" s="1">
        <v>3982624</v>
      </c>
      <c r="F919" s="1">
        <v>18043445</v>
      </c>
      <c r="G919" s="16">
        <v>28986.860743209592</v>
      </c>
      <c r="H919">
        <v>148.06</v>
      </c>
      <c r="I919" s="1">
        <v>352</v>
      </c>
      <c r="J919" s="16">
        <v>144423.7456770305</v>
      </c>
      <c r="K919" s="5">
        <v>0.11273406881008241</v>
      </c>
      <c r="L919" s="10">
        <v>267863.98790000001</v>
      </c>
    </row>
    <row r="920" spans="1:12" x14ac:dyDescent="0.25">
      <c r="A920">
        <v>919</v>
      </c>
      <c r="B920" s="3">
        <v>0.11805060921179544</v>
      </c>
      <c r="C920" s="3">
        <v>3.5891433447515254E-2</v>
      </c>
      <c r="D920" s="1">
        <v>211483.92543103429</v>
      </c>
      <c r="E920" s="1">
        <v>5769651</v>
      </c>
      <c r="F920" s="1">
        <v>18292684</v>
      </c>
      <c r="G920" s="16">
        <v>41951.292573277598</v>
      </c>
      <c r="H920">
        <v>152</v>
      </c>
      <c r="I920" s="1">
        <v>546.39</v>
      </c>
      <c r="J920" s="16">
        <v>253435.2180043119</v>
      </c>
      <c r="K920" s="5">
        <v>0.15132527056326928</v>
      </c>
      <c r="L920" s="10">
        <v>846869.11210000003</v>
      </c>
    </row>
    <row r="921" spans="1:12" x14ac:dyDescent="0.25">
      <c r="A921">
        <v>920</v>
      </c>
      <c r="B921" s="3">
        <v>0.17023522027940952</v>
      </c>
      <c r="C921" s="3">
        <v>6.6171965029327776E-2</v>
      </c>
      <c r="D921" s="1">
        <v>309060.33990822459</v>
      </c>
      <c r="E921" s="1">
        <v>12201866</v>
      </c>
      <c r="F921" s="1">
        <v>38418327</v>
      </c>
      <c r="G921" s="16">
        <v>16878.185978431608</v>
      </c>
      <c r="H921">
        <v>77.91</v>
      </c>
      <c r="I921" s="1">
        <v>252.19</v>
      </c>
      <c r="J921" s="16">
        <v>325938.52588665619</v>
      </c>
      <c r="K921" s="5">
        <v>0.14852574523890122</v>
      </c>
      <c r="L921" s="10">
        <v>459498.37929999997</v>
      </c>
    </row>
    <row r="922" spans="1:12" x14ac:dyDescent="0.25">
      <c r="A922">
        <v>921</v>
      </c>
      <c r="B922" s="3">
        <v>0.15028008055545777</v>
      </c>
      <c r="C922" s="3">
        <v>4.1500307001829911E-2</v>
      </c>
      <c r="D922" s="1">
        <v>121529.58960198009</v>
      </c>
      <c r="E922" s="1">
        <v>4362964</v>
      </c>
      <c r="F922" s="1">
        <v>24688830</v>
      </c>
      <c r="G922" s="16">
        <v>14279.704444912235</v>
      </c>
      <c r="H922">
        <v>57.04</v>
      </c>
      <c r="I922" s="1">
        <v>207.09</v>
      </c>
      <c r="J922" s="16">
        <v>135809.29404689232</v>
      </c>
      <c r="K922" s="5">
        <v>7.0914430343271412E-2</v>
      </c>
      <c r="L922" s="10">
        <v>187348.46530000001</v>
      </c>
    </row>
    <row r="923" spans="1:12" x14ac:dyDescent="0.25">
      <c r="A923">
        <v>922</v>
      </c>
      <c r="B923" s="3">
        <v>0.24918033774737874</v>
      </c>
      <c r="C923" s="3">
        <v>3.4830621589486271E-2</v>
      </c>
      <c r="D923" s="1">
        <v>70456.48507775589</v>
      </c>
      <c r="E923" s="1">
        <v>3115425</v>
      </c>
      <c r="F923" s="1">
        <v>13166593</v>
      </c>
      <c r="G923" s="16">
        <v>17263.611836691434</v>
      </c>
      <c r="H923">
        <v>256.95999999999998</v>
      </c>
      <c r="I923" s="1">
        <v>870.89999999999986</v>
      </c>
      <c r="J923" s="16">
        <v>87720.09691444732</v>
      </c>
      <c r="K923" s="5">
        <v>0.1003268095542576</v>
      </c>
      <c r="L923" s="10">
        <v>224898.2</v>
      </c>
    </row>
    <row r="924" spans="1:12" x14ac:dyDescent="0.25">
      <c r="A924">
        <v>923</v>
      </c>
      <c r="B924" s="3">
        <v>0.23789986983072162</v>
      </c>
      <c r="C924" s="3">
        <v>5.8481599098314963E-2</v>
      </c>
      <c r="D924" s="1">
        <v>106771.77798635967</v>
      </c>
      <c r="E924" s="1">
        <v>5923943</v>
      </c>
      <c r="F924" s="1">
        <v>23818364</v>
      </c>
      <c r="G924" s="16">
        <v>21097.009769677559</v>
      </c>
      <c r="H924">
        <v>212.66</v>
      </c>
      <c r="I924" s="1">
        <v>565.9</v>
      </c>
      <c r="J924" s="16">
        <v>127868.78775603723</v>
      </c>
      <c r="K924" s="5">
        <v>0.13655562177208141</v>
      </c>
      <c r="L924" s="10">
        <v>219638.095</v>
      </c>
    </row>
    <row r="925" spans="1:12" x14ac:dyDescent="0.25">
      <c r="A925">
        <v>924</v>
      </c>
      <c r="B925" s="3">
        <v>0.20413211769006062</v>
      </c>
      <c r="C925" s="3">
        <v>4.5781555496527945E-2</v>
      </c>
      <c r="D925" s="1">
        <v>190303.48906037139</v>
      </c>
      <c r="E925" s="1">
        <v>8877392</v>
      </c>
      <c r="F925" s="1">
        <v>34555237</v>
      </c>
      <c r="G925" s="16">
        <v>14024.786670140442</v>
      </c>
      <c r="H925">
        <v>83.04</v>
      </c>
      <c r="I925" s="1">
        <v>326.61</v>
      </c>
      <c r="J925" s="16">
        <v>204328.27573051181</v>
      </c>
      <c r="K925" s="5">
        <v>0.11802052210337768</v>
      </c>
      <c r="L925" s="10">
        <v>449883.98330000002</v>
      </c>
    </row>
    <row r="926" spans="1:12" x14ac:dyDescent="0.25">
      <c r="A926">
        <v>925</v>
      </c>
      <c r="B926" s="3">
        <v>0.19689579607927848</v>
      </c>
      <c r="C926" s="3">
        <v>5.7107171291504846E-2</v>
      </c>
      <c r="D926" s="1">
        <v>52618.658360712041</v>
      </c>
      <c r="E926" s="1">
        <v>1901196</v>
      </c>
      <c r="F926" s="1">
        <v>13638943</v>
      </c>
      <c r="G926" s="16">
        <v>17380.553041935385</v>
      </c>
      <c r="H926">
        <v>121.34</v>
      </c>
      <c r="I926" s="1">
        <v>388.71000000000004</v>
      </c>
      <c r="J926" s="16">
        <v>69999.21140264743</v>
      </c>
      <c r="K926" s="5">
        <v>8.3536941727341663E-2</v>
      </c>
      <c r="L926" s="10">
        <v>97843.369399999996</v>
      </c>
    </row>
    <row r="927" spans="1:12" x14ac:dyDescent="0.25">
      <c r="A927">
        <v>926</v>
      </c>
      <c r="B927" s="3">
        <v>0.219032957637529</v>
      </c>
      <c r="C927" s="3">
        <v>4.1443744508458696E-2</v>
      </c>
      <c r="D927" s="1">
        <v>73154.588584154975</v>
      </c>
      <c r="E927" s="1">
        <v>3680558</v>
      </c>
      <c r="F927" s="1">
        <v>23179428</v>
      </c>
      <c r="G927" s="16">
        <v>24705.739352503126</v>
      </c>
      <c r="H927">
        <v>209.65</v>
      </c>
      <c r="I927" s="1">
        <v>591.21</v>
      </c>
      <c r="J927" s="16">
        <v>97860.327936658097</v>
      </c>
      <c r="K927" s="5">
        <v>0.23306469843563196</v>
      </c>
      <c r="L927" s="10">
        <v>472465.92290000001</v>
      </c>
    </row>
    <row r="928" spans="1:12" x14ac:dyDescent="0.25">
      <c r="A928">
        <v>927</v>
      </c>
      <c r="B928" s="3">
        <v>0.10630911563326831</v>
      </c>
      <c r="C928" s="3">
        <v>7.8319633359560881E-2</v>
      </c>
      <c r="D928" s="1">
        <v>133750.61082079852</v>
      </c>
      <c r="E928" s="1">
        <v>3507006</v>
      </c>
      <c r="F928" s="1">
        <v>18241154</v>
      </c>
      <c r="G928" s="16">
        <v>32388.115418595222</v>
      </c>
      <c r="H928">
        <v>107.18</v>
      </c>
      <c r="I928" s="1">
        <v>446.05</v>
      </c>
      <c r="J928" s="16">
        <v>166138.72623939376</v>
      </c>
      <c r="K928" s="5">
        <v>0.2969443550487153</v>
      </c>
      <c r="L928" s="10">
        <v>417132.93109999999</v>
      </c>
    </row>
    <row r="929" spans="1:12" x14ac:dyDescent="0.25">
      <c r="A929">
        <v>928</v>
      </c>
      <c r="B929" s="3">
        <v>0.17917528025193952</v>
      </c>
      <c r="C929" s="3">
        <v>2.0574653862934639E-2</v>
      </c>
      <c r="D929" s="1">
        <v>179785.90530955823</v>
      </c>
      <c r="E929" s="1">
        <v>7412372</v>
      </c>
      <c r="F929" s="1">
        <v>25529620</v>
      </c>
      <c r="G929" s="16">
        <v>67377.009606451727</v>
      </c>
      <c r="H929">
        <v>599.25</v>
      </c>
      <c r="I929" s="1">
        <v>1733.32</v>
      </c>
      <c r="J929" s="16">
        <v>247162.91491600996</v>
      </c>
      <c r="K929" s="5">
        <v>0.10621474626318783</v>
      </c>
      <c r="L929" s="10">
        <v>1137451.6850999999</v>
      </c>
    </row>
    <row r="930" spans="1:12" x14ac:dyDescent="0.25">
      <c r="A930">
        <v>929</v>
      </c>
      <c r="B930" s="3">
        <v>0.22480246709968718</v>
      </c>
      <c r="C930" s="3">
        <v>6.8551046159124385E-2</v>
      </c>
      <c r="D930" s="1">
        <v>136770.80126218626</v>
      </c>
      <c r="E930" s="1">
        <v>7088375</v>
      </c>
      <c r="F930" s="1">
        <v>26512878</v>
      </c>
      <c r="G930" s="16">
        <v>8159.9980078322678</v>
      </c>
      <c r="H930">
        <v>56.6</v>
      </c>
      <c r="I930" s="1">
        <v>272.19</v>
      </c>
      <c r="J930" s="16">
        <v>144930.79927001853</v>
      </c>
      <c r="K930" s="5">
        <v>5.3665507303556528E-2</v>
      </c>
      <c r="L930" s="10">
        <v>85108.117199999993</v>
      </c>
    </row>
    <row r="931" spans="1:12" x14ac:dyDescent="0.25">
      <c r="A931">
        <v>930</v>
      </c>
      <c r="B931" s="3">
        <v>0.12814364310890536</v>
      </c>
      <c r="C931" s="3">
        <v>7.3515289345952334E-2</v>
      </c>
      <c r="D931" s="1">
        <v>196976.18227360246</v>
      </c>
      <c r="E931" s="1">
        <v>6380239</v>
      </c>
      <c r="F931" s="1">
        <v>24883864</v>
      </c>
      <c r="G931" s="16">
        <v>49572.136627323081</v>
      </c>
      <c r="H931">
        <v>194.38</v>
      </c>
      <c r="I931" s="1">
        <v>482.7</v>
      </c>
      <c r="J931" s="16">
        <v>246548.31890092554</v>
      </c>
      <c r="K931" s="5">
        <v>0.1317742035748129</v>
      </c>
      <c r="L931" s="10">
        <v>292772.44650000002</v>
      </c>
    </row>
    <row r="932" spans="1:12" x14ac:dyDescent="0.25">
      <c r="A932">
        <v>931</v>
      </c>
      <c r="B932" s="3">
        <v>0.23333595585229508</v>
      </c>
      <c r="C932" s="3">
        <v>7.5818542989343235E-2</v>
      </c>
      <c r="D932" s="1">
        <v>106219.85458364808</v>
      </c>
      <c r="E932" s="1">
        <v>4411571</v>
      </c>
      <c r="F932" s="1">
        <v>20518601</v>
      </c>
      <c r="G932" s="16">
        <v>11127.677949321194</v>
      </c>
      <c r="H932">
        <v>82.43</v>
      </c>
      <c r="I932" s="1">
        <v>299.07000000000005</v>
      </c>
      <c r="J932" s="16">
        <v>117347.53253296927</v>
      </c>
      <c r="K932" s="5">
        <v>6.5935705159224714E-2</v>
      </c>
      <c r="L932" s="10">
        <v>89241.877999999997</v>
      </c>
    </row>
    <row r="933" spans="1:12" x14ac:dyDescent="0.25">
      <c r="A933">
        <v>932</v>
      </c>
      <c r="B933" s="3">
        <v>0.15458528560146126</v>
      </c>
      <c r="C933" s="3">
        <v>4.6594532050192441E-2</v>
      </c>
      <c r="D933" s="1">
        <v>188101.94651929903</v>
      </c>
      <c r="E933" s="1">
        <v>6891553</v>
      </c>
      <c r="F933" s="1">
        <v>25764002</v>
      </c>
      <c r="G933" s="16">
        <v>27903.419679278315</v>
      </c>
      <c r="H933">
        <v>114.91</v>
      </c>
      <c r="I933" s="1">
        <v>334.18999999999994</v>
      </c>
      <c r="J933" s="16">
        <v>216005.36619857734</v>
      </c>
      <c r="K933" s="5">
        <v>4.4329396482900477E-2</v>
      </c>
      <c r="L933" s="10">
        <v>173126.1488</v>
      </c>
    </row>
    <row r="934" spans="1:12" x14ac:dyDescent="0.25">
      <c r="A934">
        <v>933</v>
      </c>
      <c r="B934" s="3">
        <v>0.21152643512197061</v>
      </c>
      <c r="C934" s="3">
        <v>5.5847167870399506E-2</v>
      </c>
      <c r="D934" s="1">
        <v>47992.515383759448</v>
      </c>
      <c r="E934" s="1">
        <v>1444782</v>
      </c>
      <c r="F934" s="1">
        <v>9628083</v>
      </c>
      <c r="G934" s="16">
        <v>17463.507151736711</v>
      </c>
      <c r="H934">
        <v>109.21</v>
      </c>
      <c r="I934" s="1">
        <v>328.37</v>
      </c>
      <c r="J934" s="16">
        <v>65456.022535496159</v>
      </c>
      <c r="K934" s="5">
        <v>0.11240158076733929</v>
      </c>
      <c r="L934" s="10">
        <v>104679.3282</v>
      </c>
    </row>
    <row r="935" spans="1:12" x14ac:dyDescent="0.25">
      <c r="A935">
        <v>934</v>
      </c>
      <c r="B935" s="3">
        <v>0.22131882481586368</v>
      </c>
      <c r="C935" s="3">
        <v>7.7713330532324529E-2</v>
      </c>
      <c r="D935" s="1">
        <v>68470.425357615008</v>
      </c>
      <c r="E935" s="1">
        <v>2714110</v>
      </c>
      <c r="F935" s="1">
        <v>13641067</v>
      </c>
      <c r="G935" s="16">
        <v>19607.920551227351</v>
      </c>
      <c r="H935">
        <v>132.47</v>
      </c>
      <c r="I935" s="1">
        <v>331.86</v>
      </c>
      <c r="J935" s="16">
        <v>88078.345908842355</v>
      </c>
      <c r="K935" s="5">
        <v>0.15762877683397977</v>
      </c>
      <c r="L935" s="10">
        <v>129136.319</v>
      </c>
    </row>
    <row r="936" spans="1:12" x14ac:dyDescent="0.25">
      <c r="A936">
        <v>935</v>
      </c>
      <c r="B936" s="3">
        <v>0.14967108157758779</v>
      </c>
      <c r="C936" s="3">
        <v>3.4585639583322919E-2</v>
      </c>
      <c r="D936" s="1">
        <v>129718.73238646502</v>
      </c>
      <c r="E936" s="1">
        <v>3948622</v>
      </c>
      <c r="F936" s="1">
        <v>19541941</v>
      </c>
      <c r="G936" s="16">
        <v>46106.13730872461</v>
      </c>
      <c r="H936">
        <v>215.96</v>
      </c>
      <c r="I936" s="1">
        <v>584.04</v>
      </c>
      <c r="J936" s="16">
        <v>175824.86969518964</v>
      </c>
      <c r="K936" s="5">
        <v>0.2861069293581528</v>
      </c>
      <c r="L936" s="10">
        <v>1208846.2145</v>
      </c>
    </row>
    <row r="937" spans="1:12" x14ac:dyDescent="0.25">
      <c r="A937">
        <v>936</v>
      </c>
      <c r="B937" s="3">
        <v>0.14738718981899845</v>
      </c>
      <c r="C937" s="3">
        <v>4.7450845876964798E-2</v>
      </c>
      <c r="D937" s="1">
        <v>112381.31893964871</v>
      </c>
      <c r="E937" s="1">
        <v>3980058</v>
      </c>
      <c r="F937" s="1">
        <v>24050315</v>
      </c>
      <c r="G937" s="16">
        <v>37310.974012735445</v>
      </c>
      <c r="H937">
        <v>171.23</v>
      </c>
      <c r="I937" s="1">
        <v>664.19999999999993</v>
      </c>
      <c r="J937" s="16">
        <v>149692.29295238416</v>
      </c>
      <c r="K937" s="5">
        <v>0.20236517682563582</v>
      </c>
      <c r="L937" s="10">
        <v>555849.63020000001</v>
      </c>
    </row>
    <row r="938" spans="1:12" x14ac:dyDescent="0.25">
      <c r="A938">
        <v>937</v>
      </c>
      <c r="B938" s="3">
        <v>0.21663790926107229</v>
      </c>
      <c r="C938" s="3">
        <v>3.5019158283468875E-2</v>
      </c>
      <c r="D938" s="1">
        <v>202505.04454718821</v>
      </c>
      <c r="E938" s="1">
        <v>12847713</v>
      </c>
      <c r="F938" s="1">
        <v>48231733</v>
      </c>
      <c r="G938" s="16">
        <v>38425.754097990502</v>
      </c>
      <c r="H938">
        <v>407.83</v>
      </c>
      <c r="I938" s="1">
        <v>1032.58</v>
      </c>
      <c r="J938" s="16">
        <v>240930.79864517873</v>
      </c>
      <c r="K938" s="5">
        <v>9.6035449109166657E-2</v>
      </c>
      <c r="L938" s="10">
        <v>525194.04079999996</v>
      </c>
    </row>
    <row r="939" spans="1:12" x14ac:dyDescent="0.25">
      <c r="A939">
        <v>938</v>
      </c>
      <c r="B939" s="3">
        <v>0.23841191465700551</v>
      </c>
      <c r="C939" s="3">
        <v>6.9859239434420017E-2</v>
      </c>
      <c r="D939" s="1">
        <v>95334.971912186287</v>
      </c>
      <c r="E939" s="1">
        <v>5303651</v>
      </c>
      <c r="F939" s="1">
        <v>26642620</v>
      </c>
      <c r="G939" s="16">
        <v>7094.1018882455746</v>
      </c>
      <c r="H939">
        <v>41.69</v>
      </c>
      <c r="I939" s="1">
        <v>125.12</v>
      </c>
      <c r="J939" s="16">
        <v>102429.07380043186</v>
      </c>
      <c r="K939" s="5">
        <v>0.24171748621419709</v>
      </c>
      <c r="L939" s="10">
        <v>260640.2512</v>
      </c>
    </row>
    <row r="940" spans="1:12" x14ac:dyDescent="0.25">
      <c r="A940">
        <v>939</v>
      </c>
      <c r="B940" s="3">
        <v>0.10056198710109743</v>
      </c>
      <c r="C940" s="3">
        <v>2.0307294609128945E-2</v>
      </c>
      <c r="D940" s="1">
        <v>110318.4665291534</v>
      </c>
      <c r="E940" s="1">
        <v>2837505</v>
      </c>
      <c r="F940" s="1">
        <v>14560722</v>
      </c>
      <c r="G940" s="16">
        <v>24789.025138219218</v>
      </c>
      <c r="H940">
        <v>70.47</v>
      </c>
      <c r="I940" s="1">
        <v>275.30999999999995</v>
      </c>
      <c r="J940" s="16">
        <v>135107.49166737261</v>
      </c>
      <c r="K940" s="5">
        <v>0.14617807278709588</v>
      </c>
      <c r="L940" s="10">
        <v>882698.53090000001</v>
      </c>
    </row>
    <row r="941" spans="1:12" x14ac:dyDescent="0.25">
      <c r="A941">
        <v>940</v>
      </c>
      <c r="B941" s="3">
        <v>0.16704697029823362</v>
      </c>
      <c r="C941" s="3">
        <v>4.4529987283035893E-2</v>
      </c>
      <c r="D941" s="1">
        <v>112989.66258221952</v>
      </c>
      <c r="E941" s="1">
        <v>3659155</v>
      </c>
      <c r="F941" s="1">
        <v>14638566</v>
      </c>
      <c r="G941" s="16">
        <v>23921.197089199777</v>
      </c>
      <c r="H941">
        <v>129.26</v>
      </c>
      <c r="I941" s="1">
        <v>525.80999999999995</v>
      </c>
      <c r="J941" s="16">
        <v>136910.85967141931</v>
      </c>
      <c r="K941" s="5">
        <v>8.1487915579348646E-2</v>
      </c>
      <c r="L941" s="10">
        <v>197531.8707</v>
      </c>
    </row>
    <row r="942" spans="1:12" x14ac:dyDescent="0.25">
      <c r="A942">
        <v>941</v>
      </c>
      <c r="B942" s="3">
        <v>0.14855005039179034</v>
      </c>
      <c r="C942" s="3">
        <v>6.1589911060182398E-2</v>
      </c>
      <c r="D942" s="1">
        <v>152662.87749972093</v>
      </c>
      <c r="E942" s="1">
        <v>5436252</v>
      </c>
      <c r="F942" s="1">
        <v>24713159</v>
      </c>
      <c r="G942" s="16">
        <v>27607.974154820782</v>
      </c>
      <c r="H942">
        <v>109.07</v>
      </c>
      <c r="I942" s="1">
        <v>308.53999999999996</v>
      </c>
      <c r="J942" s="16">
        <v>180270.85165454171</v>
      </c>
      <c r="K942" s="5">
        <v>0.11148292654001964</v>
      </c>
      <c r="L942" s="10">
        <v>239144.2231</v>
      </c>
    </row>
    <row r="943" spans="1:12" x14ac:dyDescent="0.25">
      <c r="A943">
        <v>942</v>
      </c>
      <c r="B943" s="3">
        <v>0.13947011805701534</v>
      </c>
      <c r="C943" s="3">
        <v>6.9549420135861337E-2</v>
      </c>
      <c r="D943" s="1">
        <v>351151.14469076158</v>
      </c>
      <c r="E943" s="1">
        <v>11984881</v>
      </c>
      <c r="F943" s="1">
        <v>37388675</v>
      </c>
      <c r="G943" s="16">
        <v>64263.013621196093</v>
      </c>
      <c r="H943">
        <v>321.39</v>
      </c>
      <c r="I943" s="1">
        <v>816.1</v>
      </c>
      <c r="J943" s="16">
        <v>415414.15831195767</v>
      </c>
      <c r="K943" s="5">
        <v>-9.671487560068863E-2</v>
      </c>
      <c r="L943" s="10">
        <v>-349830.5626</v>
      </c>
    </row>
    <row r="944" spans="1:12" x14ac:dyDescent="0.25">
      <c r="A944">
        <v>943</v>
      </c>
      <c r="B944" s="3">
        <v>0.17495273261474892</v>
      </c>
      <c r="C944" s="3">
        <v>5.2760744848950353E-2</v>
      </c>
      <c r="D944" s="1">
        <v>163147.76150640094</v>
      </c>
      <c r="E944" s="1">
        <v>6589740</v>
      </c>
      <c r="F944" s="1">
        <v>31799898</v>
      </c>
      <c r="G944" s="16">
        <v>8717.9478900784106</v>
      </c>
      <c r="H944">
        <v>41.56</v>
      </c>
      <c r="I944" s="1">
        <v>211.64</v>
      </c>
      <c r="J944" s="16">
        <v>171865.70939647936</v>
      </c>
      <c r="K944" s="5">
        <v>-3.8336391072026202E-2</v>
      </c>
      <c r="L944" s="10">
        <v>-67255.385999999999</v>
      </c>
    </row>
    <row r="945" spans="1:12" x14ac:dyDescent="0.25">
      <c r="A945">
        <v>944</v>
      </c>
      <c r="B945" s="3">
        <v>0.23859996761539085</v>
      </c>
      <c r="C945" s="3">
        <v>6.4326154802754998E-2</v>
      </c>
      <c r="D945" s="1">
        <v>47917.568042834522</v>
      </c>
      <c r="E945" s="1">
        <v>2031694</v>
      </c>
      <c r="F945" s="1">
        <v>12170884</v>
      </c>
      <c r="G945" s="16">
        <v>14106.700342948365</v>
      </c>
      <c r="H945">
        <v>143.05000000000001</v>
      </c>
      <c r="I945" s="1">
        <v>396.73</v>
      </c>
      <c r="J945" s="16">
        <v>62024.268385782889</v>
      </c>
      <c r="K945" s="5">
        <v>5.7895486890738868E-2</v>
      </c>
      <c r="L945" s="10">
        <v>58264.906999999999</v>
      </c>
    </row>
    <row r="946" spans="1:12" x14ac:dyDescent="0.25">
      <c r="A946">
        <v>945</v>
      </c>
      <c r="B946" s="3">
        <v>0.19495979814356118</v>
      </c>
      <c r="C946" s="3">
        <v>2.9225503090256399E-2</v>
      </c>
      <c r="D946" s="1">
        <v>145939.99286041065</v>
      </c>
      <c r="E946" s="1">
        <v>5235082</v>
      </c>
      <c r="F946" s="1">
        <v>17294330</v>
      </c>
      <c r="G946" s="16">
        <v>17721.036924134693</v>
      </c>
      <c r="H946">
        <v>121.64</v>
      </c>
      <c r="I946" s="1">
        <v>411.07</v>
      </c>
      <c r="J946" s="16">
        <v>163661.02978454536</v>
      </c>
      <c r="K946" s="5">
        <v>8.961342553513206E-2</v>
      </c>
      <c r="L946" s="10">
        <v>422963.83679999999</v>
      </c>
    </row>
    <row r="947" spans="1:12" x14ac:dyDescent="0.25">
      <c r="A947">
        <v>946</v>
      </c>
      <c r="B947" s="3">
        <v>0.19401765729917259</v>
      </c>
      <c r="C947" s="3">
        <v>3.5868538493113299E-2</v>
      </c>
      <c r="D947" s="1">
        <v>47231.675725592424</v>
      </c>
      <c r="E947" s="1">
        <v>1360768</v>
      </c>
      <c r="F947" s="1">
        <v>8262532</v>
      </c>
      <c r="G947" s="16">
        <v>24311.477526614901</v>
      </c>
      <c r="H947">
        <v>165.44</v>
      </c>
      <c r="I947" s="1">
        <v>503.49</v>
      </c>
      <c r="J947" s="16">
        <v>71543.153252207325</v>
      </c>
      <c r="K947" s="5">
        <v>0.24489560670244059</v>
      </c>
      <c r="L947" s="10">
        <v>395962.49099999998</v>
      </c>
    </row>
    <row r="948" spans="1:12" x14ac:dyDescent="0.25">
      <c r="A948">
        <v>947</v>
      </c>
      <c r="B948" s="3">
        <v>0.10625960893553577</v>
      </c>
      <c r="C948" s="3">
        <v>2.3714621271640583E-2</v>
      </c>
      <c r="D948" s="1">
        <v>173804.12752408659</v>
      </c>
      <c r="E948" s="1">
        <v>5098206</v>
      </c>
      <c r="F948" s="1">
        <v>28138807</v>
      </c>
      <c r="G948" s="16">
        <v>45099.266656374144</v>
      </c>
      <c r="H948">
        <v>148.84</v>
      </c>
      <c r="I948" s="1">
        <v>432</v>
      </c>
      <c r="J948" s="16">
        <v>218903.39418046075</v>
      </c>
      <c r="K948" s="5">
        <v>0.17693573576840935</v>
      </c>
      <c r="L948" s="10">
        <v>1446086.5131999999</v>
      </c>
    </row>
    <row r="949" spans="1:12" x14ac:dyDescent="0.25">
      <c r="A949">
        <v>948</v>
      </c>
      <c r="B949" s="3">
        <v>0.17934212389247783</v>
      </c>
      <c r="C949" s="3">
        <v>5.5495780252002372E-2</v>
      </c>
      <c r="D949" s="1">
        <v>161597.96680016813</v>
      </c>
      <c r="E949" s="1">
        <v>6667914</v>
      </c>
      <c r="F949" s="1">
        <v>24102427</v>
      </c>
      <c r="G949" s="16">
        <v>19572.736069688352</v>
      </c>
      <c r="H949">
        <v>117.4</v>
      </c>
      <c r="I949" s="1">
        <v>435.06000000000006</v>
      </c>
      <c r="J949" s="16">
        <v>181170.70286985647</v>
      </c>
      <c r="K949" s="5">
        <v>0.21428855673308295</v>
      </c>
      <c r="L949" s="10">
        <v>486319.19939999998</v>
      </c>
    </row>
    <row r="950" spans="1:12" x14ac:dyDescent="0.25">
      <c r="A950">
        <v>949</v>
      </c>
      <c r="B950" s="3">
        <v>0.20557688867536467</v>
      </c>
      <c r="C950" s="3">
        <v>5.1759423226505508E-2</v>
      </c>
      <c r="D950" s="1">
        <v>128657.91193078802</v>
      </c>
      <c r="E950" s="1">
        <v>6045497</v>
      </c>
      <c r="F950" s="1">
        <v>36350487</v>
      </c>
      <c r="G950" s="16">
        <v>14067.125741167178</v>
      </c>
      <c r="H950">
        <v>84.27</v>
      </c>
      <c r="I950" s="1">
        <v>357.46999999999997</v>
      </c>
      <c r="J950" s="16">
        <v>142725.03767195519</v>
      </c>
      <c r="K950" s="5">
        <v>-1.1997939031254571E-2</v>
      </c>
      <c r="L950" s="10">
        <v>-8267.2602999999999</v>
      </c>
    </row>
    <row r="951" spans="1:12" x14ac:dyDescent="0.25">
      <c r="A951">
        <v>950</v>
      </c>
      <c r="B951" s="3">
        <v>0.15175966451269715</v>
      </c>
      <c r="C951" s="3">
        <v>5.8836119243090929E-2</v>
      </c>
      <c r="D951" s="1">
        <v>155763.83307647164</v>
      </c>
      <c r="E951" s="1">
        <v>5631109</v>
      </c>
      <c r="F951" s="1">
        <v>24980251</v>
      </c>
      <c r="G951" s="16">
        <v>20904.972762916346</v>
      </c>
      <c r="H951">
        <v>84.52</v>
      </c>
      <c r="I951" s="1">
        <v>271.26</v>
      </c>
      <c r="J951" s="16">
        <v>176668.80583938799</v>
      </c>
      <c r="K951" s="5">
        <v>8.0014032628460019E-2</v>
      </c>
      <c r="L951" s="10">
        <v>196109.27170000001</v>
      </c>
    </row>
    <row r="952" spans="1:12" x14ac:dyDescent="0.25">
      <c r="A952">
        <v>951</v>
      </c>
      <c r="B952" s="3">
        <v>0.21490894348522982</v>
      </c>
      <c r="C952" s="3">
        <v>3.3465023098965395E-2</v>
      </c>
      <c r="D952" s="1">
        <v>116285.85412321461</v>
      </c>
      <c r="E952" s="1">
        <v>5728611</v>
      </c>
      <c r="F952" s="1">
        <v>26569810</v>
      </c>
      <c r="G952" s="16">
        <v>16078.080140676029</v>
      </c>
      <c r="H952">
        <v>131.56</v>
      </c>
      <c r="I952" s="1">
        <v>520.65</v>
      </c>
      <c r="J952" s="16">
        <v>132363.93426389064</v>
      </c>
      <c r="K952" s="5">
        <v>0.18364113411500121</v>
      </c>
      <c r="L952" s="10">
        <v>602497.40049999999</v>
      </c>
    </row>
    <row r="953" spans="1:12" x14ac:dyDescent="0.25">
      <c r="A953">
        <v>952</v>
      </c>
      <c r="B953" s="3">
        <v>0.19443549076296895</v>
      </c>
      <c r="C953" s="3">
        <v>5.4206698802657105E-2</v>
      </c>
      <c r="D953" s="1">
        <v>153982.20177596129</v>
      </c>
      <c r="E953" s="1">
        <v>5512799</v>
      </c>
      <c r="F953" s="1">
        <v>19782617</v>
      </c>
      <c r="G953" s="16">
        <v>22698.468230332703</v>
      </c>
      <c r="H953">
        <v>155.24</v>
      </c>
      <c r="I953" s="1">
        <v>432.65999999999997</v>
      </c>
      <c r="J953" s="16">
        <v>176680.67000629401</v>
      </c>
      <c r="K953" s="5">
        <v>0.31389155637082639</v>
      </c>
      <c r="L953" s="10">
        <v>711307.60049999994</v>
      </c>
    </row>
    <row r="954" spans="1:12" x14ac:dyDescent="0.25">
      <c r="A954">
        <v>953</v>
      </c>
      <c r="B954" s="3">
        <v>0.12996533562233065</v>
      </c>
      <c r="C954" s="3">
        <v>2.3995879828468767E-2</v>
      </c>
      <c r="D954" s="1">
        <v>311157.50764045509</v>
      </c>
      <c r="E954" s="1">
        <v>10163350</v>
      </c>
      <c r="F954" s="1">
        <v>38418472</v>
      </c>
      <c r="G954" s="16">
        <v>71278.93831353412</v>
      </c>
      <c r="H954">
        <v>326.85000000000002</v>
      </c>
      <c r="I954" s="1">
        <v>929.61</v>
      </c>
      <c r="J954" s="16">
        <v>382436.44595398923</v>
      </c>
      <c r="K954" s="5">
        <v>0.11682507074246101</v>
      </c>
      <c r="L954" s="10">
        <v>1630224.3354</v>
      </c>
    </row>
    <row r="955" spans="1:12" x14ac:dyDescent="0.25">
      <c r="A955">
        <v>954</v>
      </c>
      <c r="B955" s="3">
        <v>0.10824413683777422</v>
      </c>
      <c r="C955" s="3">
        <v>3.612718667486485E-2</v>
      </c>
      <c r="D955" s="1">
        <v>390254.20136665192</v>
      </c>
      <c r="E955" s="1">
        <v>11549604</v>
      </c>
      <c r="F955" s="1">
        <v>35048993</v>
      </c>
      <c r="G955" s="16">
        <v>54159.134066541992</v>
      </c>
      <c r="H955">
        <v>181.63</v>
      </c>
      <c r="I955" s="1">
        <v>587.23</v>
      </c>
      <c r="J955" s="16">
        <v>444413.33543319389</v>
      </c>
      <c r="K955" s="5">
        <v>3.1541020704601047E-2</v>
      </c>
      <c r="L955" s="10">
        <v>282409.75670000003</v>
      </c>
    </row>
    <row r="956" spans="1:12" x14ac:dyDescent="0.25">
      <c r="A956">
        <v>955</v>
      </c>
      <c r="B956" s="3">
        <v>0.15201822912891227</v>
      </c>
      <c r="C956" s="3">
        <v>6.1022972407917389E-2</v>
      </c>
      <c r="D956" s="1">
        <v>220726.05755334042</v>
      </c>
      <c r="E956" s="1">
        <v>7989336</v>
      </c>
      <c r="F956" s="1">
        <v>30931026</v>
      </c>
      <c r="G956" s="16">
        <v>49189.168315312148</v>
      </c>
      <c r="H956">
        <v>234.52</v>
      </c>
      <c r="I956" s="1">
        <v>712.37</v>
      </c>
      <c r="J956" s="16">
        <v>269915.22586865257</v>
      </c>
      <c r="K956" s="5">
        <v>0.28283611222183513</v>
      </c>
      <c r="L956" s="10">
        <v>845203.27480000001</v>
      </c>
    </row>
    <row r="957" spans="1:12" x14ac:dyDescent="0.25">
      <c r="A957">
        <v>956</v>
      </c>
      <c r="B957" s="3">
        <v>0.15245061321894071</v>
      </c>
      <c r="C957" s="3">
        <v>4.7430539499004214E-2</v>
      </c>
      <c r="D957" s="1">
        <v>300160.76622881467</v>
      </c>
      <c r="E957" s="1">
        <v>10886719</v>
      </c>
      <c r="F957" s="1">
        <v>37778404</v>
      </c>
      <c r="G957" s="16">
        <v>27990.005527210684</v>
      </c>
      <c r="H957">
        <v>134.21</v>
      </c>
      <c r="I957" s="1">
        <v>443.62</v>
      </c>
      <c r="J957" s="16">
        <v>328150.77175602538</v>
      </c>
      <c r="K957" s="5">
        <v>0.16339981950542873</v>
      </c>
      <c r="L957" s="10">
        <v>849535.13989999995</v>
      </c>
    </row>
    <row r="958" spans="1:12" x14ac:dyDescent="0.25">
      <c r="A958">
        <v>957</v>
      </c>
      <c r="B958" s="3">
        <v>0.23570258300663419</v>
      </c>
      <c r="C958" s="3">
        <v>3.1247496832774821E-2</v>
      </c>
      <c r="D958" s="1">
        <v>61112.12319883184</v>
      </c>
      <c r="E958" s="1">
        <v>2561786</v>
      </c>
      <c r="F958" s="1">
        <v>13540467</v>
      </c>
      <c r="G958" s="16">
        <v>12808.124020828334</v>
      </c>
      <c r="H958">
        <v>126.42</v>
      </c>
      <c r="I958" s="1">
        <v>447.83</v>
      </c>
      <c r="J958" s="16">
        <v>73920.247219660174</v>
      </c>
      <c r="K958" s="5">
        <v>0.13197928099481987</v>
      </c>
      <c r="L958" s="10">
        <v>290702.64230000001</v>
      </c>
    </row>
    <row r="959" spans="1:12" x14ac:dyDescent="0.25">
      <c r="A959">
        <v>958</v>
      </c>
      <c r="B959" s="3">
        <v>0.22938716422440547</v>
      </c>
      <c r="C959" s="3">
        <v>7.2071976884448538E-2</v>
      </c>
      <c r="D959" s="1">
        <v>101139.66854907959</v>
      </c>
      <c r="E959" s="1">
        <v>4136338</v>
      </c>
      <c r="F959" s="1">
        <v>21085691</v>
      </c>
      <c r="G959" s="16">
        <v>40097.673933618797</v>
      </c>
      <c r="H959">
        <v>485.41</v>
      </c>
      <c r="I959" s="1">
        <v>1153.99</v>
      </c>
      <c r="J959" s="16">
        <v>141237.34248269838</v>
      </c>
      <c r="K959" s="5">
        <v>2.9685684561087652E-2</v>
      </c>
      <c r="L959" s="10">
        <v>50670.509299999998</v>
      </c>
    </row>
    <row r="960" spans="1:12" x14ac:dyDescent="0.25">
      <c r="A960">
        <v>959</v>
      </c>
      <c r="B960" s="3">
        <v>0.20493975306397216</v>
      </c>
      <c r="C960" s="3">
        <v>5.1250385651681024E-2</v>
      </c>
      <c r="D960" s="1">
        <v>260426.38070475281</v>
      </c>
      <c r="E960" s="1">
        <v>15342208</v>
      </c>
      <c r="F960" s="1">
        <v>44602307</v>
      </c>
      <c r="G960" s="16">
        <v>24913.996126495673</v>
      </c>
      <c r="H960">
        <v>234.66</v>
      </c>
      <c r="I960" s="1">
        <v>948.3</v>
      </c>
      <c r="J960" s="16">
        <v>285340.37683124846</v>
      </c>
      <c r="K960" s="5">
        <v>0.18044278690832863</v>
      </c>
      <c r="L960" s="10">
        <v>750096.39379999996</v>
      </c>
    </row>
    <row r="961" spans="1:12" x14ac:dyDescent="0.25">
      <c r="A961">
        <v>960</v>
      </c>
      <c r="B961" s="3">
        <v>0.17621011259602917</v>
      </c>
      <c r="C961" s="3">
        <v>7.7191471849998569E-2</v>
      </c>
      <c r="D961" s="1">
        <v>65124.71060904544</v>
      </c>
      <c r="E961" s="1">
        <v>2180216</v>
      </c>
      <c r="F961" s="1">
        <v>16053622</v>
      </c>
      <c r="G961" s="16">
        <v>28897.803173488606</v>
      </c>
      <c r="H961">
        <v>168.98</v>
      </c>
      <c r="I961" s="1">
        <v>389.90999999999997</v>
      </c>
      <c r="J961" s="16">
        <v>94022.51378253405</v>
      </c>
      <c r="K961" s="5">
        <v>0.16069206802857064</v>
      </c>
      <c r="L961" s="10">
        <v>148318.06940000001</v>
      </c>
    </row>
    <row r="962" spans="1:12" x14ac:dyDescent="0.25">
      <c r="A962">
        <v>961</v>
      </c>
      <c r="B962" s="3">
        <v>0.13030424170635752</v>
      </c>
      <c r="C962" s="3">
        <v>6.1181934081079886E-2</v>
      </c>
      <c r="D962" s="1">
        <v>241725.36826041437</v>
      </c>
      <c r="E962" s="1">
        <v>7907798</v>
      </c>
      <c r="F962" s="1">
        <v>33796876</v>
      </c>
      <c r="G962" s="16">
        <v>38262.099405241992</v>
      </c>
      <c r="H962">
        <v>153.08000000000001</v>
      </c>
      <c r="I962" s="1">
        <v>528.99</v>
      </c>
      <c r="J962" s="16">
        <v>279987.46766565635</v>
      </c>
      <c r="K962" s="5">
        <v>-6.8857637422207463E-2</v>
      </c>
      <c r="L962" s="10">
        <v>-179845.3156</v>
      </c>
    </row>
    <row r="963" spans="1:12" x14ac:dyDescent="0.25">
      <c r="A963">
        <v>962</v>
      </c>
      <c r="B963" s="3">
        <v>0.24945767187960818</v>
      </c>
      <c r="C963" s="3">
        <v>6.4433768154462945E-2</v>
      </c>
      <c r="D963" s="1">
        <v>90153.821717618994</v>
      </c>
      <c r="E963" s="1">
        <v>3990815</v>
      </c>
      <c r="F963" s="1">
        <v>20014117</v>
      </c>
      <c r="G963" s="16">
        <v>14396.787593912219</v>
      </c>
      <c r="H963">
        <v>161.46</v>
      </c>
      <c r="I963" s="1">
        <v>453.74</v>
      </c>
      <c r="J963" s="16">
        <v>104550.60931153121</v>
      </c>
      <c r="K963" s="5">
        <v>0.11457020961659573</v>
      </c>
      <c r="L963" s="10">
        <v>136274.92370000001</v>
      </c>
    </row>
    <row r="964" spans="1:12" x14ac:dyDescent="0.25">
      <c r="A964">
        <v>963</v>
      </c>
      <c r="B964" s="3">
        <v>0.23791450009123383</v>
      </c>
      <c r="C964" s="3">
        <v>6.6641250852315162E-2</v>
      </c>
      <c r="D964" s="1">
        <v>92879.282889692287</v>
      </c>
      <c r="E964" s="1">
        <v>3927447</v>
      </c>
      <c r="F964" s="1">
        <v>15549919</v>
      </c>
      <c r="G964" s="16">
        <v>24350.985195096211</v>
      </c>
      <c r="H964">
        <v>321.73</v>
      </c>
      <c r="I964" s="1">
        <v>985.49</v>
      </c>
      <c r="J964" s="16">
        <v>117230.26808478849</v>
      </c>
      <c r="K964" s="5">
        <v>0.22781525292220245</v>
      </c>
      <c r="L964" s="10">
        <v>263754.49829999998</v>
      </c>
    </row>
    <row r="965" spans="1:12" x14ac:dyDescent="0.25">
      <c r="A965">
        <v>964</v>
      </c>
      <c r="B965" s="3">
        <v>0.11068375087985093</v>
      </c>
      <c r="C965" s="3">
        <v>6.7095063969468599E-2</v>
      </c>
      <c r="D965" s="1">
        <v>168267.42023204936</v>
      </c>
      <c r="E965" s="1">
        <v>4477492</v>
      </c>
      <c r="F965" s="1">
        <v>19216414</v>
      </c>
      <c r="G965" s="16">
        <v>25467.50785057099</v>
      </c>
      <c r="H965">
        <v>77.430000000000007</v>
      </c>
      <c r="I965" s="1">
        <v>260.01</v>
      </c>
      <c r="J965" s="16">
        <v>193734.92808262035</v>
      </c>
      <c r="K965" s="5">
        <v>0.10146895982971552</v>
      </c>
      <c r="L965" s="10">
        <v>220424.51749999999</v>
      </c>
    </row>
    <row r="966" spans="1:12" x14ac:dyDescent="0.25">
      <c r="A966">
        <v>965</v>
      </c>
      <c r="B966" s="3">
        <v>0.23901796004175807</v>
      </c>
      <c r="C966" s="3">
        <v>6.4016367848936079E-2</v>
      </c>
      <c r="D966" s="1">
        <v>132558.93437511215</v>
      </c>
      <c r="E966" s="1">
        <v>7398001</v>
      </c>
      <c r="F966" s="1">
        <v>26699105</v>
      </c>
      <c r="G966" s="16">
        <v>15553.088831627943</v>
      </c>
      <c r="H966">
        <v>120.47</v>
      </c>
      <c r="I966" s="1">
        <v>331.47</v>
      </c>
      <c r="J966" s="16">
        <v>148112.02320674009</v>
      </c>
      <c r="K966" s="5">
        <v>4.7374454526188159E-2</v>
      </c>
      <c r="L966" s="10">
        <v>83082.256500000003</v>
      </c>
    </row>
    <row r="967" spans="1:12" x14ac:dyDescent="0.25">
      <c r="A967">
        <v>966</v>
      </c>
      <c r="B967" s="3">
        <v>0.20368013582765149</v>
      </c>
      <c r="C967" s="3">
        <v>3.703409438300044E-2</v>
      </c>
      <c r="D967" s="1">
        <v>253738.80856362067</v>
      </c>
      <c r="E967" s="1">
        <v>11809719</v>
      </c>
      <c r="F967" s="1">
        <v>40005605</v>
      </c>
      <c r="G967" s="16">
        <v>10530.940338049284</v>
      </c>
      <c r="H967">
        <v>49.52</v>
      </c>
      <c r="I967" s="1">
        <v>166.66</v>
      </c>
      <c r="J967" s="16">
        <v>264269.74890166993</v>
      </c>
      <c r="K967" s="5">
        <v>0.30603328891991533</v>
      </c>
      <c r="L967" s="10">
        <v>1705921.6878</v>
      </c>
    </row>
    <row r="968" spans="1:12" x14ac:dyDescent="0.25">
      <c r="A968">
        <v>967</v>
      </c>
      <c r="B968" s="3">
        <v>0.1802933585947693</v>
      </c>
      <c r="C968" s="3">
        <v>6.7024950138442507E-2</v>
      </c>
      <c r="D968" s="1">
        <v>72989.914103030722</v>
      </c>
      <c r="E968" s="1">
        <v>2480221</v>
      </c>
      <c r="F968" s="1">
        <v>12999076</v>
      </c>
      <c r="G968" s="16">
        <v>41419.939597279561</v>
      </c>
      <c r="H968">
        <v>305.26</v>
      </c>
      <c r="I968" s="1">
        <v>791.42000000000007</v>
      </c>
      <c r="J968" s="16">
        <v>114409.85370031028</v>
      </c>
      <c r="K968" s="5">
        <v>0.1467492480297925</v>
      </c>
      <c r="L968" s="10">
        <v>180745.94029999999</v>
      </c>
    </row>
    <row r="969" spans="1:12" x14ac:dyDescent="0.25">
      <c r="A969">
        <v>968</v>
      </c>
      <c r="B969" s="3">
        <v>0.10575879667382865</v>
      </c>
      <c r="C969" s="3">
        <v>7.5047353032147587E-2</v>
      </c>
      <c r="D969" s="1">
        <v>695520.61085210193</v>
      </c>
      <c r="E969" s="1">
        <v>22763501</v>
      </c>
      <c r="F969" s="1">
        <v>64061971</v>
      </c>
      <c r="G969" s="16">
        <v>18937.162810835267</v>
      </c>
      <c r="H969">
        <v>55.72</v>
      </c>
      <c r="I969" s="1">
        <v>235.82000000000002</v>
      </c>
      <c r="J969" s="16">
        <v>714457.77366293722</v>
      </c>
      <c r="K969" s="5">
        <v>4.8331359092234148E-2</v>
      </c>
      <c r="L969" s="10">
        <v>272014.64990000002</v>
      </c>
    </row>
    <row r="970" spans="1:12" x14ac:dyDescent="0.25">
      <c r="A970">
        <v>969</v>
      </c>
      <c r="B970" s="3">
        <v>0.20833426202347827</v>
      </c>
      <c r="C970" s="3">
        <v>3.9445246073440528E-2</v>
      </c>
      <c r="D970" s="1">
        <v>122889.82534037385</v>
      </c>
      <c r="E970" s="1">
        <v>5855333</v>
      </c>
      <c r="F970" s="1">
        <v>26925553</v>
      </c>
      <c r="G970" s="16">
        <v>35536.637572036561</v>
      </c>
      <c r="H970">
        <v>274.02</v>
      </c>
      <c r="I970" s="1">
        <v>728.52</v>
      </c>
      <c r="J970" s="16">
        <v>158426.46291241041</v>
      </c>
      <c r="K970" s="5">
        <v>0.11235205902122974</v>
      </c>
      <c r="L970" s="10">
        <v>363942.24800000002</v>
      </c>
    </row>
    <row r="971" spans="1:12" x14ac:dyDescent="0.25">
      <c r="A971">
        <v>970</v>
      </c>
      <c r="B971" s="3">
        <v>0.22645052056351883</v>
      </c>
      <c r="C971" s="3">
        <v>7.2320799952216741E-2</v>
      </c>
      <c r="D971" s="1">
        <v>152804.54279657127</v>
      </c>
      <c r="E971" s="1">
        <v>6178389</v>
      </c>
      <c r="F971" s="1">
        <v>20385822</v>
      </c>
      <c r="G971" s="16">
        <v>9754.7119907085289</v>
      </c>
      <c r="H971">
        <v>68.47</v>
      </c>
      <c r="I971" s="1">
        <v>225.05</v>
      </c>
      <c r="J971" s="16">
        <v>162559.25478727982</v>
      </c>
      <c r="K971" s="5">
        <v>0.17605705128300009</v>
      </c>
      <c r="L971" s="10">
        <v>249313.44820000001</v>
      </c>
    </row>
    <row r="972" spans="1:12" x14ac:dyDescent="0.25">
      <c r="A972">
        <v>971</v>
      </c>
      <c r="B972" s="3">
        <v>0.1901197766617172</v>
      </c>
      <c r="C972" s="3">
        <v>5.80687415396339E-2</v>
      </c>
      <c r="D972" s="1">
        <v>27510.419046510313</v>
      </c>
      <c r="E972" s="1">
        <v>784979</v>
      </c>
      <c r="F972" s="1">
        <v>7552949</v>
      </c>
      <c r="G972" s="16">
        <v>11316.750086054659</v>
      </c>
      <c r="H972">
        <v>60.43</v>
      </c>
      <c r="I972" s="1">
        <v>196.88</v>
      </c>
      <c r="J972" s="16">
        <v>38827.169132564974</v>
      </c>
      <c r="K972" s="5">
        <v>0.14834137920973814</v>
      </c>
      <c r="L972" s="10">
        <v>85489.349499999997</v>
      </c>
    </row>
    <row r="973" spans="1:12" x14ac:dyDescent="0.25">
      <c r="A973">
        <v>972</v>
      </c>
      <c r="B973" s="3">
        <v>0.24549326767089621</v>
      </c>
      <c r="C973" s="3">
        <v>4.7694635665262962E-2</v>
      </c>
      <c r="D973" s="1">
        <v>180457.16712945062</v>
      </c>
      <c r="E973" s="1">
        <v>10421366</v>
      </c>
      <c r="F973" s="1">
        <v>40722909</v>
      </c>
      <c r="G973" s="16">
        <v>22448.900492324665</v>
      </c>
      <c r="H973">
        <v>321.5</v>
      </c>
      <c r="I973" s="1">
        <v>1071.3800000000001</v>
      </c>
      <c r="J973" s="16">
        <v>202906.06762177529</v>
      </c>
      <c r="K973" s="5">
        <v>0.20601837980558213</v>
      </c>
      <c r="L973" s="10">
        <v>648967.71660000004</v>
      </c>
    </row>
    <row r="974" spans="1:12" x14ac:dyDescent="0.25">
      <c r="A974">
        <v>973</v>
      </c>
      <c r="B974" s="3">
        <v>0.17416936567988239</v>
      </c>
      <c r="C974" s="3">
        <v>5.8063355414894186E-2</v>
      </c>
      <c r="D974" s="1">
        <v>419318.2899174887</v>
      </c>
      <c r="E974" s="1">
        <v>20431099</v>
      </c>
      <c r="F974" s="1">
        <v>70689990</v>
      </c>
      <c r="G974" s="16">
        <v>33394.284119451775</v>
      </c>
      <c r="H974">
        <v>191.74</v>
      </c>
      <c r="I974" s="1">
        <v>645.1400000000001</v>
      </c>
      <c r="J974" s="16">
        <v>452712.57403694047</v>
      </c>
      <c r="K974" s="5">
        <v>0.17531967877210453</v>
      </c>
      <c r="L974" s="10">
        <v>953160.03209999995</v>
      </c>
    </row>
    <row r="975" spans="1:12" x14ac:dyDescent="0.25">
      <c r="A975">
        <v>974</v>
      </c>
      <c r="B975" s="3">
        <v>0.21086276326198838</v>
      </c>
      <c r="C975" s="3">
        <v>5.8192879738373726E-2</v>
      </c>
      <c r="D975" s="1">
        <v>68138.998492495113</v>
      </c>
      <c r="E975" s="1">
        <v>2595021</v>
      </c>
      <c r="F975" s="1">
        <v>17067619</v>
      </c>
      <c r="G975" s="16">
        <v>13117.402980769921</v>
      </c>
      <c r="H975">
        <v>81.72</v>
      </c>
      <c r="I975" s="1">
        <v>314.64999999999998</v>
      </c>
      <c r="J975" s="16">
        <v>81256.401473265039</v>
      </c>
      <c r="K975" s="5">
        <v>7.515365242312258E-2</v>
      </c>
      <c r="L975" s="10">
        <v>98607.871599999999</v>
      </c>
    </row>
    <row r="976" spans="1:12" x14ac:dyDescent="0.25">
      <c r="A976">
        <v>975</v>
      </c>
      <c r="B976" s="3">
        <v>0.19061539030910329</v>
      </c>
      <c r="C976" s="3">
        <v>4.6063132039014937E-2</v>
      </c>
      <c r="D976" s="1">
        <v>68931.420512615281</v>
      </c>
      <c r="E976" s="1">
        <v>2433072</v>
      </c>
      <c r="F976" s="1">
        <v>14022381</v>
      </c>
      <c r="G976" s="16">
        <v>20002.920151859114</v>
      </c>
      <c r="H976">
        <v>132.1</v>
      </c>
      <c r="I976" s="1">
        <v>389.04999999999995</v>
      </c>
      <c r="J976" s="16">
        <v>88934.340664474395</v>
      </c>
      <c r="K976" s="5">
        <v>0.12870758383930048</v>
      </c>
      <c r="L976" s="10">
        <v>200398.5563</v>
      </c>
    </row>
    <row r="977" spans="1:12" x14ac:dyDescent="0.25">
      <c r="A977">
        <v>976</v>
      </c>
      <c r="B977" s="3">
        <v>0.19260979941822426</v>
      </c>
      <c r="C977" s="3">
        <v>3.9228911461232405E-2</v>
      </c>
      <c r="D977" s="1">
        <v>162477.15452142659</v>
      </c>
      <c r="E977" s="1">
        <v>7155852</v>
      </c>
      <c r="F977" s="1">
        <v>30755512</v>
      </c>
      <c r="G977" s="16">
        <v>25842.014117352366</v>
      </c>
      <c r="H977">
        <v>215.51</v>
      </c>
      <c r="I977" s="1">
        <v>830.39</v>
      </c>
      <c r="J977" s="16">
        <v>188319.16863877897</v>
      </c>
      <c r="K977" s="5">
        <v>0.14674055705916544</v>
      </c>
      <c r="L977" s="10">
        <v>579132.04619999998</v>
      </c>
    </row>
    <row r="978" spans="1:12" x14ac:dyDescent="0.25">
      <c r="A978">
        <v>977</v>
      </c>
      <c r="B978" s="3">
        <v>0.21132008100846358</v>
      </c>
      <c r="C978" s="3">
        <v>5.9779818903176962E-2</v>
      </c>
      <c r="D978" s="1">
        <v>127953.41235459241</v>
      </c>
      <c r="E978" s="1">
        <v>6189439</v>
      </c>
      <c r="F978" s="1">
        <v>31576723</v>
      </c>
      <c r="G978" s="16">
        <v>13019.316517014602</v>
      </c>
      <c r="H978">
        <v>81.48</v>
      </c>
      <c r="I978" s="1">
        <v>372.47</v>
      </c>
      <c r="J978" s="16">
        <v>140972.72887160702</v>
      </c>
      <c r="K978" s="5">
        <v>0.22181854971501314</v>
      </c>
      <c r="L978" s="10">
        <v>391960.33010000002</v>
      </c>
    </row>
    <row r="979" spans="1:12" x14ac:dyDescent="0.25">
      <c r="A979">
        <v>978</v>
      </c>
      <c r="B979" s="3">
        <v>0.21239918862681867</v>
      </c>
      <c r="C979" s="3">
        <v>4.5439339473779358E-2</v>
      </c>
      <c r="D979" s="1">
        <v>65618.169546066885</v>
      </c>
      <c r="E979" s="1">
        <v>2513674</v>
      </c>
      <c r="F979" s="1">
        <v>12214357</v>
      </c>
      <c r="G979" s="16">
        <v>11947.08476540286</v>
      </c>
      <c r="H979">
        <v>75.260000000000005</v>
      </c>
      <c r="I979" s="1">
        <v>249.66000000000003</v>
      </c>
      <c r="J979" s="16">
        <v>77565.254311469747</v>
      </c>
      <c r="K979" s="5">
        <v>0.16150917073078022</v>
      </c>
      <c r="L979" s="10">
        <v>207073.5337</v>
      </c>
    </row>
    <row r="980" spans="1:12" x14ac:dyDescent="0.25">
      <c r="A980">
        <v>979</v>
      </c>
      <c r="B980" s="3">
        <v>0.22373026255782055</v>
      </c>
      <c r="C980" s="3">
        <v>6.0631602073683649E-2</v>
      </c>
      <c r="D980" s="1">
        <v>312613.61107055855</v>
      </c>
      <c r="E980" s="1">
        <v>20756168</v>
      </c>
      <c r="F980" s="1">
        <v>84890999</v>
      </c>
      <c r="G980" s="16">
        <v>11920.922315784617</v>
      </c>
      <c r="H980">
        <v>105.75</v>
      </c>
      <c r="I980" s="1">
        <v>395.58000000000004</v>
      </c>
      <c r="J980" s="16">
        <v>324534.53338634316</v>
      </c>
      <c r="K980" s="5">
        <v>8.0430370733559839E-3</v>
      </c>
      <c r="L980" s="10">
        <v>44504.836000000003</v>
      </c>
    </row>
    <row r="981" spans="1:12" x14ac:dyDescent="0.25">
      <c r="A981">
        <v>980</v>
      </c>
      <c r="B981" s="3">
        <v>0.12657835993282887</v>
      </c>
      <c r="C981" s="3">
        <v>2.6254963648526513E-2</v>
      </c>
      <c r="D981" s="1">
        <v>117963.96008995094</v>
      </c>
      <c r="E981" s="1">
        <v>3313449</v>
      </c>
      <c r="F981" s="1">
        <v>13780971</v>
      </c>
      <c r="G981" s="16">
        <v>22535.266977879288</v>
      </c>
      <c r="H981">
        <v>76.3</v>
      </c>
      <c r="I981" s="1">
        <v>296.70999999999998</v>
      </c>
      <c r="J981" s="16">
        <v>140499.22706783022</v>
      </c>
      <c r="K981" s="5">
        <v>0.22179006540891283</v>
      </c>
      <c r="L981" s="10">
        <v>1020924.2912</v>
      </c>
    </row>
    <row r="982" spans="1:12" x14ac:dyDescent="0.25">
      <c r="A982">
        <v>981</v>
      </c>
      <c r="B982" s="3">
        <v>0.19307108111351826</v>
      </c>
      <c r="C982" s="3">
        <v>3.1977697448930663E-2</v>
      </c>
      <c r="D982" s="1">
        <v>116860.25311312678</v>
      </c>
      <c r="E982" s="1">
        <v>5158562</v>
      </c>
      <c r="F982" s="1">
        <v>31241224</v>
      </c>
      <c r="G982" s="16">
        <v>34925.574289523305</v>
      </c>
      <c r="H982">
        <v>235.59</v>
      </c>
      <c r="I982" s="1">
        <v>585.59</v>
      </c>
      <c r="J982" s="16">
        <v>151785.82740265009</v>
      </c>
      <c r="K982" s="5">
        <v>1.4715003881884993E-2</v>
      </c>
      <c r="L982" s="10">
        <v>98083.443700000003</v>
      </c>
    </row>
    <row r="983" spans="1:12" x14ac:dyDescent="0.25">
      <c r="A983">
        <v>982</v>
      </c>
      <c r="B983" s="3">
        <v>0.10821149032584863</v>
      </c>
      <c r="C983" s="3">
        <v>4.7091973690583239E-2</v>
      </c>
      <c r="D983" s="1">
        <v>67978.155357230382</v>
      </c>
      <c r="E983" s="1">
        <v>1793850</v>
      </c>
      <c r="F983" s="1">
        <v>13515028</v>
      </c>
      <c r="G983" s="16">
        <v>42707.779262183503</v>
      </c>
      <c r="H983">
        <v>143.18</v>
      </c>
      <c r="I983" s="1">
        <v>424.11000000000007</v>
      </c>
      <c r="J983" s="16">
        <v>110685.93461941389</v>
      </c>
      <c r="K983" s="5">
        <v>0.1921530662869087</v>
      </c>
      <c r="L983" s="10">
        <v>360912.48369999998</v>
      </c>
    </row>
    <row r="984" spans="1:12" x14ac:dyDescent="0.25">
      <c r="A984">
        <v>983</v>
      </c>
      <c r="B984" s="3">
        <v>0.20736133214442592</v>
      </c>
      <c r="C984" s="3">
        <v>2.4089419605995185E-2</v>
      </c>
      <c r="D984" s="1">
        <v>76408.804890384883</v>
      </c>
      <c r="E984" s="1">
        <v>2871577</v>
      </c>
      <c r="F984" s="1">
        <v>14687696</v>
      </c>
      <c r="G984" s="16">
        <v>47328.076414710165</v>
      </c>
      <c r="H984">
        <v>456.93</v>
      </c>
      <c r="I984" s="1">
        <v>1059.4000000000001</v>
      </c>
      <c r="J984" s="16">
        <v>123736.88130509504</v>
      </c>
      <c r="K984" s="5">
        <v>5.626315482144699E-2</v>
      </c>
      <c r="L984" s="10">
        <v>294625.32750000001</v>
      </c>
    </row>
    <row r="985" spans="1:12" x14ac:dyDescent="0.25">
      <c r="A985">
        <v>984</v>
      </c>
      <c r="B985" s="3">
        <v>0.24156804930695416</v>
      </c>
      <c r="C985" s="3">
        <v>5.7235601529358679E-2</v>
      </c>
      <c r="D985" s="1">
        <v>205972.24532964872</v>
      </c>
      <c r="E985" s="1">
        <v>15361324</v>
      </c>
      <c r="F985" s="1">
        <v>50120738</v>
      </c>
      <c r="G985" s="16">
        <v>20745.545448728983</v>
      </c>
      <c r="H985">
        <v>285.22000000000003</v>
      </c>
      <c r="I985" s="1">
        <v>821.2</v>
      </c>
      <c r="J985" s="16">
        <v>226717.7907783777</v>
      </c>
      <c r="K985" s="5">
        <v>5.0097861045268179E-2</v>
      </c>
      <c r="L985" s="10">
        <v>189978.35310000001</v>
      </c>
    </row>
    <row r="986" spans="1:12" x14ac:dyDescent="0.25">
      <c r="A986">
        <v>985</v>
      </c>
      <c r="B986" s="3">
        <v>0.14424500970931942</v>
      </c>
      <c r="C986" s="3">
        <v>7.7710448337971041E-2</v>
      </c>
      <c r="D986" s="1">
        <v>311275.94504691986</v>
      </c>
      <c r="E986" s="1">
        <v>12694087</v>
      </c>
      <c r="F986" s="1">
        <v>43111257</v>
      </c>
      <c r="G986" s="16">
        <v>49182.433169726712</v>
      </c>
      <c r="H986">
        <v>257.24</v>
      </c>
      <c r="I986" s="1">
        <v>785.85</v>
      </c>
      <c r="J986" s="16">
        <v>360458.37821664655</v>
      </c>
      <c r="K986" s="5">
        <v>0.14651129177479746</v>
      </c>
      <c r="L986" s="10">
        <v>466799.17430000001</v>
      </c>
    </row>
    <row r="987" spans="1:12" x14ac:dyDescent="0.25">
      <c r="A987">
        <v>986</v>
      </c>
      <c r="B987" s="3">
        <v>0.2377574587038993</v>
      </c>
      <c r="C987" s="3">
        <v>3.4196558706321087E-2</v>
      </c>
      <c r="D987" s="1">
        <v>82239.870511762012</v>
      </c>
      <c r="E987" s="1">
        <v>4559450</v>
      </c>
      <c r="F987" s="1">
        <v>30180760</v>
      </c>
      <c r="G987" s="16">
        <v>21373.3438531764</v>
      </c>
      <c r="H987">
        <v>282.16000000000003</v>
      </c>
      <c r="I987" s="1">
        <v>802.32999999999993</v>
      </c>
      <c r="J987" s="16">
        <v>103613.21436493841</v>
      </c>
      <c r="K987" s="5">
        <v>0.12645949482395522</v>
      </c>
      <c r="L987" s="10">
        <v>359044.04330000002</v>
      </c>
    </row>
    <row r="988" spans="1:12" x14ac:dyDescent="0.25">
      <c r="A988">
        <v>987</v>
      </c>
      <c r="B988" s="3">
        <v>0.11165163608287441</v>
      </c>
      <c r="C988" s="3">
        <v>2.7951066518833886E-2</v>
      </c>
      <c r="D988" s="1">
        <v>489526.62874880678</v>
      </c>
      <c r="E988" s="1">
        <v>16560095</v>
      </c>
      <c r="F988" s="1">
        <v>54115456</v>
      </c>
      <c r="G988" s="16">
        <v>21143.357565250761</v>
      </c>
      <c r="H988">
        <v>64.760000000000005</v>
      </c>
      <c r="I988" s="1">
        <v>222.06</v>
      </c>
      <c r="J988" s="16">
        <v>510669.98631405755</v>
      </c>
      <c r="K988" s="5">
        <v>0.15443212142012719</v>
      </c>
      <c r="L988" s="10">
        <v>2367470.1937000002</v>
      </c>
    </row>
    <row r="989" spans="1:12" x14ac:dyDescent="0.25">
      <c r="A989">
        <v>988</v>
      </c>
      <c r="B989" s="3">
        <v>0.11994935043606081</v>
      </c>
      <c r="C989" s="3">
        <v>2.4363852424802077E-2</v>
      </c>
      <c r="D989" s="1">
        <v>231109.64681399832</v>
      </c>
      <c r="E989" s="1">
        <v>7210916</v>
      </c>
      <c r="F989" s="1">
        <v>36719135</v>
      </c>
      <c r="G989" s="16">
        <v>92895.356895073055</v>
      </c>
      <c r="H989">
        <v>388.23</v>
      </c>
      <c r="I989" s="1">
        <v>953.40000000000009</v>
      </c>
      <c r="J989" s="16">
        <v>324005.00370907137</v>
      </c>
      <c r="K989" s="5">
        <v>7.820793966845288E-2</v>
      </c>
      <c r="L989" s="10">
        <v>931753.43160000001</v>
      </c>
    </row>
    <row r="990" spans="1:12" x14ac:dyDescent="0.25">
      <c r="A990">
        <v>989</v>
      </c>
      <c r="B990" s="3">
        <v>0.22271466000762818</v>
      </c>
      <c r="C990" s="3">
        <v>6.6828575103320922E-2</v>
      </c>
      <c r="D990" s="1">
        <v>222087.03329608834</v>
      </c>
      <c r="E990" s="1">
        <v>11386879</v>
      </c>
      <c r="F990" s="1">
        <v>36457118</v>
      </c>
      <c r="G990" s="16">
        <v>17220.893777969599</v>
      </c>
      <c r="H990">
        <v>117.57</v>
      </c>
      <c r="I990" s="1">
        <v>380.22999999999996</v>
      </c>
      <c r="J990" s="16">
        <v>239307.92707405792</v>
      </c>
      <c r="K990" s="5">
        <v>0.16041065074531508</v>
      </c>
      <c r="L990" s="10">
        <v>363112.62819999998</v>
      </c>
    </row>
    <row r="991" spans="1:12" x14ac:dyDescent="0.25">
      <c r="A991">
        <v>990</v>
      </c>
      <c r="B991" s="3">
        <v>0.24300951828828385</v>
      </c>
      <c r="C991" s="3">
        <v>2.6955299889970669E-2</v>
      </c>
      <c r="D991" s="1">
        <v>73283.169438129014</v>
      </c>
      <c r="E991" s="1">
        <v>4176813</v>
      </c>
      <c r="F991" s="1">
        <v>23054164</v>
      </c>
      <c r="G991" s="16">
        <v>14523.411203644837</v>
      </c>
      <c r="H991">
        <v>153.63999999999999</v>
      </c>
      <c r="I991" s="1">
        <v>384.58</v>
      </c>
      <c r="J991" s="16">
        <v>87806.580641773849</v>
      </c>
      <c r="K991" s="5">
        <v>3.7772980148425173E-2</v>
      </c>
      <c r="L991" s="10">
        <v>138483.0528</v>
      </c>
    </row>
    <row r="992" spans="1:12" x14ac:dyDescent="0.25">
      <c r="A992">
        <v>991</v>
      </c>
      <c r="B992" s="3">
        <v>0.20067262122550539</v>
      </c>
      <c r="C992" s="3">
        <v>7.7948807067606596E-2</v>
      </c>
      <c r="D992" s="1">
        <v>189171.66510976158</v>
      </c>
      <c r="E992" s="1">
        <v>8672810</v>
      </c>
      <c r="F992" s="1">
        <v>28913236</v>
      </c>
      <c r="G992" s="16">
        <v>7898.2899056791175</v>
      </c>
      <c r="H992">
        <v>45.58</v>
      </c>
      <c r="I992" s="1">
        <v>242.76</v>
      </c>
      <c r="J992" s="16">
        <v>197069.9550154407</v>
      </c>
      <c r="K992" s="5">
        <v>0.11847240762805239</v>
      </c>
      <c r="L992" s="10">
        <v>185380.42060000001</v>
      </c>
    </row>
    <row r="993" spans="1:12" x14ac:dyDescent="0.25">
      <c r="A993">
        <v>992</v>
      </c>
      <c r="B993" s="3">
        <v>0.24958902524529</v>
      </c>
      <c r="C993" s="3">
        <v>5.8073219116953192E-2</v>
      </c>
      <c r="D993" s="1">
        <v>136296.55366970322</v>
      </c>
      <c r="E993" s="1">
        <v>10719921</v>
      </c>
      <c r="F993" s="1">
        <v>51359408</v>
      </c>
      <c r="G993" s="16">
        <v>17417.768065371107</v>
      </c>
      <c r="H993">
        <v>260.64</v>
      </c>
      <c r="I993" s="1">
        <v>835.93999999999994</v>
      </c>
      <c r="J993" s="16">
        <v>153714.32173507434</v>
      </c>
      <c r="K993" s="5">
        <v>0.1780636236206829</v>
      </c>
      <c r="L993" s="10">
        <v>373513.35470000003</v>
      </c>
    </row>
    <row r="994" spans="1:12" x14ac:dyDescent="0.25">
      <c r="A994">
        <v>993</v>
      </c>
      <c r="B994" s="3">
        <v>0.21855803079701452</v>
      </c>
      <c r="C994" s="3">
        <v>3.7369245689723954E-2</v>
      </c>
      <c r="D994" s="1">
        <v>44986.339668721434</v>
      </c>
      <c r="E994" s="1">
        <v>1764384</v>
      </c>
      <c r="F994" s="1">
        <v>15044715</v>
      </c>
      <c r="G994" s="16">
        <v>15688.32146334861</v>
      </c>
      <c r="H994">
        <v>103.49</v>
      </c>
      <c r="I994" s="1">
        <v>318.75</v>
      </c>
      <c r="J994" s="16">
        <v>60674.661132070047</v>
      </c>
      <c r="K994" s="5">
        <v>7.4543172763843216E-2</v>
      </c>
      <c r="L994" s="10">
        <v>109308.6961</v>
      </c>
    </row>
    <row r="995" spans="1:12" x14ac:dyDescent="0.25">
      <c r="A995">
        <v>994</v>
      </c>
      <c r="B995" s="3">
        <v>0.19926818817941816</v>
      </c>
      <c r="C995" s="3">
        <v>7.4783819268667853E-2</v>
      </c>
      <c r="D995" s="1">
        <v>179546.18987418385</v>
      </c>
      <c r="E995" s="1">
        <v>8173925</v>
      </c>
      <c r="F995" s="1">
        <v>36368207</v>
      </c>
      <c r="G995" s="16">
        <v>19859.045969408977</v>
      </c>
      <c r="H995">
        <v>113.52</v>
      </c>
      <c r="I995" s="1">
        <v>313.10000000000002</v>
      </c>
      <c r="J995" s="16">
        <v>199405.23584359282</v>
      </c>
      <c r="K995" s="5">
        <v>-2.2471702650247692E-2</v>
      </c>
      <c r="L995" s="10">
        <v>-41926.148399999998</v>
      </c>
    </row>
    <row r="996" spans="1:12" x14ac:dyDescent="0.25">
      <c r="A996">
        <v>995</v>
      </c>
      <c r="B996" s="3">
        <v>0.18419541747323609</v>
      </c>
      <c r="C996" s="3">
        <v>6.9324301938713376E-2</v>
      </c>
      <c r="D996" s="1">
        <v>48048.379637382386</v>
      </c>
      <c r="E996" s="1">
        <v>1656241</v>
      </c>
      <c r="F996" s="1">
        <v>13345888</v>
      </c>
      <c r="G996" s="16">
        <v>13865.020797368159</v>
      </c>
      <c r="H996">
        <v>70.790000000000006</v>
      </c>
      <c r="I996" s="1">
        <v>257.19</v>
      </c>
      <c r="J996" s="16">
        <v>61913.400434750547</v>
      </c>
      <c r="K996" s="5">
        <v>8.9622514126287856E-2</v>
      </c>
      <c r="L996" s="10">
        <v>75249.598100000003</v>
      </c>
    </row>
    <row r="997" spans="1:12" x14ac:dyDescent="0.25">
      <c r="A997">
        <v>996</v>
      </c>
      <c r="B997" s="3">
        <v>0.10828255116450036</v>
      </c>
      <c r="C997" s="3">
        <v>3.5241585778175905E-2</v>
      </c>
      <c r="D997" s="1">
        <v>61745.371010912932</v>
      </c>
      <c r="E997" s="1">
        <v>1629765</v>
      </c>
      <c r="F997" s="1">
        <v>11173166</v>
      </c>
      <c r="G997" s="16">
        <v>88673.331431731785</v>
      </c>
      <c r="H997">
        <v>333.59</v>
      </c>
      <c r="I997" s="1">
        <v>1102.1899999999998</v>
      </c>
      <c r="J997" s="16">
        <v>150418.70244264472</v>
      </c>
      <c r="K997" s="5">
        <v>0.14279820235257834</v>
      </c>
      <c r="L997" s="10">
        <v>498492.4167</v>
      </c>
    </row>
    <row r="998" spans="1:12" x14ac:dyDescent="0.25">
      <c r="A998">
        <v>997</v>
      </c>
      <c r="B998" s="3">
        <v>0.14475037282686593</v>
      </c>
      <c r="C998" s="3">
        <v>3.8093152453011127E-2</v>
      </c>
      <c r="D998" s="1">
        <v>111541.19043464494</v>
      </c>
      <c r="E998" s="1">
        <v>3337024</v>
      </c>
      <c r="F998" s="1">
        <v>19309045</v>
      </c>
      <c r="G998" s="16">
        <v>85883.963840191747</v>
      </c>
      <c r="H998">
        <v>451.09</v>
      </c>
      <c r="I998" s="1">
        <v>1048.72</v>
      </c>
      <c r="J998" s="16">
        <v>197425.15427483671</v>
      </c>
      <c r="K998" s="5">
        <v>4.882227552998375E-2</v>
      </c>
      <c r="L998" s="10">
        <v>209153.42249999999</v>
      </c>
    </row>
    <row r="999" spans="1:12" x14ac:dyDescent="0.25">
      <c r="A999">
        <v>998</v>
      </c>
      <c r="B999" s="3">
        <v>0.19868744091892365</v>
      </c>
      <c r="C999" s="3">
        <v>6.0047624299453442E-2</v>
      </c>
      <c r="D999" s="1">
        <v>229759.25071556232</v>
      </c>
      <c r="E999" s="1">
        <v>13015656</v>
      </c>
      <c r="F999" s="1">
        <v>43933634</v>
      </c>
      <c r="G999" s="16">
        <v>42914.338457829035</v>
      </c>
      <c r="H999">
        <v>379.48</v>
      </c>
      <c r="I999" s="1">
        <v>1250.31</v>
      </c>
      <c r="J999" s="16">
        <v>272673.58917339134</v>
      </c>
      <c r="K999" s="5">
        <v>1.6149807479939847E-2</v>
      </c>
      <c r="L999" s="10">
        <v>55751.9715</v>
      </c>
    </row>
    <row r="1000" spans="1:12" x14ac:dyDescent="0.25">
      <c r="A1000">
        <v>999</v>
      </c>
      <c r="B1000" s="3">
        <v>0.22825030638245994</v>
      </c>
      <c r="C1000" s="3">
        <v>5.7368190086653836E-2</v>
      </c>
      <c r="D1000" s="1">
        <v>168522.17134423336</v>
      </c>
      <c r="E1000" s="1">
        <v>8891080</v>
      </c>
      <c r="F1000" s="1">
        <v>36823038</v>
      </c>
      <c r="G1000" s="16">
        <v>15463.850429570795</v>
      </c>
      <c r="H1000">
        <v>110.2</v>
      </c>
      <c r="I1000" s="1">
        <v>301.64</v>
      </c>
      <c r="J1000" s="16">
        <v>183986.02177380415</v>
      </c>
      <c r="K1000" s="5">
        <v>0.15264696694631466</v>
      </c>
      <c r="L1000" s="10">
        <v>390296.0932</v>
      </c>
    </row>
    <row r="1001" spans="1:12" x14ac:dyDescent="0.25">
      <c r="A1001">
        <v>1000</v>
      </c>
      <c r="B1001" s="3">
        <v>0.23535890956715821</v>
      </c>
      <c r="C1001" s="3">
        <v>5.6710575238965735E-2</v>
      </c>
      <c r="D1001" s="1">
        <v>54076.508672343938</v>
      </c>
      <c r="E1001" s="1">
        <v>1730995</v>
      </c>
      <c r="F1001" s="1">
        <v>9630335</v>
      </c>
      <c r="G1001" s="16">
        <v>9616.5258739737055</v>
      </c>
      <c r="H1001">
        <v>72.36</v>
      </c>
      <c r="I1001" s="1">
        <v>216.75</v>
      </c>
      <c r="J1001" s="16">
        <v>63693.034546317642</v>
      </c>
      <c r="K1001" s="5">
        <v>-7.5279347374510322E-2</v>
      </c>
      <c r="L1001" s="10">
        <v>-49134.9231</v>
      </c>
    </row>
    <row r="1002" spans="1:12" x14ac:dyDescent="0.25">
      <c r="A1002">
        <v>1001</v>
      </c>
      <c r="B1002" s="3">
        <v>0.12449509176482849</v>
      </c>
      <c r="C1002" s="3">
        <v>2.848873853183705E-2</v>
      </c>
      <c r="D1002" s="1">
        <v>228751.4044672208</v>
      </c>
      <c r="E1002" s="1">
        <v>6379561</v>
      </c>
      <c r="F1002" s="1">
        <v>20602855</v>
      </c>
      <c r="G1002" s="16">
        <v>54580.244371827248</v>
      </c>
      <c r="H1002">
        <v>208.1</v>
      </c>
      <c r="I1002" s="1">
        <v>552.71</v>
      </c>
      <c r="J1002" s="16">
        <v>283331.64883904805</v>
      </c>
      <c r="K1002" s="5">
        <v>5.3408942285178493E-2</v>
      </c>
      <c r="L1002" s="10">
        <v>434267.74239999999</v>
      </c>
    </row>
    <row r="1003" spans="1:12" x14ac:dyDescent="0.25">
      <c r="A1003">
        <v>1002</v>
      </c>
      <c r="B1003" s="3">
        <v>0.23997653363913049</v>
      </c>
      <c r="C1003" s="3">
        <v>5.9595088695712936E-2</v>
      </c>
      <c r="D1003" s="1">
        <v>43376.016271692824</v>
      </c>
      <c r="E1003" s="1">
        <v>1849146</v>
      </c>
      <c r="F1003" s="1">
        <v>19787582</v>
      </c>
      <c r="G1003" s="16">
        <v>16530.967020158754</v>
      </c>
      <c r="H1003">
        <v>169.72</v>
      </c>
      <c r="I1003" s="1">
        <v>550.79000000000008</v>
      </c>
      <c r="J1003" s="16">
        <v>59906.983291851575</v>
      </c>
      <c r="K1003" s="5">
        <v>5.1639067485494988E-2</v>
      </c>
      <c r="L1003" s="10">
        <v>80642.816300000006</v>
      </c>
    </row>
    <row r="1004" spans="1:12" x14ac:dyDescent="0.25">
      <c r="A1004">
        <v>1003</v>
      </c>
      <c r="B1004" s="3">
        <v>0.12390375555706792</v>
      </c>
      <c r="C1004" s="3">
        <v>6.93115578172432E-2</v>
      </c>
      <c r="D1004" s="1">
        <v>218973.2107159587</v>
      </c>
      <c r="E1004" s="1">
        <v>6956433</v>
      </c>
      <c r="F1004" s="1">
        <v>29897203</v>
      </c>
      <c r="G1004" s="16">
        <v>18163.638977640927</v>
      </c>
      <c r="H1004">
        <v>60.39</v>
      </c>
      <c r="I1004" s="1">
        <v>202.94</v>
      </c>
      <c r="J1004" s="16">
        <v>237136.84969359962</v>
      </c>
      <c r="K1004" s="5">
        <v>4.3081308050988872E-2</v>
      </c>
      <c r="L1004" s="10">
        <v>122185.4687</v>
      </c>
    </row>
    <row r="1005" spans="1:12" x14ac:dyDescent="0.25">
      <c r="A1005">
        <v>1004</v>
      </c>
      <c r="B1005" s="3">
        <v>0.23978135481179086</v>
      </c>
      <c r="C1005" s="3">
        <v>2.6835552097897675E-2</v>
      </c>
      <c r="D1005" s="1">
        <v>68201.568319768179</v>
      </c>
      <c r="E1005" s="1">
        <v>2905241</v>
      </c>
      <c r="F1005" s="1">
        <v>19750945</v>
      </c>
      <c r="G1005" s="16">
        <v>12587.025650616346</v>
      </c>
      <c r="H1005">
        <v>98.22</v>
      </c>
      <c r="I1005" s="1">
        <v>379.62</v>
      </c>
      <c r="J1005" s="16">
        <v>80788.593970384522</v>
      </c>
      <c r="K1005" s="5">
        <v>5.324992078420826E-2</v>
      </c>
      <c r="L1005" s="10">
        <v>176796.63560000001</v>
      </c>
    </row>
    <row r="1006" spans="1:12" x14ac:dyDescent="0.25">
      <c r="A1006">
        <v>1005</v>
      </c>
      <c r="B1006" s="3">
        <v>0.17889064281037403</v>
      </c>
      <c r="C1006" s="3">
        <v>4.5510391048272786E-2</v>
      </c>
      <c r="D1006" s="1">
        <v>114378.58770357189</v>
      </c>
      <c r="E1006" s="1">
        <v>3866736</v>
      </c>
      <c r="F1006" s="1">
        <v>19999329</v>
      </c>
      <c r="G1006" s="16">
        <v>47900.263338702658</v>
      </c>
      <c r="H1006">
        <v>349.07</v>
      </c>
      <c r="I1006" s="1">
        <v>806.15999999999985</v>
      </c>
      <c r="J1006" s="16">
        <v>162278.85104227456</v>
      </c>
      <c r="K1006" s="5">
        <v>0.23648266418245589</v>
      </c>
      <c r="L1006" s="10">
        <v>627116.93850000005</v>
      </c>
    </row>
    <row r="1007" spans="1:12" x14ac:dyDescent="0.25">
      <c r="A1007">
        <v>1006</v>
      </c>
      <c r="B1007" s="3">
        <v>0.19430717576987994</v>
      </c>
      <c r="C1007" s="3">
        <v>4.2448815725900819E-2</v>
      </c>
      <c r="D1007" s="1">
        <v>294931.90882330149</v>
      </c>
      <c r="E1007" s="1">
        <v>13099247</v>
      </c>
      <c r="F1007" s="1">
        <v>37771119</v>
      </c>
      <c r="G1007" s="16">
        <v>14873.109406130789</v>
      </c>
      <c r="H1007">
        <v>81.680000000000007</v>
      </c>
      <c r="I1007" s="1">
        <v>365.6</v>
      </c>
      <c r="J1007" s="16">
        <v>309805.01822943229</v>
      </c>
      <c r="K1007" s="5">
        <v>0.22111696640788941</v>
      </c>
      <c r="L1007" s="10">
        <v>1193433.9453</v>
      </c>
    </row>
    <row r="1008" spans="1:12" x14ac:dyDescent="0.25">
      <c r="A1008">
        <v>1007</v>
      </c>
      <c r="B1008" s="3">
        <v>0.24963179740296168</v>
      </c>
      <c r="C1008" s="3">
        <v>6.6793236181784954E-2</v>
      </c>
      <c r="D1008" s="1">
        <v>104285.86979820189</v>
      </c>
      <c r="E1008" s="1">
        <v>6156453</v>
      </c>
      <c r="F1008" s="1">
        <v>38016326</v>
      </c>
      <c r="G1008" s="16">
        <v>11093.998738971513</v>
      </c>
      <c r="H1008">
        <v>93.38</v>
      </c>
      <c r="I1008" s="1">
        <v>275.40999999999997</v>
      </c>
      <c r="J1008" s="16">
        <v>115379.8685371734</v>
      </c>
      <c r="K1008" s="5">
        <v>0.2121296053010262</v>
      </c>
      <c r="L1008" s="10">
        <v>287204.2904</v>
      </c>
    </row>
    <row r="1009" spans="1:12" x14ac:dyDescent="0.25">
      <c r="A1009">
        <v>1008</v>
      </c>
      <c r="B1009" s="3">
        <v>0.24451592113403922</v>
      </c>
      <c r="C1009" s="3">
        <v>2.6852682378532979E-2</v>
      </c>
      <c r="D1009" s="1">
        <v>75351.875816274027</v>
      </c>
      <c r="E1009" s="1">
        <v>4329084</v>
      </c>
      <c r="F1009" s="1">
        <v>22454563</v>
      </c>
      <c r="G1009" s="16">
        <v>27630.846774537113</v>
      </c>
      <c r="H1009">
        <v>391.61</v>
      </c>
      <c r="I1009" s="1">
        <v>1094.02</v>
      </c>
      <c r="J1009" s="16">
        <v>102982.72259081114</v>
      </c>
      <c r="K1009" s="5">
        <v>9.8001055796001157E-2</v>
      </c>
      <c r="L1009" s="10">
        <v>332996.94219999999</v>
      </c>
    </row>
    <row r="1010" spans="1:12" x14ac:dyDescent="0.25">
      <c r="A1010">
        <v>1009</v>
      </c>
      <c r="B1010" s="3">
        <v>0.20370246430728678</v>
      </c>
      <c r="C1010" s="3">
        <v>2.6922780791656588E-2</v>
      </c>
      <c r="D1010" s="1">
        <v>266368.9031868758</v>
      </c>
      <c r="E1010" s="1">
        <v>15570738</v>
      </c>
      <c r="F1010" s="1">
        <v>83145318</v>
      </c>
      <c r="G1010" s="16">
        <v>20088.394398735065</v>
      </c>
      <c r="H1010">
        <v>148.99</v>
      </c>
      <c r="I1010" s="1">
        <v>526.62</v>
      </c>
      <c r="J1010" s="16">
        <v>286457.29758561088</v>
      </c>
      <c r="K1010" s="5">
        <v>5.1259560495516693E-2</v>
      </c>
      <c r="L1010" s="10">
        <v>525845.77399999998</v>
      </c>
    </row>
    <row r="1011" spans="1:12" x14ac:dyDescent="0.25">
      <c r="A1011">
        <v>1010</v>
      </c>
      <c r="B1011" s="3">
        <v>0.20020274020779338</v>
      </c>
      <c r="C1011" s="3">
        <v>6.1270119928140201E-2</v>
      </c>
      <c r="D1011" s="1">
        <v>203530.70561681315</v>
      </c>
      <c r="E1011" s="1">
        <v>9309231</v>
      </c>
      <c r="F1011" s="1">
        <v>33290048</v>
      </c>
      <c r="G1011" s="16">
        <v>11946.858573540492</v>
      </c>
      <c r="H1011">
        <v>68.739999999999995</v>
      </c>
      <c r="I1011" s="1">
        <v>304.49</v>
      </c>
      <c r="J1011" s="16">
        <v>215477.56419035365</v>
      </c>
      <c r="K1011" s="5">
        <v>-3.1588629975825178E-2</v>
      </c>
      <c r="L1011" s="10">
        <v>-48175.507899999997</v>
      </c>
    </row>
    <row r="1012" spans="1:12" x14ac:dyDescent="0.25">
      <c r="A1012">
        <v>1011</v>
      </c>
      <c r="B1012" s="3">
        <v>0.16175193874138044</v>
      </c>
      <c r="C1012" s="3">
        <v>3.5654318258968379E-2</v>
      </c>
      <c r="D1012" s="1">
        <v>152676.60455449589</v>
      </c>
      <c r="E1012" s="1">
        <v>5787420</v>
      </c>
      <c r="F1012" s="1">
        <v>25990391</v>
      </c>
      <c r="G1012" s="16">
        <v>28824.508723030489</v>
      </c>
      <c r="H1012">
        <v>149.38999999999999</v>
      </c>
      <c r="I1012" s="1">
        <v>516.35</v>
      </c>
      <c r="J1012" s="16">
        <v>181501.11327752637</v>
      </c>
      <c r="K1012" s="5">
        <v>0.20605261191878613</v>
      </c>
      <c r="L1012" s="10">
        <v>863385.33290000004</v>
      </c>
    </row>
    <row r="1013" spans="1:12" x14ac:dyDescent="0.25">
      <c r="A1013">
        <v>1012</v>
      </c>
      <c r="B1013" s="3">
        <v>0.16736284658528955</v>
      </c>
      <c r="C1013" s="3">
        <v>5.7201079210482911E-2</v>
      </c>
      <c r="D1013" s="1">
        <v>66529.812763075388</v>
      </c>
      <c r="E1013" s="1">
        <v>2157007</v>
      </c>
      <c r="F1013" s="1">
        <v>17264131</v>
      </c>
      <c r="G1013" s="16">
        <v>10022.373502390286</v>
      </c>
      <c r="H1013">
        <v>37.74</v>
      </c>
      <c r="I1013" s="1">
        <v>162.68</v>
      </c>
      <c r="J1013" s="16">
        <v>76552.186265465672</v>
      </c>
      <c r="K1013" s="5">
        <v>0.12414248804503243</v>
      </c>
      <c r="L1013" s="10">
        <v>148137.90229999999</v>
      </c>
    </row>
    <row r="1014" spans="1:12" x14ac:dyDescent="0.25">
      <c r="A1014">
        <v>1013</v>
      </c>
      <c r="B1014" s="3">
        <v>0.1872643505773306</v>
      </c>
      <c r="C1014" s="3">
        <v>3.0869085419712332E-2</v>
      </c>
      <c r="D1014" s="1">
        <v>242182.97397462372</v>
      </c>
      <c r="E1014" s="1">
        <v>12782037</v>
      </c>
      <c r="F1014" s="1">
        <v>47741416</v>
      </c>
      <c r="G1014" s="16">
        <v>23458.019433400666</v>
      </c>
      <c r="H1014">
        <v>150.72999999999999</v>
      </c>
      <c r="I1014" s="1">
        <v>457.26</v>
      </c>
      <c r="J1014" s="16">
        <v>265640.99340802437</v>
      </c>
      <c r="K1014" s="5">
        <v>0.35349207713435288</v>
      </c>
      <c r="L1014" s="10">
        <v>2556066.7373000002</v>
      </c>
    </row>
    <row r="1015" spans="1:12" x14ac:dyDescent="0.25">
      <c r="A1015">
        <v>1014</v>
      </c>
      <c r="B1015" s="3">
        <v>0.21653138803210781</v>
      </c>
      <c r="C1015" s="3">
        <v>4.4058519225781509E-2</v>
      </c>
      <c r="D1015" s="1">
        <v>182274.23220481756</v>
      </c>
      <c r="E1015" s="1">
        <v>11556335</v>
      </c>
      <c r="F1015" s="1">
        <v>45373308</v>
      </c>
      <c r="G1015" s="16">
        <v>24129.354375437153</v>
      </c>
      <c r="H1015">
        <v>199.98</v>
      </c>
      <c r="I1015" s="1">
        <v>699.85</v>
      </c>
      <c r="J1015" s="16">
        <v>206403.58658025472</v>
      </c>
      <c r="K1015" s="5">
        <v>0.17220168784608206</v>
      </c>
      <c r="L1015" s="10">
        <v>629434.30319999997</v>
      </c>
    </row>
    <row r="1016" spans="1:12" x14ac:dyDescent="0.25">
      <c r="A1016">
        <v>1015</v>
      </c>
      <c r="B1016" s="3">
        <v>0.23824069505782899</v>
      </c>
      <c r="C1016" s="3">
        <v>6.0258356279720426E-2</v>
      </c>
      <c r="D1016" s="1">
        <v>112576.88003167167</v>
      </c>
      <c r="E1016" s="1">
        <v>6257214</v>
      </c>
      <c r="F1016" s="1">
        <v>34363928</v>
      </c>
      <c r="G1016" s="16">
        <v>8450.0494715297464</v>
      </c>
      <c r="H1016">
        <v>64.89</v>
      </c>
      <c r="I1016" s="1">
        <v>215.40999999999997</v>
      </c>
      <c r="J1016" s="16">
        <v>121026.92950320142</v>
      </c>
      <c r="K1016" s="5">
        <v>0.18298226248162083</v>
      </c>
      <c r="L1016" s="10">
        <v>307717.44300000003</v>
      </c>
    </row>
    <row r="1017" spans="1:12" x14ac:dyDescent="0.25">
      <c r="A1017">
        <v>1016</v>
      </c>
      <c r="B1017" s="3">
        <v>0.13098815661778584</v>
      </c>
      <c r="C1017" s="3">
        <v>2.3446185860071835E-2</v>
      </c>
      <c r="D1017" s="1">
        <v>267528.8706719093</v>
      </c>
      <c r="E1017" s="1">
        <v>8779521</v>
      </c>
      <c r="F1017" s="1">
        <v>35849609</v>
      </c>
      <c r="G1017" s="16">
        <v>33135.65831827723</v>
      </c>
      <c r="H1017">
        <v>133.16</v>
      </c>
      <c r="I1017" s="1">
        <v>431.93999999999994</v>
      </c>
      <c r="J1017" s="16">
        <v>300664.52899018652</v>
      </c>
      <c r="K1017" s="5">
        <v>3.4098680893149602E-2</v>
      </c>
      <c r="L1017" s="10">
        <v>401959.7585</v>
      </c>
    </row>
    <row r="1018" spans="1:12" x14ac:dyDescent="0.25">
      <c r="A1018">
        <v>1017</v>
      </c>
      <c r="B1018" s="3">
        <v>0.22976527002996108</v>
      </c>
      <c r="C1018" s="3">
        <v>6.1227604599415314E-2</v>
      </c>
      <c r="D1018" s="1">
        <v>55139.677494063733</v>
      </c>
      <c r="E1018" s="1">
        <v>2258385</v>
      </c>
      <c r="F1018" s="1">
        <v>14349801</v>
      </c>
      <c r="G1018" s="16">
        <v>13069.456581659866</v>
      </c>
      <c r="H1018">
        <v>94.13</v>
      </c>
      <c r="I1018" s="1">
        <v>296.86</v>
      </c>
      <c r="J1018" s="16">
        <v>68209.134075723603</v>
      </c>
      <c r="K1018" s="5">
        <v>6.2775662915262043E-2</v>
      </c>
      <c r="L1018" s="10">
        <v>76056.717399999994</v>
      </c>
    </row>
    <row r="1019" spans="1:12" x14ac:dyDescent="0.25">
      <c r="A1019">
        <v>1018</v>
      </c>
      <c r="B1019" s="3">
        <v>0.20624366809650074</v>
      </c>
      <c r="C1019" s="3">
        <v>4.4399847640913231E-2</v>
      </c>
      <c r="D1019" s="1">
        <v>262687.37896733801</v>
      </c>
      <c r="E1019" s="1">
        <v>15602941</v>
      </c>
      <c r="F1019" s="1">
        <v>56815059</v>
      </c>
      <c r="G1019" s="16">
        <v>56382.754701094949</v>
      </c>
      <c r="H1019">
        <v>537.71</v>
      </c>
      <c r="I1019" s="1">
        <v>1316.74</v>
      </c>
      <c r="J1019" s="16">
        <v>319070.13366843294</v>
      </c>
      <c r="K1019" s="5">
        <v>0.13495738207169672</v>
      </c>
      <c r="L1019" s="10">
        <v>698326.49129999999</v>
      </c>
    </row>
    <row r="1020" spans="1:12" x14ac:dyDescent="0.25">
      <c r="A1020">
        <v>1019</v>
      </c>
      <c r="B1020" s="3">
        <v>0.19541773555021871</v>
      </c>
      <c r="C1020" s="3">
        <v>2.059896928359985E-2</v>
      </c>
      <c r="D1020" s="1">
        <v>54436.458651859495</v>
      </c>
      <c r="E1020" s="1">
        <v>2431144</v>
      </c>
      <c r="F1020" s="1">
        <v>21493288</v>
      </c>
      <c r="G1020" s="16">
        <v>24645.903052134297</v>
      </c>
      <c r="H1020">
        <v>169.9</v>
      </c>
      <c r="I1020" s="1">
        <v>482.47</v>
      </c>
      <c r="J1020" s="16">
        <v>79082.361703993796</v>
      </c>
      <c r="K1020" s="5">
        <v>9.2859384731214661E-2</v>
      </c>
      <c r="L1020" s="10">
        <v>345147.0257</v>
      </c>
    </row>
    <row r="1021" spans="1:12" x14ac:dyDescent="0.25">
      <c r="A1021">
        <v>1020</v>
      </c>
      <c r="B1021" s="3">
        <v>0.22569712764186439</v>
      </c>
      <c r="C1021" s="3">
        <v>6.6512503503708617E-2</v>
      </c>
      <c r="D1021" s="1">
        <v>204777.45637680934</v>
      </c>
      <c r="E1021" s="1">
        <v>13769897</v>
      </c>
      <c r="F1021" s="1">
        <v>44874585</v>
      </c>
      <c r="G1021" s="16">
        <v>10991.289924954226</v>
      </c>
      <c r="H1021">
        <v>76.81</v>
      </c>
      <c r="I1021" s="1">
        <v>222.22</v>
      </c>
      <c r="J1021" s="16">
        <v>215768.74630176357</v>
      </c>
      <c r="K1021" s="5">
        <v>0.24976968373985042</v>
      </c>
      <c r="L1021" s="10">
        <v>569053.79570000002</v>
      </c>
    </row>
    <row r="1022" spans="1:12" x14ac:dyDescent="0.25">
      <c r="A1022">
        <v>1021</v>
      </c>
      <c r="B1022" s="3">
        <v>0.21541777755096575</v>
      </c>
      <c r="C1022" s="3">
        <v>5.9911616427810635E-2</v>
      </c>
      <c r="D1022" s="1">
        <v>216595.84421697841</v>
      </c>
      <c r="E1022" s="1">
        <v>13635172</v>
      </c>
      <c r="F1022" s="1">
        <v>45364599</v>
      </c>
      <c r="G1022" s="16">
        <v>21966.911842113001</v>
      </c>
      <c r="H1022">
        <v>180.68</v>
      </c>
      <c r="I1022" s="1">
        <v>432.31</v>
      </c>
      <c r="J1022" s="16">
        <v>238562.75605909142</v>
      </c>
      <c r="K1022" s="5">
        <v>8.5116521436077591E-2</v>
      </c>
      <c r="L1022" s="10">
        <v>226258.51449999999</v>
      </c>
    </row>
    <row r="1023" spans="1:12" x14ac:dyDescent="0.25">
      <c r="A1023">
        <v>1022</v>
      </c>
      <c r="B1023" s="3">
        <v>0.11872111592952331</v>
      </c>
      <c r="C1023" s="3">
        <v>4.198043074101801E-2</v>
      </c>
      <c r="D1023" s="1">
        <v>148866.59916344727</v>
      </c>
      <c r="E1023" s="1">
        <v>4618985</v>
      </c>
      <c r="F1023" s="1">
        <v>23822425</v>
      </c>
      <c r="G1023" s="16">
        <v>35531.897795226789</v>
      </c>
      <c r="H1023">
        <v>129.46</v>
      </c>
      <c r="I1023" s="1">
        <v>457.96000000000004</v>
      </c>
      <c r="J1023" s="16">
        <v>184398.49695867405</v>
      </c>
      <c r="K1023" s="5">
        <v>-5.2756918690929633E-2</v>
      </c>
      <c r="L1023" s="10">
        <v>-171541.94699999999</v>
      </c>
    </row>
    <row r="1024" spans="1:12" x14ac:dyDescent="0.25">
      <c r="A1024">
        <v>1023</v>
      </c>
      <c r="B1024" s="3">
        <v>0.19451429733679826</v>
      </c>
      <c r="C1024" s="3">
        <v>2.3943821523316321E-2</v>
      </c>
      <c r="D1024" s="1">
        <v>138303.19590558484</v>
      </c>
      <c r="E1024" s="1">
        <v>6148982</v>
      </c>
      <c r="F1024" s="1">
        <v>23758313</v>
      </c>
      <c r="G1024" s="16">
        <v>17682.614141969927</v>
      </c>
      <c r="H1024">
        <v>120.82</v>
      </c>
      <c r="I1024" s="1">
        <v>393.34999999999997</v>
      </c>
      <c r="J1024" s="16">
        <v>155985.81004755478</v>
      </c>
      <c r="K1024" s="5">
        <v>5.2913474320573362E-4</v>
      </c>
      <c r="L1024" s="10">
        <v>40333.237999999998</v>
      </c>
    </row>
    <row r="1025" spans="1:12" x14ac:dyDescent="0.25">
      <c r="A1025">
        <v>1024</v>
      </c>
      <c r="B1025" s="3">
        <v>0.24603075505824648</v>
      </c>
      <c r="C1025" s="3">
        <v>4.5221286385454959E-2</v>
      </c>
      <c r="D1025" s="1">
        <v>103922.57747003347</v>
      </c>
      <c r="E1025" s="1">
        <v>4537866</v>
      </c>
      <c r="F1025" s="1">
        <v>20885551</v>
      </c>
      <c r="G1025" s="16">
        <v>21717.633994702686</v>
      </c>
      <c r="H1025">
        <v>235.63</v>
      </c>
      <c r="I1025" s="1">
        <v>642.03</v>
      </c>
      <c r="J1025" s="16">
        <v>125640.21146473616</v>
      </c>
      <c r="K1025" s="5">
        <v>-0.10724453199531289</v>
      </c>
      <c r="L1025" s="10">
        <v>-203160.00539999999</v>
      </c>
    </row>
    <row r="1026" spans="1:12" x14ac:dyDescent="0.25">
      <c r="A1026">
        <v>1025</v>
      </c>
      <c r="B1026" s="3">
        <v>0.1925626054970786</v>
      </c>
      <c r="C1026" s="3">
        <v>7.9693961126251767E-2</v>
      </c>
      <c r="D1026" s="1">
        <v>108553.44662884234</v>
      </c>
      <c r="E1026" s="1">
        <v>4779814</v>
      </c>
      <c r="F1026" s="1">
        <v>27947817</v>
      </c>
      <c r="G1026" s="16">
        <v>12231.945522603017</v>
      </c>
      <c r="H1026">
        <v>53.64</v>
      </c>
      <c r="I1026" s="1">
        <v>162.10000000000002</v>
      </c>
      <c r="J1026" s="16">
        <v>120785.39215144535</v>
      </c>
      <c r="K1026" s="5">
        <v>0.17981047337458628</v>
      </c>
      <c r="L1026" s="10">
        <v>208338.3014</v>
      </c>
    </row>
    <row r="1027" spans="1:12" x14ac:dyDescent="0.25">
      <c r="A1027">
        <v>1026</v>
      </c>
      <c r="B1027" s="3">
        <v>0.15501040460238549</v>
      </c>
      <c r="C1027" s="3">
        <v>2.05235687314742E-2</v>
      </c>
      <c r="D1027" s="1">
        <v>104841.43822647487</v>
      </c>
      <c r="E1027" s="1">
        <v>3848845</v>
      </c>
      <c r="F1027" s="1">
        <v>22417634</v>
      </c>
      <c r="G1027" s="16">
        <v>29813.068064941839</v>
      </c>
      <c r="H1027">
        <v>145.65</v>
      </c>
      <c r="I1027" s="1">
        <v>394.59000000000003</v>
      </c>
      <c r="J1027" s="16">
        <v>134654.50629141671</v>
      </c>
      <c r="K1027" s="5">
        <v>2.3901117096998173E-2</v>
      </c>
      <c r="L1027" s="10">
        <v>136255.57569999999</v>
      </c>
    </row>
    <row r="1028" spans="1:12" x14ac:dyDescent="0.25">
      <c r="A1028">
        <v>1027</v>
      </c>
      <c r="B1028" s="3">
        <v>0.18296998710232204</v>
      </c>
      <c r="C1028" s="3">
        <v>3.9869849705621171E-2</v>
      </c>
      <c r="D1028" s="1">
        <v>253914.33255734813</v>
      </c>
      <c r="E1028" s="1">
        <v>13052695</v>
      </c>
      <c r="F1028" s="1">
        <v>56366461</v>
      </c>
      <c r="G1028" s="16">
        <v>46281.613510878407</v>
      </c>
      <c r="H1028">
        <v>285.89999999999998</v>
      </c>
      <c r="I1028" s="1">
        <v>733.72</v>
      </c>
      <c r="J1028" s="16">
        <v>300195.94606822653</v>
      </c>
      <c r="K1028" s="5">
        <v>0.13704018722566857</v>
      </c>
      <c r="L1028" s="10">
        <v>835891.80039999995</v>
      </c>
    </row>
    <row r="1029" spans="1:12" x14ac:dyDescent="0.25">
      <c r="A1029">
        <v>1028</v>
      </c>
      <c r="B1029" s="3">
        <v>0.15526298310373338</v>
      </c>
      <c r="C1029" s="3">
        <v>4.3932809857644292E-2</v>
      </c>
      <c r="D1029" s="1">
        <v>90925.968298151682</v>
      </c>
      <c r="E1029" s="1">
        <v>2823103</v>
      </c>
      <c r="F1029" s="1">
        <v>15421398</v>
      </c>
      <c r="G1029" s="16">
        <v>23790.172894358384</v>
      </c>
      <c r="H1029">
        <v>98.56</v>
      </c>
      <c r="I1029" s="1">
        <v>322.10000000000002</v>
      </c>
      <c r="J1029" s="16">
        <v>114716.14119251007</v>
      </c>
      <c r="K1029" s="5">
        <v>0.1746070112033711</v>
      </c>
      <c r="L1029" s="10">
        <v>366913.68800000002</v>
      </c>
    </row>
    <row r="1030" spans="1:12" x14ac:dyDescent="0.25">
      <c r="A1030">
        <v>1029</v>
      </c>
      <c r="B1030" s="3">
        <v>0.24687895644204547</v>
      </c>
      <c r="C1030" s="3">
        <v>7.9214423113726895E-2</v>
      </c>
      <c r="D1030" s="1">
        <v>27811.86674714457</v>
      </c>
      <c r="E1030" s="1">
        <v>1218538</v>
      </c>
      <c r="F1030" s="1">
        <v>13073182</v>
      </c>
      <c r="G1030" s="16">
        <v>23829.51800531222</v>
      </c>
      <c r="H1030">
        <v>261.04000000000002</v>
      </c>
      <c r="I1030" s="1">
        <v>631.1400000000001</v>
      </c>
      <c r="J1030" s="16">
        <v>51641.38475245679</v>
      </c>
      <c r="K1030" s="5">
        <v>0.16402012887376252</v>
      </c>
      <c r="L1030" s="10">
        <v>82790.153600000005</v>
      </c>
    </row>
    <row r="1031" spans="1:12" x14ac:dyDescent="0.25">
      <c r="A1031">
        <v>1030</v>
      </c>
      <c r="B1031" s="3">
        <v>0.19072332254121255</v>
      </c>
      <c r="C1031" s="3">
        <v>7.6412494209533957E-2</v>
      </c>
      <c r="D1031" s="1">
        <v>95848.079421393835</v>
      </c>
      <c r="E1031" s="1">
        <v>3384501</v>
      </c>
      <c r="F1031" s="1">
        <v>21361448</v>
      </c>
      <c r="G1031" s="16">
        <v>37088.72607999335</v>
      </c>
      <c r="H1031">
        <v>245.22</v>
      </c>
      <c r="I1031" s="1">
        <v>711.87</v>
      </c>
      <c r="J1031" s="16">
        <v>132936.80550138719</v>
      </c>
      <c r="K1031" s="5">
        <v>0.16671823167363087</v>
      </c>
      <c r="L1031" s="10">
        <v>190676.61660000001</v>
      </c>
    </row>
    <row r="1032" spans="1:12" x14ac:dyDescent="0.25">
      <c r="A1032">
        <v>1031</v>
      </c>
      <c r="B1032" s="3">
        <v>0.13251497728945083</v>
      </c>
      <c r="C1032" s="3">
        <v>5.5923938312278529E-2</v>
      </c>
      <c r="D1032" s="1">
        <v>220663.08572533194</v>
      </c>
      <c r="E1032" s="1">
        <v>7292636</v>
      </c>
      <c r="F1032" s="1">
        <v>26762794</v>
      </c>
      <c r="G1032" s="16">
        <v>33074.67668607719</v>
      </c>
      <c r="H1032">
        <v>134.47</v>
      </c>
      <c r="I1032" s="1">
        <v>413.85</v>
      </c>
      <c r="J1032" s="16">
        <v>253737.76241140912</v>
      </c>
      <c r="K1032" s="5">
        <v>3.7681011976157891E-2</v>
      </c>
      <c r="L1032" s="10">
        <v>132150.19219999999</v>
      </c>
    </row>
    <row r="1033" spans="1:12" x14ac:dyDescent="0.25">
      <c r="A1033">
        <v>1032</v>
      </c>
      <c r="B1033" s="3">
        <v>0.24079959843387413</v>
      </c>
      <c r="C1033" s="3">
        <v>3.2271118509314564E-2</v>
      </c>
      <c r="D1033" s="1">
        <v>355418.97082918906</v>
      </c>
      <c r="E1033" s="1">
        <v>34738009</v>
      </c>
      <c r="F1033" s="1">
        <v>102454408</v>
      </c>
      <c r="G1033" s="16">
        <v>5801.7626857722553</v>
      </c>
      <c r="H1033">
        <v>34.65</v>
      </c>
      <c r="I1033" s="1">
        <v>152.35000000000002</v>
      </c>
      <c r="J1033" s="16">
        <v>361220.73351496132</v>
      </c>
      <c r="K1033" s="5">
        <v>9.4125117961618071E-2</v>
      </c>
      <c r="L1033" s="10">
        <v>856796.92520000006</v>
      </c>
    </row>
    <row r="1034" spans="1:12" x14ac:dyDescent="0.25">
      <c r="A1034">
        <v>1033</v>
      </c>
      <c r="B1034" s="3">
        <v>0.12177959129568214</v>
      </c>
      <c r="C1034" s="3">
        <v>5.2924012022398756E-2</v>
      </c>
      <c r="D1034" s="1">
        <v>244716.57018785743</v>
      </c>
      <c r="E1034" s="1">
        <v>8766964</v>
      </c>
      <c r="F1034" s="1">
        <v>43024883</v>
      </c>
      <c r="G1034" s="16">
        <v>73389.536931743409</v>
      </c>
      <c r="H1034">
        <v>312.20999999999998</v>
      </c>
      <c r="I1034" s="1">
        <v>843.88999999999987</v>
      </c>
      <c r="J1034" s="16">
        <v>318106.10711960087</v>
      </c>
      <c r="K1034" s="5">
        <v>0.17499389448040489</v>
      </c>
      <c r="L1034" s="10">
        <v>824379.89179999998</v>
      </c>
    </row>
    <row r="1035" spans="1:12" x14ac:dyDescent="0.25">
      <c r="A1035">
        <v>1034</v>
      </c>
      <c r="B1035" s="3">
        <v>0.14050270760020916</v>
      </c>
      <c r="C1035" s="3">
        <v>3.5516439236411415E-2</v>
      </c>
      <c r="D1035" s="1">
        <v>81176.022068979582</v>
      </c>
      <c r="E1035" s="1">
        <v>2783894</v>
      </c>
      <c r="F1035" s="1">
        <v>21686854</v>
      </c>
      <c r="G1035" s="16">
        <v>11813.528873864556</v>
      </c>
      <c r="H1035">
        <v>37.86</v>
      </c>
      <c r="I1035" s="1">
        <v>141.72000000000003</v>
      </c>
      <c r="J1035" s="16">
        <v>92989.550942844144</v>
      </c>
      <c r="K1035" s="5">
        <v>4.0599417849651848E-2</v>
      </c>
      <c r="L1035" s="10">
        <v>88072.688099999999</v>
      </c>
    </row>
    <row r="1036" spans="1:12" x14ac:dyDescent="0.25">
      <c r="A1036">
        <v>1035</v>
      </c>
      <c r="B1036" s="3">
        <v>0.16551543849403449</v>
      </c>
      <c r="C1036" s="3">
        <v>3.0668500136189672E-2</v>
      </c>
      <c r="D1036" s="1">
        <v>118803.72988908437</v>
      </c>
      <c r="E1036" s="1">
        <v>4585222</v>
      </c>
      <c r="F1036" s="1">
        <v>25864615</v>
      </c>
      <c r="G1036" s="16">
        <v>24842.434952523246</v>
      </c>
      <c r="H1036">
        <v>132.77000000000001</v>
      </c>
      <c r="I1036" s="1">
        <v>513.70000000000005</v>
      </c>
      <c r="J1036" s="16">
        <v>143646.16484160762</v>
      </c>
      <c r="K1036" s="5">
        <v>-4.9370556308394611E-2</v>
      </c>
      <c r="L1036" s="10">
        <v>-183042.01629999999</v>
      </c>
    </row>
    <row r="1037" spans="1:12" x14ac:dyDescent="0.25">
      <c r="A1037">
        <v>1036</v>
      </c>
      <c r="B1037" s="3">
        <v>0.13999007267796024</v>
      </c>
      <c r="C1037" s="3">
        <v>5.2813280651351366E-2</v>
      </c>
      <c r="D1037" s="1">
        <v>109703.03226200736</v>
      </c>
      <c r="E1037" s="1">
        <v>3227831</v>
      </c>
      <c r="F1037" s="1">
        <v>20384092</v>
      </c>
      <c r="G1037" s="16">
        <v>94732.485295457547</v>
      </c>
      <c r="H1037">
        <v>476.76</v>
      </c>
      <c r="I1037" s="1">
        <v>1097.05</v>
      </c>
      <c r="J1037" s="16">
        <v>204435.51755746489</v>
      </c>
      <c r="K1037" s="5">
        <v>0.25950771262544914</v>
      </c>
      <c r="L1037" s="10">
        <v>757793.72620000003</v>
      </c>
    </row>
    <row r="1038" spans="1:12" x14ac:dyDescent="0.25">
      <c r="A1038">
        <v>1037</v>
      </c>
      <c r="B1038" s="3">
        <v>0.24706755226752777</v>
      </c>
      <c r="C1038" s="3">
        <v>6.6901520739815853E-2</v>
      </c>
      <c r="D1038" s="1">
        <v>240221.57977354765</v>
      </c>
      <c r="E1038" s="1">
        <v>18579533</v>
      </c>
      <c r="F1038" s="1">
        <v>67601623</v>
      </c>
      <c r="G1038" s="16">
        <v>9867.8793446315267</v>
      </c>
      <c r="H1038">
        <v>81.349999999999994</v>
      </c>
      <c r="I1038" s="1">
        <v>306.43999999999994</v>
      </c>
      <c r="J1038" s="16">
        <v>250089.45911817919</v>
      </c>
      <c r="K1038" s="5">
        <v>0.14218279600350028</v>
      </c>
      <c r="L1038" s="10">
        <v>389889.5221</v>
      </c>
    </row>
    <row r="1039" spans="1:12" x14ac:dyDescent="0.25">
      <c r="A1039">
        <v>1038</v>
      </c>
      <c r="B1039" s="3">
        <v>0.15802644220575868</v>
      </c>
      <c r="C1039" s="3">
        <v>2.9503211981565906E-2</v>
      </c>
      <c r="D1039" s="1">
        <v>152160.207996721</v>
      </c>
      <c r="E1039" s="1">
        <v>5666438</v>
      </c>
      <c r="F1039" s="1">
        <v>22704896</v>
      </c>
      <c r="G1039" s="16">
        <v>17496.637555240228</v>
      </c>
      <c r="H1039">
        <v>73.91</v>
      </c>
      <c r="I1039" s="1">
        <v>343.11</v>
      </c>
      <c r="J1039" s="16">
        <v>169656.84555196122</v>
      </c>
      <c r="K1039" s="5">
        <v>9.5655075268200121E-3</v>
      </c>
      <c r="L1039" s="10">
        <v>92492.991599999994</v>
      </c>
    </row>
    <row r="1040" spans="1:12" x14ac:dyDescent="0.25">
      <c r="A1040">
        <v>1039</v>
      </c>
      <c r="B1040" s="3">
        <v>0.17128800857854365</v>
      </c>
      <c r="C1040" s="3">
        <v>5.4635935089083099E-2</v>
      </c>
      <c r="D1040" s="1">
        <v>68842.350939047523</v>
      </c>
      <c r="E1040" s="1">
        <v>2731772</v>
      </c>
      <c r="F1040" s="1">
        <v>21936469</v>
      </c>
      <c r="G1040" s="16">
        <v>49032.350372145193</v>
      </c>
      <c r="H1040">
        <v>274.87</v>
      </c>
      <c r="I1040" s="1">
        <v>659.44</v>
      </c>
      <c r="J1040" s="16">
        <v>117874.70131119271</v>
      </c>
      <c r="K1040" s="5">
        <v>0.16094306590750584</v>
      </c>
      <c r="L1040" s="10">
        <v>272301.41379999998</v>
      </c>
    </row>
    <row r="1041" spans="1:12" x14ac:dyDescent="0.25">
      <c r="A1041">
        <v>1040</v>
      </c>
      <c r="B1041" s="3">
        <v>0.12302806377719785</v>
      </c>
      <c r="C1041" s="3">
        <v>7.6742809284457245E-2</v>
      </c>
      <c r="D1041" s="1">
        <v>79059.164892768036</v>
      </c>
      <c r="E1041" s="1">
        <v>2193806</v>
      </c>
      <c r="F1041" s="1">
        <v>14860211</v>
      </c>
      <c r="G1041" s="16">
        <v>26667.774543608735</v>
      </c>
      <c r="H1041">
        <v>88.19</v>
      </c>
      <c r="I1041" s="1">
        <v>291.05</v>
      </c>
      <c r="J1041" s="16">
        <v>105726.93943637676</v>
      </c>
      <c r="K1041" s="5">
        <v>0.17359248881765438</v>
      </c>
      <c r="L1041" s="10">
        <v>177296.56340000001</v>
      </c>
    </row>
    <row r="1042" spans="1:12" x14ac:dyDescent="0.25">
      <c r="A1042">
        <v>1041</v>
      </c>
      <c r="B1042" s="3">
        <v>0.23933949531409202</v>
      </c>
      <c r="C1042" s="3">
        <v>2.9933015039720783E-2</v>
      </c>
      <c r="D1042" s="1">
        <v>112553.22743589258</v>
      </c>
      <c r="E1042" s="1">
        <v>4786178</v>
      </c>
      <c r="F1042" s="1">
        <v>19877918</v>
      </c>
      <c r="G1042" s="16">
        <v>9587.2852442101885</v>
      </c>
      <c r="H1042">
        <v>74.41</v>
      </c>
      <c r="I1042" s="1">
        <v>282.13</v>
      </c>
      <c r="J1042" s="16">
        <v>122140.51268010277</v>
      </c>
      <c r="K1042" s="5">
        <v>6.8930900679480545E-2</v>
      </c>
      <c r="L1042" s="10">
        <v>246335.23389999999</v>
      </c>
    </row>
    <row r="1043" spans="1:12" x14ac:dyDescent="0.25">
      <c r="A1043">
        <v>1042</v>
      </c>
      <c r="B1043" s="3">
        <v>0.11931299437948395</v>
      </c>
      <c r="C1043" s="3">
        <v>3.4857320913999588E-2</v>
      </c>
      <c r="D1043" s="1">
        <v>148388.73320424801</v>
      </c>
      <c r="E1043" s="1">
        <v>4065739</v>
      </c>
      <c r="F1043" s="1">
        <v>18999210</v>
      </c>
      <c r="G1043" s="16">
        <v>29720.388468828081</v>
      </c>
      <c r="H1043">
        <v>95.9</v>
      </c>
      <c r="I1043" s="1">
        <v>279.20000000000005</v>
      </c>
      <c r="J1043" s="16">
        <v>178109.12167307609</v>
      </c>
      <c r="K1043" s="5">
        <v>1.9799094620316454E-2</v>
      </c>
      <c r="L1043" s="10">
        <v>107028.6679</v>
      </c>
    </row>
    <row r="1044" spans="1:12" x14ac:dyDescent="0.25">
      <c r="A1044">
        <v>1043</v>
      </c>
      <c r="B1044" s="3">
        <v>0.22540741979713255</v>
      </c>
      <c r="C1044" s="3">
        <v>4.8786133413779971E-2</v>
      </c>
      <c r="D1044" s="1">
        <v>111765.26792152815</v>
      </c>
      <c r="E1044" s="1">
        <v>4500792</v>
      </c>
      <c r="F1044" s="1">
        <v>19385536</v>
      </c>
      <c r="G1044" s="16">
        <v>14005.268155381165</v>
      </c>
      <c r="H1044">
        <v>97.56</v>
      </c>
      <c r="I1044" s="1">
        <v>311.64999999999998</v>
      </c>
      <c r="J1044" s="16">
        <v>125770.53607690932</v>
      </c>
      <c r="K1044" s="5">
        <v>7.6753830161561259E-2</v>
      </c>
      <c r="L1044" s="10">
        <v>154113.1525</v>
      </c>
    </row>
    <row r="1045" spans="1:12" x14ac:dyDescent="0.25">
      <c r="A1045">
        <v>1044</v>
      </c>
      <c r="B1045" s="3">
        <v>0.21978262735123757</v>
      </c>
      <c r="C1045" s="3">
        <v>6.5165851342628894E-2</v>
      </c>
      <c r="D1045" s="1">
        <v>113749.32667645585</v>
      </c>
      <c r="E1045" s="1">
        <v>4482335</v>
      </c>
      <c r="F1045" s="1">
        <v>19603854</v>
      </c>
      <c r="G1045" s="16">
        <v>11438.099820313888</v>
      </c>
      <c r="H1045">
        <v>59.55</v>
      </c>
      <c r="I1045" s="1">
        <v>190.26999999999998</v>
      </c>
      <c r="J1045" s="16">
        <v>125187.42649676974</v>
      </c>
      <c r="K1045" s="5">
        <v>0.17582737655371289</v>
      </c>
      <c r="L1045" s="10">
        <v>239993.0772</v>
      </c>
    </row>
    <row r="1046" spans="1:12" x14ac:dyDescent="0.25">
      <c r="A1046">
        <v>1045</v>
      </c>
      <c r="B1046" s="3">
        <v>0.23150598481805504</v>
      </c>
      <c r="C1046" s="3">
        <v>7.8470381319878879E-2</v>
      </c>
      <c r="D1046" s="1">
        <v>85377.267637142839</v>
      </c>
      <c r="E1046" s="1">
        <v>4581246</v>
      </c>
      <c r="F1046" s="1">
        <v>21526833</v>
      </c>
      <c r="G1046" s="16">
        <v>11833.242006313445</v>
      </c>
      <c r="H1046">
        <v>112.53</v>
      </c>
      <c r="I1046" s="1">
        <v>384.48</v>
      </c>
      <c r="J1046" s="16">
        <v>97210.509643456287</v>
      </c>
      <c r="K1046" s="5">
        <v>3.0507868217570303E-3</v>
      </c>
      <c r="L1046" s="10">
        <v>13100.461499999999</v>
      </c>
    </row>
    <row r="1047" spans="1:12" x14ac:dyDescent="0.25">
      <c r="A1047">
        <v>1046</v>
      </c>
      <c r="B1047" s="3">
        <v>0.21712263329109788</v>
      </c>
      <c r="C1047" s="3">
        <v>3.1653599802536334E-2</v>
      </c>
      <c r="D1047" s="1">
        <v>155740.27387745312</v>
      </c>
      <c r="E1047" s="1">
        <v>7759420</v>
      </c>
      <c r="F1047" s="1">
        <v>31511901</v>
      </c>
      <c r="G1047" s="16">
        <v>25682.535679435718</v>
      </c>
      <c r="H1047">
        <v>214.25</v>
      </c>
      <c r="I1047" s="1">
        <v>629.4</v>
      </c>
      <c r="J1047" s="16">
        <v>181422.80955688882</v>
      </c>
      <c r="K1047" s="5">
        <v>0.21033628570930971</v>
      </c>
      <c r="L1047" s="10">
        <v>1002531.6856</v>
      </c>
    </row>
    <row r="1048" spans="1:12" x14ac:dyDescent="0.25">
      <c r="A1048">
        <v>1047</v>
      </c>
      <c r="B1048" s="3">
        <v>0.2087460458284825</v>
      </c>
      <c r="C1048" s="3">
        <v>5.4461492748413901E-2</v>
      </c>
      <c r="D1048" s="1">
        <v>132238.18982850842</v>
      </c>
      <c r="E1048" s="1">
        <v>4995883</v>
      </c>
      <c r="F1048" s="1">
        <v>20931406</v>
      </c>
      <c r="G1048" s="16">
        <v>27947.710338568453</v>
      </c>
      <c r="H1048">
        <v>216.32</v>
      </c>
      <c r="I1048" s="1">
        <v>523.65000000000009</v>
      </c>
      <c r="J1048" s="16">
        <v>160185.90016707688</v>
      </c>
      <c r="K1048" s="5">
        <v>0.13739594623604201</v>
      </c>
      <c r="L1048" s="10">
        <v>306133.83130000002</v>
      </c>
    </row>
    <row r="1049" spans="1:12" x14ac:dyDescent="0.25">
      <c r="A1049">
        <v>1048</v>
      </c>
      <c r="B1049" s="3">
        <v>0.19556318518205057</v>
      </c>
      <c r="C1049" s="3">
        <v>5.8703527714014117E-2</v>
      </c>
      <c r="D1049" s="1">
        <v>162920.6324723055</v>
      </c>
      <c r="E1049" s="1">
        <v>7281337</v>
      </c>
      <c r="F1049" s="1">
        <v>27949689</v>
      </c>
      <c r="G1049" s="16">
        <v>20582.900103834148</v>
      </c>
      <c r="H1049">
        <v>142.08000000000001</v>
      </c>
      <c r="I1049" s="1">
        <v>489.12</v>
      </c>
      <c r="J1049" s="16">
        <v>183503.53257613964</v>
      </c>
      <c r="K1049" s="5">
        <v>-1.5453924638239674E-2</v>
      </c>
      <c r="L1049" s="10">
        <v>1237.0725</v>
      </c>
    </row>
    <row r="1050" spans="1:12" x14ac:dyDescent="0.25">
      <c r="A1050">
        <v>1049</v>
      </c>
      <c r="B1050" s="3">
        <v>0.15666129777091212</v>
      </c>
      <c r="C1050" s="3">
        <v>5.0104462976389187E-2</v>
      </c>
      <c r="D1050" s="1">
        <v>119128.47127675987</v>
      </c>
      <c r="E1050" s="1">
        <v>3717166</v>
      </c>
      <c r="F1050" s="1">
        <v>18046900</v>
      </c>
      <c r="G1050" s="16">
        <v>12823.328282794719</v>
      </c>
      <c r="H1050">
        <v>45.31</v>
      </c>
      <c r="I1050" s="1">
        <v>154.19999999999999</v>
      </c>
      <c r="J1050" s="16">
        <v>131951.79955955458</v>
      </c>
      <c r="K1050" s="5">
        <v>9.9280574149376744E-2</v>
      </c>
      <c r="L1050" s="10">
        <v>213492.573</v>
      </c>
    </row>
    <row r="1051" spans="1:12" x14ac:dyDescent="0.25">
      <c r="A1051">
        <v>1050</v>
      </c>
      <c r="B1051" s="3">
        <v>0.20204367938030748</v>
      </c>
      <c r="C1051" s="3">
        <v>6.5446946949243093E-2</v>
      </c>
      <c r="D1051" s="1">
        <v>110270.86795544479</v>
      </c>
      <c r="E1051" s="1">
        <v>5090342</v>
      </c>
      <c r="F1051" s="1">
        <v>25236954</v>
      </c>
      <c r="G1051" s="16">
        <v>19213.99601572581</v>
      </c>
      <c r="H1051">
        <v>140.22999999999999</v>
      </c>
      <c r="I1051" s="1">
        <v>408.07000000000005</v>
      </c>
      <c r="J1051" s="16">
        <v>129484.86397117059</v>
      </c>
      <c r="K1051" s="5">
        <v>8.2237255509503365E-2</v>
      </c>
      <c r="L1051" s="10">
        <v>108866.6461</v>
      </c>
    </row>
    <row r="1052" spans="1:12" x14ac:dyDescent="0.25">
      <c r="A1052">
        <v>1051</v>
      </c>
      <c r="B1052" s="3">
        <v>0.22833900320045758</v>
      </c>
      <c r="C1052" s="3">
        <v>7.2937890668042266E-2</v>
      </c>
      <c r="D1052" s="1">
        <v>90571.914650289385</v>
      </c>
      <c r="E1052" s="1">
        <v>3689067</v>
      </c>
      <c r="F1052" s="1">
        <v>18535916</v>
      </c>
      <c r="G1052" s="16">
        <v>15296.075894900901</v>
      </c>
      <c r="H1052">
        <v>108.91</v>
      </c>
      <c r="I1052" s="1">
        <v>301.54999999999995</v>
      </c>
      <c r="J1052" s="16">
        <v>105867.99054519029</v>
      </c>
      <c r="K1052" s="5">
        <v>9.7639473741727781E-3</v>
      </c>
      <c r="L1052" s="10">
        <v>45243.033000000003</v>
      </c>
    </row>
    <row r="1053" spans="1:12" x14ac:dyDescent="0.25">
      <c r="A1053">
        <v>1052</v>
      </c>
      <c r="B1053" s="3">
        <v>0.24178201365952745</v>
      </c>
      <c r="C1053" s="3">
        <v>7.074976015307885E-2</v>
      </c>
      <c r="D1053" s="1">
        <v>57969.356367926353</v>
      </c>
      <c r="E1053" s="1">
        <v>2488966</v>
      </c>
      <c r="F1053" s="1">
        <v>12906898</v>
      </c>
      <c r="G1053" s="16">
        <v>30116.610602199104</v>
      </c>
      <c r="H1053">
        <v>415.17</v>
      </c>
      <c r="I1053" s="1">
        <v>1380.64</v>
      </c>
      <c r="J1053" s="16">
        <v>88085.966970125461</v>
      </c>
      <c r="K1053" s="5">
        <v>0.10676076796975198</v>
      </c>
      <c r="L1053" s="10">
        <v>107434.1655</v>
      </c>
    </row>
    <row r="1054" spans="1:12" x14ac:dyDescent="0.25">
      <c r="A1054">
        <v>1053</v>
      </c>
      <c r="B1054" s="3">
        <v>0.13013829795561863</v>
      </c>
      <c r="C1054" s="3">
        <v>6.8254480962526468E-2</v>
      </c>
      <c r="D1054" s="1">
        <v>41591.177497661229</v>
      </c>
      <c r="E1054" s="1">
        <v>1028736</v>
      </c>
      <c r="F1054" s="1">
        <v>10659371</v>
      </c>
      <c r="G1054" s="16">
        <v>37416.625599773994</v>
      </c>
      <c r="H1054">
        <v>129.83000000000001</v>
      </c>
      <c r="I1054" s="1">
        <v>371.51</v>
      </c>
      <c r="J1054" s="16">
        <v>79007.803097435215</v>
      </c>
      <c r="K1054" s="5">
        <v>5.1848378327358141E-2</v>
      </c>
      <c r="L1054" s="10">
        <v>60154.330399999999</v>
      </c>
    </row>
    <row r="1055" spans="1:12" x14ac:dyDescent="0.25">
      <c r="A1055">
        <v>1054</v>
      </c>
      <c r="B1055" s="3">
        <v>0.2020983551352615</v>
      </c>
      <c r="C1055" s="3">
        <v>6.7705063775616525E-2</v>
      </c>
      <c r="D1055" s="1">
        <v>188606.0781278917</v>
      </c>
      <c r="E1055" s="1">
        <v>8708854</v>
      </c>
      <c r="F1055" s="1">
        <v>40075065</v>
      </c>
      <c r="G1055" s="16">
        <v>46619.657021173465</v>
      </c>
      <c r="H1055">
        <v>426.94</v>
      </c>
      <c r="I1055" s="1">
        <v>1268.9100000000001</v>
      </c>
      <c r="J1055" s="16">
        <v>235225.73514906515</v>
      </c>
      <c r="K1055" s="5">
        <v>0.23960697141680481</v>
      </c>
      <c r="L1055" s="10">
        <v>589165.73109999998</v>
      </c>
    </row>
    <row r="1056" spans="1:12" x14ac:dyDescent="0.25">
      <c r="A1056">
        <v>1055</v>
      </c>
      <c r="B1056" s="3">
        <v>0.19863262751649088</v>
      </c>
      <c r="C1056" s="3">
        <v>3.5352762417423488E-2</v>
      </c>
      <c r="D1056" s="1">
        <v>312416.62997968454</v>
      </c>
      <c r="E1056" s="1">
        <v>17692080</v>
      </c>
      <c r="F1056" s="1">
        <v>56668308</v>
      </c>
      <c r="G1056" s="16">
        <v>18191.589279076583</v>
      </c>
      <c r="H1056">
        <v>103.4</v>
      </c>
      <c r="I1056" s="1">
        <v>261.99</v>
      </c>
      <c r="J1056" s="16">
        <v>330608.21925876115</v>
      </c>
      <c r="K1056" s="5">
        <v>6.2964518462782199E-2</v>
      </c>
      <c r="L1056" s="10">
        <v>470000.32949999999</v>
      </c>
    </row>
    <row r="1057" spans="1:12" x14ac:dyDescent="0.25">
      <c r="A1057">
        <v>1056</v>
      </c>
      <c r="B1057" s="3">
        <v>0.16802491071168507</v>
      </c>
      <c r="C1057" s="3">
        <v>4.5863497859008347E-2</v>
      </c>
      <c r="D1057" s="1">
        <v>89330.425843540186</v>
      </c>
      <c r="E1057" s="1">
        <v>2903162</v>
      </c>
      <c r="F1057" s="1">
        <v>20301003</v>
      </c>
      <c r="G1057" s="16">
        <v>6083.7057596570303</v>
      </c>
      <c r="H1057">
        <v>22.96</v>
      </c>
      <c r="I1057" s="1">
        <v>128.13</v>
      </c>
      <c r="J1057" s="16">
        <v>95414.131603197224</v>
      </c>
      <c r="K1057" s="5">
        <v>8.2829336611987769E-2</v>
      </c>
      <c r="L1057" s="10">
        <v>150527.0079</v>
      </c>
    </row>
    <row r="1058" spans="1:12" x14ac:dyDescent="0.25">
      <c r="A1058">
        <v>1057</v>
      </c>
      <c r="B1058" s="3">
        <v>0.15847971293438512</v>
      </c>
      <c r="C1058" s="3">
        <v>7.2864929388484073E-2</v>
      </c>
      <c r="D1058" s="1">
        <v>90375.473104927209</v>
      </c>
      <c r="E1058" s="1">
        <v>2838309</v>
      </c>
      <c r="F1058" s="1">
        <v>16069838</v>
      </c>
      <c r="G1058" s="16">
        <v>61917.581537284372</v>
      </c>
      <c r="H1058">
        <v>370.27</v>
      </c>
      <c r="I1058" s="1">
        <v>889.21</v>
      </c>
      <c r="J1058" s="16">
        <v>152293.05464221159</v>
      </c>
      <c r="K1058" s="5">
        <v>3.2388683311620446E-3</v>
      </c>
      <c r="L1058" s="10">
        <v>10421.9218</v>
      </c>
    </row>
    <row r="1059" spans="1:12" x14ac:dyDescent="0.25">
      <c r="A1059">
        <v>1058</v>
      </c>
      <c r="B1059" s="3">
        <v>0.16145419713112319</v>
      </c>
      <c r="C1059" s="3">
        <v>6.0986915184324489E-2</v>
      </c>
      <c r="D1059" s="1">
        <v>64916.256872246668</v>
      </c>
      <c r="E1059" s="1">
        <v>2060515</v>
      </c>
      <c r="F1059" s="1">
        <v>19594488</v>
      </c>
      <c r="G1059" s="16">
        <v>34136.305907794005</v>
      </c>
      <c r="H1059">
        <v>176.3</v>
      </c>
      <c r="I1059" s="1">
        <v>489.54</v>
      </c>
      <c r="J1059" s="16">
        <v>99052.562780040666</v>
      </c>
      <c r="K1059" s="5">
        <v>0.22372536518417752</v>
      </c>
      <c r="L1059" s="10">
        <v>293769.43300000002</v>
      </c>
    </row>
    <row r="1060" spans="1:12" x14ac:dyDescent="0.25">
      <c r="A1060">
        <v>1059</v>
      </c>
      <c r="B1060" s="3">
        <v>0.15373306979165649</v>
      </c>
      <c r="C1060" s="3">
        <v>6.7392098962837724E-2</v>
      </c>
      <c r="D1060" s="1">
        <v>24145.54472781589</v>
      </c>
      <c r="E1060" s="1">
        <v>630994</v>
      </c>
      <c r="F1060" s="1">
        <v>7493449</v>
      </c>
      <c r="G1060" s="16">
        <v>25046.724575067619</v>
      </c>
      <c r="H1060">
        <v>102.55</v>
      </c>
      <c r="I1060" s="1">
        <v>288.39999999999998</v>
      </c>
      <c r="J1060" s="16">
        <v>49192.269302883506</v>
      </c>
      <c r="K1060" s="5">
        <v>0.13421489529575914</v>
      </c>
      <c r="L1060" s="10">
        <v>89410.595600000001</v>
      </c>
    </row>
    <row r="1061" spans="1:12" x14ac:dyDescent="0.25">
      <c r="A1061">
        <v>1060</v>
      </c>
      <c r="B1061" s="3">
        <v>0.13740246519942656</v>
      </c>
      <c r="C1061" s="3">
        <v>4.0496902180356856E-2</v>
      </c>
      <c r="D1061" s="1">
        <v>183260.5544199518</v>
      </c>
      <c r="E1061" s="1">
        <v>5343763</v>
      </c>
      <c r="F1061" s="1">
        <v>19745767</v>
      </c>
      <c r="G1061" s="16">
        <v>38012.940877184257</v>
      </c>
      <c r="H1061">
        <v>138.35</v>
      </c>
      <c r="I1061" s="1">
        <v>354.77</v>
      </c>
      <c r="J1061" s="16">
        <v>221273.49529713608</v>
      </c>
      <c r="K1061" s="5">
        <v>6.152923630678063E-2</v>
      </c>
      <c r="L1061" s="10">
        <v>277719.1948</v>
      </c>
    </row>
    <row r="1062" spans="1:12" x14ac:dyDescent="0.25">
      <c r="A1062">
        <v>1061</v>
      </c>
      <c r="B1062" s="3">
        <v>0.13576438272843058</v>
      </c>
      <c r="C1062" s="3">
        <v>5.2030633968794593E-2</v>
      </c>
      <c r="D1062" s="1">
        <v>126384.92950097243</v>
      </c>
      <c r="E1062" s="1">
        <v>4240036</v>
      </c>
      <c r="F1062" s="1">
        <v>25317670</v>
      </c>
      <c r="G1062" s="16">
        <v>16129.878582951755</v>
      </c>
      <c r="H1062">
        <v>58.28</v>
      </c>
      <c r="I1062" s="1">
        <v>212.98</v>
      </c>
      <c r="J1062" s="16">
        <v>142514.80808392417</v>
      </c>
      <c r="K1062" s="5">
        <v>0.20690463644792156</v>
      </c>
      <c r="L1062" s="10">
        <v>439481.63219999999</v>
      </c>
    </row>
    <row r="1063" spans="1:12" x14ac:dyDescent="0.25">
      <c r="A1063">
        <v>1062</v>
      </c>
      <c r="B1063" s="3">
        <v>0.12073783983942243</v>
      </c>
      <c r="C1063" s="3">
        <v>2.5221011964789878E-2</v>
      </c>
      <c r="D1063" s="1">
        <v>100923.4991576389</v>
      </c>
      <c r="E1063" s="1">
        <v>2778694</v>
      </c>
      <c r="F1063" s="1">
        <v>12574664</v>
      </c>
      <c r="G1063" s="16">
        <v>50554.004530688238</v>
      </c>
      <c r="H1063">
        <v>187.33</v>
      </c>
      <c r="I1063" s="1">
        <v>721.53000000000009</v>
      </c>
      <c r="J1063" s="16">
        <v>151477.50368832715</v>
      </c>
      <c r="K1063" s="5">
        <v>9.5794485689633155E-2</v>
      </c>
      <c r="L1063" s="10">
        <v>514749.038</v>
      </c>
    </row>
    <row r="1064" spans="1:12" x14ac:dyDescent="0.25">
      <c r="A1064">
        <v>1063</v>
      </c>
      <c r="B1064" s="3">
        <v>0.24545773970624188</v>
      </c>
      <c r="C1064" s="3">
        <v>5.1752855549621196E-2</v>
      </c>
      <c r="D1064" s="1">
        <v>147616.98250057423</v>
      </c>
      <c r="E1064" s="1">
        <v>8523250</v>
      </c>
      <c r="F1064" s="1">
        <v>34752628</v>
      </c>
      <c r="G1064" s="16">
        <v>14982.764653820912</v>
      </c>
      <c r="H1064">
        <v>161.88</v>
      </c>
      <c r="I1064" s="1">
        <v>454.18</v>
      </c>
      <c r="J1064" s="16">
        <v>162599.74715439515</v>
      </c>
      <c r="K1064" s="5">
        <v>6.4822514560492234E-2</v>
      </c>
      <c r="L1064" s="10">
        <v>166524.3572</v>
      </c>
    </row>
    <row r="1065" spans="1:12" x14ac:dyDescent="0.25">
      <c r="A1065">
        <v>1064</v>
      </c>
      <c r="B1065" s="3">
        <v>0.1276295272623684</v>
      </c>
      <c r="C1065" s="3">
        <v>6.6188803124594742E-2</v>
      </c>
      <c r="D1065" s="1">
        <v>104769.19658680963</v>
      </c>
      <c r="E1065" s="1">
        <v>2953478</v>
      </c>
      <c r="F1065" s="1">
        <v>14931299</v>
      </c>
      <c r="G1065" s="16">
        <v>18153.013097118677</v>
      </c>
      <c r="H1065">
        <v>61.95</v>
      </c>
      <c r="I1065" s="1">
        <v>238.45999999999998</v>
      </c>
      <c r="J1065" s="16">
        <v>122922.2096839283</v>
      </c>
      <c r="K1065" s="5">
        <v>0.12949957592765499</v>
      </c>
      <c r="L1065" s="10">
        <v>184343.42600000001</v>
      </c>
    </row>
    <row r="1066" spans="1:12" x14ac:dyDescent="0.25">
      <c r="A1066">
        <v>1065</v>
      </c>
      <c r="B1066" s="3">
        <v>0.21569053984526199</v>
      </c>
      <c r="C1066" s="3">
        <v>5.1490598973791463E-2</v>
      </c>
      <c r="D1066" s="1">
        <v>149176.09652995534</v>
      </c>
      <c r="E1066" s="1">
        <v>7378225</v>
      </c>
      <c r="F1066" s="1">
        <v>21776919</v>
      </c>
      <c r="G1066" s="16">
        <v>6657.4335089989654</v>
      </c>
      <c r="H1066">
        <v>33.74</v>
      </c>
      <c r="I1066" s="1">
        <v>101.9</v>
      </c>
      <c r="J1066" s="16">
        <v>155833.53003895431</v>
      </c>
      <c r="K1066" s="5">
        <v>4.8514649382295286E-2</v>
      </c>
      <c r="L1066" s="10">
        <v>113132.25</v>
      </c>
    </row>
    <row r="1067" spans="1:12" x14ac:dyDescent="0.25">
      <c r="A1067">
        <v>1066</v>
      </c>
      <c r="B1067" s="3">
        <v>0.19906765237837823</v>
      </c>
      <c r="C1067" s="3">
        <v>5.7581478849005427E-2</v>
      </c>
      <c r="D1067" s="1">
        <v>158223.38113922521</v>
      </c>
      <c r="E1067" s="1">
        <v>7195985</v>
      </c>
      <c r="F1067" s="1">
        <v>37937594</v>
      </c>
      <c r="G1067" s="16">
        <v>16014.518347270037</v>
      </c>
      <c r="H1067">
        <v>91.2</v>
      </c>
      <c r="I1067" s="1">
        <v>345.21</v>
      </c>
      <c r="J1067" s="16">
        <v>174237.89948649524</v>
      </c>
      <c r="K1067" s="5">
        <v>7.1010884035376171E-2</v>
      </c>
      <c r="L1067" s="10">
        <v>151958.7738</v>
      </c>
    </row>
    <row r="1068" spans="1:12" x14ac:dyDescent="0.25">
      <c r="A1068">
        <v>1067</v>
      </c>
      <c r="B1068" s="3">
        <v>0.14939696596461383</v>
      </c>
      <c r="C1068" s="3">
        <v>7.6891924592842137E-2</v>
      </c>
      <c r="D1068" s="1">
        <v>284272.82591792004</v>
      </c>
      <c r="E1068" s="1">
        <v>10163189</v>
      </c>
      <c r="F1068" s="1">
        <v>33010545</v>
      </c>
      <c r="G1068" s="16">
        <v>49403.140349375615</v>
      </c>
      <c r="H1068">
        <v>230.89</v>
      </c>
      <c r="I1068" s="1">
        <v>572.05999999999995</v>
      </c>
      <c r="J1068" s="16">
        <v>333675.96626729565</v>
      </c>
      <c r="K1068" s="5">
        <v>1.6941646911579712E-2</v>
      </c>
      <c r="L1068" s="10">
        <v>67889.304900000003</v>
      </c>
    </row>
    <row r="1069" spans="1:12" x14ac:dyDescent="0.25">
      <c r="A1069">
        <v>1068</v>
      </c>
      <c r="B1069" s="3">
        <v>0.17135519648894493</v>
      </c>
      <c r="C1069" s="3">
        <v>7.7821516665385351E-2</v>
      </c>
      <c r="D1069" s="1">
        <v>479247.07606016722</v>
      </c>
      <c r="E1069" s="1">
        <v>22957268</v>
      </c>
      <c r="F1069" s="1">
        <v>66303362</v>
      </c>
      <c r="G1069" s="16">
        <v>45243.946159903855</v>
      </c>
      <c r="H1069">
        <v>306.02</v>
      </c>
      <c r="I1069" s="1">
        <v>771.15</v>
      </c>
      <c r="J1069" s="16">
        <v>524491.02222007106</v>
      </c>
      <c r="K1069" s="5">
        <v>0.17234694663678654</v>
      </c>
      <c r="L1069" s="10">
        <v>663633.47160000005</v>
      </c>
    </row>
    <row r="1070" spans="1:12" x14ac:dyDescent="0.25">
      <c r="A1070">
        <v>1069</v>
      </c>
      <c r="B1070" s="3">
        <v>0.24325550248232219</v>
      </c>
      <c r="C1070" s="3">
        <v>4.2855504409246778E-2</v>
      </c>
      <c r="D1070" s="1">
        <v>264531.64855730464</v>
      </c>
      <c r="E1070" s="1">
        <v>19949582</v>
      </c>
      <c r="F1070" s="1">
        <v>68380201</v>
      </c>
      <c r="G1070" s="16">
        <v>16590.311691595154</v>
      </c>
      <c r="H1070">
        <v>175.53</v>
      </c>
      <c r="I1070" s="1">
        <v>477.19999999999993</v>
      </c>
      <c r="J1070" s="16">
        <v>281121.96024889976</v>
      </c>
      <c r="K1070" s="5">
        <v>0.15167766399619262</v>
      </c>
      <c r="L1070" s="10">
        <v>764405.97730000003</v>
      </c>
    </row>
    <row r="1071" spans="1:12" x14ac:dyDescent="0.25">
      <c r="A1071">
        <v>1070</v>
      </c>
      <c r="B1071" s="3">
        <v>0.18179810981565619</v>
      </c>
      <c r="C1071" s="3">
        <v>2.3185983930312161E-2</v>
      </c>
      <c r="D1071" s="1">
        <v>207517.33891044519</v>
      </c>
      <c r="E1071" s="1">
        <v>8665915</v>
      </c>
      <c r="F1071" s="1">
        <v>32050733</v>
      </c>
      <c r="G1071" s="16">
        <v>15228.496459827194</v>
      </c>
      <c r="H1071">
        <v>76.400000000000006</v>
      </c>
      <c r="I1071" s="1">
        <v>297.94</v>
      </c>
      <c r="J1071" s="16">
        <v>222745.8353702724</v>
      </c>
      <c r="K1071" s="5">
        <v>-6.6290095700023116E-2</v>
      </c>
      <c r="L1071" s="10">
        <v>-512905.82049999997</v>
      </c>
    </row>
    <row r="1072" spans="1:12" x14ac:dyDescent="0.25">
      <c r="A1072">
        <v>1071</v>
      </c>
      <c r="B1072" s="3">
        <v>0.24705644568122911</v>
      </c>
      <c r="C1072" s="3">
        <v>4.0950482079214534E-2</v>
      </c>
      <c r="D1072" s="1">
        <v>189318.08928154252</v>
      </c>
      <c r="E1072" s="1">
        <v>11024144</v>
      </c>
      <c r="F1072" s="1">
        <v>37505125</v>
      </c>
      <c r="G1072" s="16">
        <v>23601.435211049095</v>
      </c>
      <c r="H1072">
        <v>343.75</v>
      </c>
      <c r="I1072" s="1">
        <v>1101.44</v>
      </c>
      <c r="J1072" s="16">
        <v>212919.52449259162</v>
      </c>
      <c r="K1072" s="5">
        <v>3.699174698173642E-2</v>
      </c>
      <c r="L1072" s="10">
        <v>168495.01500000001</v>
      </c>
    </row>
    <row r="1073" spans="1:12" x14ac:dyDescent="0.25">
      <c r="A1073">
        <v>1072</v>
      </c>
      <c r="B1073" s="3">
        <v>0.14727550496598538</v>
      </c>
      <c r="C1073" s="3">
        <v>5.219282301519719E-2</v>
      </c>
      <c r="D1073" s="1">
        <v>110335.42908280299</v>
      </c>
      <c r="E1073" s="1">
        <v>3905556</v>
      </c>
      <c r="F1073" s="1">
        <v>22147215</v>
      </c>
      <c r="G1073" s="16">
        <v>48221.390816710657</v>
      </c>
      <c r="H1073">
        <v>221.45</v>
      </c>
      <c r="I1073" s="1">
        <v>617.23</v>
      </c>
      <c r="J1073" s="16">
        <v>158556.81989951365</v>
      </c>
      <c r="K1073" s="5">
        <v>0.15673187566901647</v>
      </c>
      <c r="L1073" s="10">
        <v>376007.81300000002</v>
      </c>
    </row>
    <row r="1074" spans="1:12" x14ac:dyDescent="0.25">
      <c r="A1074">
        <v>1073</v>
      </c>
      <c r="B1074" s="3">
        <v>0.20186434158105454</v>
      </c>
      <c r="C1074" s="3">
        <v>5.7581545389073827E-2</v>
      </c>
      <c r="D1074" s="1">
        <v>72843.75728334226</v>
      </c>
      <c r="E1074" s="1">
        <v>2681422</v>
      </c>
      <c r="F1074" s="1">
        <v>13677857</v>
      </c>
      <c r="G1074" s="16">
        <v>20202.313079395619</v>
      </c>
      <c r="H1074">
        <v>147.57</v>
      </c>
      <c r="I1074" s="1">
        <v>408.11</v>
      </c>
      <c r="J1074" s="16">
        <v>93046.070362737883</v>
      </c>
      <c r="K1074" s="5">
        <v>-1.6204409173461172E-2</v>
      </c>
      <c r="L1074" s="10">
        <v>-2503.7957999999999</v>
      </c>
    </row>
    <row r="1075" spans="1:12" x14ac:dyDescent="0.25">
      <c r="A1075">
        <v>1074</v>
      </c>
      <c r="B1075" s="3">
        <v>0.23846826346211342</v>
      </c>
      <c r="C1075" s="3">
        <v>7.6704944396540478E-2</v>
      </c>
      <c r="D1075" s="1">
        <v>84139.419040525114</v>
      </c>
      <c r="E1075" s="1">
        <v>3565639</v>
      </c>
      <c r="F1075" s="1">
        <v>14476981</v>
      </c>
      <c r="G1075" s="16">
        <v>11333.244232517594</v>
      </c>
      <c r="H1075">
        <v>87.43</v>
      </c>
      <c r="I1075" s="1">
        <v>284.34000000000003</v>
      </c>
      <c r="J1075" s="16">
        <v>95472.663273042708</v>
      </c>
      <c r="K1075" s="5">
        <v>0.14401860948790624</v>
      </c>
      <c r="L1075" s="10">
        <v>112378.6848</v>
      </c>
    </row>
    <row r="1076" spans="1:12" x14ac:dyDescent="0.25">
      <c r="A1076">
        <v>1075</v>
      </c>
      <c r="B1076" s="3">
        <v>0.17806388550169178</v>
      </c>
      <c r="C1076" s="3">
        <v>5.4426582983179816E-2</v>
      </c>
      <c r="D1076" s="1">
        <v>118418.27835725108</v>
      </c>
      <c r="E1076" s="1">
        <v>3991241</v>
      </c>
      <c r="F1076" s="1">
        <v>19819644</v>
      </c>
      <c r="G1076" s="16">
        <v>22212.977468460987</v>
      </c>
      <c r="H1076">
        <v>131.75</v>
      </c>
      <c r="I1076" s="1">
        <v>456.46</v>
      </c>
      <c r="J1076" s="16">
        <v>140631.25582571205</v>
      </c>
      <c r="K1076" s="5">
        <v>-0.10983084643570175</v>
      </c>
      <c r="L1076" s="10">
        <v>-179597.72089999999</v>
      </c>
    </row>
    <row r="1077" spans="1:12" x14ac:dyDescent="0.25">
      <c r="A1077">
        <v>1076</v>
      </c>
      <c r="B1077" s="3">
        <v>0.17798653209084253</v>
      </c>
      <c r="C1077" s="3">
        <v>6.7191926567249607E-2</v>
      </c>
      <c r="D1077" s="1">
        <v>219097.11279014123</v>
      </c>
      <c r="E1077" s="1">
        <v>10925581</v>
      </c>
      <c r="F1077" s="1">
        <v>53917239</v>
      </c>
      <c r="G1077" s="16">
        <v>25816.649826200635</v>
      </c>
      <c r="H1077">
        <v>153.35</v>
      </c>
      <c r="I1077" s="1">
        <v>561.0100000000001</v>
      </c>
      <c r="J1077" s="16">
        <v>244913.76261634188</v>
      </c>
      <c r="K1077" s="5">
        <v>0.15754659150493933</v>
      </c>
      <c r="L1077" s="10">
        <v>460293.97249999997</v>
      </c>
    </row>
    <row r="1078" spans="1:12" x14ac:dyDescent="0.25">
      <c r="A1078">
        <v>1077</v>
      </c>
      <c r="B1078" s="3">
        <v>0.14789699099406484</v>
      </c>
      <c r="C1078" s="3">
        <v>3.5215699411754411E-2</v>
      </c>
      <c r="D1078" s="1">
        <v>152580.31128576692</v>
      </c>
      <c r="E1078" s="1">
        <v>5416683</v>
      </c>
      <c r="F1078" s="1">
        <v>28031696</v>
      </c>
      <c r="G1078" s="16">
        <v>61807.359869318308</v>
      </c>
      <c r="H1078">
        <v>335.1</v>
      </c>
      <c r="I1078" s="1">
        <v>908.40000000000009</v>
      </c>
      <c r="J1078" s="16">
        <v>214387.67115508523</v>
      </c>
      <c r="K1078" s="5">
        <v>7.663283612483017E-2</v>
      </c>
      <c r="L1078" s="10">
        <v>400446.46360000002</v>
      </c>
    </row>
    <row r="1079" spans="1:12" x14ac:dyDescent="0.25">
      <c r="A1079">
        <v>1078</v>
      </c>
      <c r="B1079" s="3">
        <v>0.1862038216905442</v>
      </c>
      <c r="C1079" s="3">
        <v>7.5558447264403014E-2</v>
      </c>
      <c r="D1079" s="1">
        <v>108985.56863382716</v>
      </c>
      <c r="E1079" s="1">
        <v>4650597</v>
      </c>
      <c r="F1079" s="1">
        <v>23609470</v>
      </c>
      <c r="G1079" s="16">
        <v>22613.404316263441</v>
      </c>
      <c r="H1079">
        <v>117.19</v>
      </c>
      <c r="I1079" s="1">
        <v>373.43</v>
      </c>
      <c r="J1079" s="16">
        <v>131598.9729500906</v>
      </c>
      <c r="K1079" s="5">
        <v>0.14599303388711299</v>
      </c>
      <c r="L1079" s="10">
        <v>168057.94760000001</v>
      </c>
    </row>
    <row r="1080" spans="1:12" x14ac:dyDescent="0.25">
      <c r="A1080">
        <v>1079</v>
      </c>
      <c r="B1080" s="3">
        <v>0.1449646584651374</v>
      </c>
      <c r="C1080" s="3">
        <v>6.3805022568559702E-2</v>
      </c>
      <c r="D1080" s="1">
        <v>115808.5703024158</v>
      </c>
      <c r="E1080" s="1">
        <v>3467298</v>
      </c>
      <c r="F1080" s="1">
        <v>20648517</v>
      </c>
      <c r="G1080" s="16">
        <v>12449.518352618659</v>
      </c>
      <c r="H1080">
        <v>40.89</v>
      </c>
      <c r="I1080" s="1">
        <v>178.56</v>
      </c>
      <c r="J1080" s="16">
        <v>128258.08865503446</v>
      </c>
      <c r="K1080" s="5">
        <v>9.7287233465264689E-2</v>
      </c>
      <c r="L1080" s="10">
        <v>158895.6882</v>
      </c>
    </row>
    <row r="1081" spans="1:12" x14ac:dyDescent="0.25">
      <c r="A1081">
        <v>1080</v>
      </c>
      <c r="B1081" s="3">
        <v>0.20533092265167957</v>
      </c>
      <c r="C1081" s="3">
        <v>4.5656736263981333E-2</v>
      </c>
      <c r="D1081" s="1">
        <v>117723.52796758218</v>
      </c>
      <c r="E1081" s="1">
        <v>5524855</v>
      </c>
      <c r="F1081" s="1">
        <v>28302439</v>
      </c>
      <c r="G1081" s="16">
        <v>20647.596272185372</v>
      </c>
      <c r="H1081">
        <v>123.27</v>
      </c>
      <c r="I1081" s="1">
        <v>383.12</v>
      </c>
      <c r="J1081" s="16">
        <v>138371.12423976755</v>
      </c>
      <c r="K1081" s="5">
        <v>5.4087961826515436E-3</v>
      </c>
      <c r="L1081" s="10">
        <v>38484.015099999997</v>
      </c>
    </row>
    <row r="1082" spans="1:12" x14ac:dyDescent="0.25">
      <c r="A1082">
        <v>1081</v>
      </c>
      <c r="B1082" s="3">
        <v>0.14612667361107368</v>
      </c>
      <c r="C1082" s="3">
        <v>7.9896504749381952E-2</v>
      </c>
      <c r="D1082" s="1">
        <v>197946.15530184787</v>
      </c>
      <c r="E1082" s="1">
        <v>6969091</v>
      </c>
      <c r="F1082" s="1">
        <v>30532395</v>
      </c>
      <c r="G1082" s="16">
        <v>29729.511773598857</v>
      </c>
      <c r="H1082">
        <v>135.15</v>
      </c>
      <c r="I1082" s="1">
        <v>454.52</v>
      </c>
      <c r="J1082" s="16">
        <v>227675.66707544672</v>
      </c>
      <c r="K1082" s="5">
        <v>0.28212671302928638</v>
      </c>
      <c r="L1082" s="10">
        <v>517892.94890000002</v>
      </c>
    </row>
    <row r="1083" spans="1:12" x14ac:dyDescent="0.25">
      <c r="A1083">
        <v>1082</v>
      </c>
      <c r="B1083" s="3">
        <v>0.12547558584562502</v>
      </c>
      <c r="C1083" s="3">
        <v>7.2529640390191261E-2</v>
      </c>
      <c r="D1083" s="1">
        <v>350330.79726203356</v>
      </c>
      <c r="E1083" s="1">
        <v>12818042</v>
      </c>
      <c r="F1083" s="1">
        <v>46335525</v>
      </c>
      <c r="G1083" s="16">
        <v>55226.296625073061</v>
      </c>
      <c r="H1083">
        <v>212.28</v>
      </c>
      <c r="I1083" s="1">
        <v>655.84</v>
      </c>
      <c r="J1083" s="16">
        <v>405557.09388710663</v>
      </c>
      <c r="K1083" s="5">
        <v>0.16884900867674912</v>
      </c>
      <c r="L1083" s="10">
        <v>605834.48950000003</v>
      </c>
    </row>
    <row r="1084" spans="1:12" x14ac:dyDescent="0.25">
      <c r="A1084">
        <v>1083</v>
      </c>
      <c r="B1084" s="3">
        <v>0.1651551940910827</v>
      </c>
      <c r="C1084" s="3">
        <v>7.770270764042056E-2</v>
      </c>
      <c r="D1084" s="1">
        <v>127063.52557852013</v>
      </c>
      <c r="E1084" s="1">
        <v>4895542</v>
      </c>
      <c r="F1084" s="1">
        <v>21796864</v>
      </c>
      <c r="G1084" s="16">
        <v>68637.557340763335</v>
      </c>
      <c r="H1084">
        <v>437.33</v>
      </c>
      <c r="I1084" s="1">
        <v>1309.6499999999999</v>
      </c>
      <c r="J1084" s="16">
        <v>195701.08291928348</v>
      </c>
      <c r="K1084" s="5">
        <v>0.21314564109601891</v>
      </c>
      <c r="L1084" s="10">
        <v>330255.54739999998</v>
      </c>
    </row>
    <row r="1085" spans="1:12" x14ac:dyDescent="0.25">
      <c r="A1085">
        <v>1084</v>
      </c>
      <c r="B1085" s="3">
        <v>0.22297283339236332</v>
      </c>
      <c r="C1085" s="3">
        <v>5.2285161514389764E-2</v>
      </c>
      <c r="D1085" s="1">
        <v>126511.74924383305</v>
      </c>
      <c r="E1085" s="1">
        <v>6495151</v>
      </c>
      <c r="F1085" s="1">
        <v>28571189</v>
      </c>
      <c r="G1085" s="16">
        <v>7727.841831511143</v>
      </c>
      <c r="H1085">
        <v>52.74</v>
      </c>
      <c r="I1085" s="1">
        <v>215.84</v>
      </c>
      <c r="J1085" s="16">
        <v>134239.59107534419</v>
      </c>
      <c r="K1085" s="5">
        <v>4.0614792466721686E-3</v>
      </c>
      <c r="L1085" s="10">
        <v>16711.478500000001</v>
      </c>
    </row>
    <row r="1086" spans="1:12" x14ac:dyDescent="0.25">
      <c r="A1086">
        <v>1085</v>
      </c>
      <c r="B1086" s="3">
        <v>0.16003636053567466</v>
      </c>
      <c r="C1086" s="3">
        <v>5.4392557781134193E-2</v>
      </c>
      <c r="D1086" s="1">
        <v>127112.71496192949</v>
      </c>
      <c r="E1086" s="1">
        <v>4014307</v>
      </c>
      <c r="F1086" s="1">
        <v>20279763</v>
      </c>
      <c r="G1086" s="16">
        <v>30121.239650430467</v>
      </c>
      <c r="H1086">
        <v>153.63</v>
      </c>
      <c r="I1086" s="1">
        <v>451.35</v>
      </c>
      <c r="J1086" s="16">
        <v>157233.95461235996</v>
      </c>
      <c r="K1086" s="5">
        <v>5.7095768518878279E-2</v>
      </c>
      <c r="L1086" s="10">
        <v>145400.7628</v>
      </c>
    </row>
    <row r="1087" spans="1:12" x14ac:dyDescent="0.25">
      <c r="A1087">
        <v>1086</v>
      </c>
      <c r="B1087" s="3">
        <v>0.22900986145601857</v>
      </c>
      <c r="C1087" s="3">
        <v>6.6216294797060329E-2</v>
      </c>
      <c r="D1087" s="1">
        <v>91563.529270863088</v>
      </c>
      <c r="E1087" s="1">
        <v>3739200</v>
      </c>
      <c r="F1087" s="1">
        <v>20417047</v>
      </c>
      <c r="G1087" s="16">
        <v>11856.975218114918</v>
      </c>
      <c r="H1087">
        <v>84.9</v>
      </c>
      <c r="I1087" s="1">
        <v>324.05000000000007</v>
      </c>
      <c r="J1087" s="16">
        <v>103420.50448897801</v>
      </c>
      <c r="K1087" s="5">
        <v>0.13997860596403297</v>
      </c>
      <c r="L1087" s="10">
        <v>150301.2071</v>
      </c>
    </row>
    <row r="1088" spans="1:12" x14ac:dyDescent="0.25">
      <c r="A1088">
        <v>1087</v>
      </c>
      <c r="B1088" s="3">
        <v>0.10010567293186473</v>
      </c>
      <c r="C1088" s="3">
        <v>5.4993445877165301E-2</v>
      </c>
      <c r="D1088" s="1">
        <v>277675.29007150716</v>
      </c>
      <c r="E1088" s="1">
        <v>7924536</v>
      </c>
      <c r="F1088" s="1">
        <v>35036849</v>
      </c>
      <c r="G1088" s="16">
        <v>51815.438992525647</v>
      </c>
      <c r="H1088">
        <v>163.13999999999999</v>
      </c>
      <c r="I1088" s="1">
        <v>496.16</v>
      </c>
      <c r="J1088" s="16">
        <v>329490.72906403278</v>
      </c>
      <c r="K1088" s="5">
        <v>0.10661156044028057</v>
      </c>
      <c r="L1088" s="10">
        <v>465215.22</v>
      </c>
    </row>
    <row r="1089" spans="1:12" x14ac:dyDescent="0.25">
      <c r="A1089">
        <v>1088</v>
      </c>
      <c r="B1089" s="3">
        <v>0.18161090716271611</v>
      </c>
      <c r="C1089" s="3">
        <v>6.8035282673672426E-2</v>
      </c>
      <c r="D1089" s="1">
        <v>164706.95963415128</v>
      </c>
      <c r="E1089" s="1">
        <v>6871876</v>
      </c>
      <c r="F1089" s="1">
        <v>23807880</v>
      </c>
      <c r="G1089" s="16">
        <v>22943.787635572789</v>
      </c>
      <c r="H1089">
        <v>114.91</v>
      </c>
      <c r="I1089" s="1">
        <v>309.94</v>
      </c>
      <c r="J1089" s="16">
        <v>187650.74726972406</v>
      </c>
      <c r="K1089" s="5">
        <v>0.23338259422340327</v>
      </c>
      <c r="L1089" s="10">
        <v>433248.16139999998</v>
      </c>
    </row>
    <row r="1090" spans="1:12" x14ac:dyDescent="0.25">
      <c r="A1090">
        <v>1089</v>
      </c>
      <c r="B1090" s="3">
        <v>0.23315176894604311</v>
      </c>
      <c r="C1090" s="3">
        <v>6.4857118632136251E-2</v>
      </c>
      <c r="D1090" s="1">
        <v>122652.95383118988</v>
      </c>
      <c r="E1090" s="1">
        <v>6638092</v>
      </c>
      <c r="F1090" s="1">
        <v>27107322</v>
      </c>
      <c r="G1090" s="16">
        <v>46740.72325034142</v>
      </c>
      <c r="H1090">
        <v>766.58</v>
      </c>
      <c r="I1090" s="1">
        <v>2065.2999999999997</v>
      </c>
      <c r="J1090" s="16">
        <v>169393.67708153129</v>
      </c>
      <c r="K1090" s="5">
        <v>0.17724590451033018</v>
      </c>
      <c r="L1090" s="10">
        <v>335438.42810000002</v>
      </c>
    </row>
    <row r="1091" spans="1:12" x14ac:dyDescent="0.25">
      <c r="A1091">
        <v>1090</v>
      </c>
      <c r="B1091" s="3">
        <v>0.23702003991664142</v>
      </c>
      <c r="C1091" s="3">
        <v>3.9274463798592438E-2</v>
      </c>
      <c r="D1091" s="1">
        <v>327247.80555668654</v>
      </c>
      <c r="E1091" s="1">
        <v>23687194</v>
      </c>
      <c r="F1091" s="1">
        <v>60689235</v>
      </c>
      <c r="G1091" s="16">
        <v>12385.301357199387</v>
      </c>
      <c r="H1091">
        <v>94.39</v>
      </c>
      <c r="I1091" s="1">
        <v>313.38</v>
      </c>
      <c r="J1091" s="16">
        <v>339633.10691388592</v>
      </c>
      <c r="K1091" s="5">
        <v>-2.2914227389935794E-2</v>
      </c>
      <c r="L1091" s="10">
        <v>-136022.82509999999</v>
      </c>
    </row>
    <row r="1092" spans="1:12" x14ac:dyDescent="0.25">
      <c r="A1092">
        <v>1091</v>
      </c>
      <c r="B1092" s="3">
        <v>0.21548879391268194</v>
      </c>
      <c r="C1092" s="3">
        <v>6.2373226491117914E-2</v>
      </c>
      <c r="D1092" s="1">
        <v>107211.88307483752</v>
      </c>
      <c r="E1092" s="1">
        <v>5297238</v>
      </c>
      <c r="F1092" s="1">
        <v>27022950</v>
      </c>
      <c r="G1092" s="16">
        <v>21877.524477766128</v>
      </c>
      <c r="H1092">
        <v>179.9</v>
      </c>
      <c r="I1092" s="1">
        <v>536.58000000000004</v>
      </c>
      <c r="J1092" s="16">
        <v>129089.40755260365</v>
      </c>
      <c r="K1092" s="5">
        <v>0.21777949241212718</v>
      </c>
      <c r="L1092" s="10">
        <v>359334.88909999997</v>
      </c>
    </row>
    <row r="1093" spans="1:12" x14ac:dyDescent="0.25">
      <c r="A1093">
        <v>1092</v>
      </c>
      <c r="B1093" s="3">
        <v>0.13665239550468528</v>
      </c>
      <c r="C1093" s="3">
        <v>2.7629492622745194E-2</v>
      </c>
      <c r="D1093" s="1">
        <v>192721.05351279501</v>
      </c>
      <c r="E1093" s="1">
        <v>5604992</v>
      </c>
      <c r="F1093" s="1">
        <v>19199587</v>
      </c>
      <c r="G1093" s="16">
        <v>33028.784446003308</v>
      </c>
      <c r="H1093">
        <v>119.75</v>
      </c>
      <c r="I1093" s="1">
        <v>361.5</v>
      </c>
      <c r="J1093" s="16">
        <v>225749.83795879834</v>
      </c>
      <c r="K1093" s="5">
        <v>0.11732791734826728</v>
      </c>
      <c r="L1093" s="10">
        <v>824794.21920000005</v>
      </c>
    </row>
    <row r="1094" spans="1:12" x14ac:dyDescent="0.25">
      <c r="A1094">
        <v>1093</v>
      </c>
      <c r="B1094" s="3">
        <v>0.22673410768583405</v>
      </c>
      <c r="C1094" s="3">
        <v>4.8785282924244416E-2</v>
      </c>
      <c r="D1094" s="1">
        <v>112192.7230372003</v>
      </c>
      <c r="E1094" s="1">
        <v>5872898</v>
      </c>
      <c r="F1094" s="1">
        <v>23573394</v>
      </c>
      <c r="G1094" s="16">
        <v>7215.2246822775378</v>
      </c>
      <c r="H1094">
        <v>50.74</v>
      </c>
      <c r="I1094" s="1">
        <v>200.04000000000002</v>
      </c>
      <c r="J1094" s="16">
        <v>119407.94771947783</v>
      </c>
      <c r="K1094" s="5">
        <v>4.1882007719558724E-2</v>
      </c>
      <c r="L1094" s="10">
        <v>107812.9953</v>
      </c>
    </row>
    <row r="1095" spans="1:12" x14ac:dyDescent="0.25">
      <c r="A1095">
        <v>1094</v>
      </c>
      <c r="B1095" s="3">
        <v>0.12714329149175191</v>
      </c>
      <c r="C1095" s="3">
        <v>7.5677814973788032E-2</v>
      </c>
      <c r="D1095" s="1">
        <v>141008.10152747398</v>
      </c>
      <c r="E1095" s="1">
        <v>3968428</v>
      </c>
      <c r="F1095" s="1">
        <v>16592843</v>
      </c>
      <c r="G1095" s="16">
        <v>34627.075288729618</v>
      </c>
      <c r="H1095">
        <v>134.77000000000001</v>
      </c>
      <c r="I1095" s="1">
        <v>478.76</v>
      </c>
      <c r="J1095" s="16">
        <v>175635.1768162036</v>
      </c>
      <c r="K1095" s="5">
        <v>0.10413563561666993</v>
      </c>
      <c r="L1095" s="10">
        <v>167108.4074</v>
      </c>
    </row>
    <row r="1096" spans="1:12" x14ac:dyDescent="0.25">
      <c r="A1096">
        <v>1095</v>
      </c>
      <c r="B1096" s="3">
        <v>0.12982653988572868</v>
      </c>
      <c r="C1096" s="3">
        <v>7.5739589189972395E-2</v>
      </c>
      <c r="D1096" s="1">
        <v>179102.97869310222</v>
      </c>
      <c r="E1096" s="1">
        <v>5087315</v>
      </c>
      <c r="F1096" s="1">
        <v>20692463</v>
      </c>
      <c r="G1096" s="16">
        <v>33264.383411376519</v>
      </c>
      <c r="H1096">
        <v>132.30000000000001</v>
      </c>
      <c r="I1096" s="1">
        <v>446.44</v>
      </c>
      <c r="J1096" s="16">
        <v>212367.36210447876</v>
      </c>
      <c r="K1096" s="5">
        <v>9.3363661162945311E-2</v>
      </c>
      <c r="L1096" s="10">
        <v>204053.4713</v>
      </c>
    </row>
    <row r="1097" spans="1:12" x14ac:dyDescent="0.25">
      <c r="A1097">
        <v>1096</v>
      </c>
      <c r="B1097" s="3">
        <v>0.24199749641493593</v>
      </c>
      <c r="C1097" s="3">
        <v>3.9073239129099435E-2</v>
      </c>
      <c r="D1097" s="1">
        <v>161955.5861092234</v>
      </c>
      <c r="E1097" s="1">
        <v>12112828</v>
      </c>
      <c r="F1097" s="1">
        <v>48505158</v>
      </c>
      <c r="G1097" s="16">
        <v>20388.676866433929</v>
      </c>
      <c r="H1097">
        <v>281.45</v>
      </c>
      <c r="I1097" s="1">
        <v>778.76</v>
      </c>
      <c r="J1097" s="16">
        <v>182344.26297565733</v>
      </c>
      <c r="K1097" s="5">
        <v>0.10147237127178718</v>
      </c>
      <c r="L1097" s="10">
        <v>435706.07539999997</v>
      </c>
    </row>
    <row r="1098" spans="1:12" x14ac:dyDescent="0.25">
      <c r="A1098">
        <v>1097</v>
      </c>
      <c r="B1098" s="3">
        <v>0.21264688249796548</v>
      </c>
      <c r="C1098" s="3">
        <v>7.9206890596842869E-2</v>
      </c>
      <c r="D1098" s="1">
        <v>110508.65780002138</v>
      </c>
      <c r="E1098" s="1">
        <v>5381717</v>
      </c>
      <c r="F1098" s="1">
        <v>32534681</v>
      </c>
      <c r="G1098" s="16">
        <v>14909.115220934747</v>
      </c>
      <c r="H1098">
        <v>119.41</v>
      </c>
      <c r="I1098" s="1">
        <v>400.15999999999997</v>
      </c>
      <c r="J1098" s="16">
        <v>125417.77302095613</v>
      </c>
      <c r="K1098" s="5">
        <v>-3.1575187770901958E-4</v>
      </c>
      <c r="L1098" s="10">
        <v>6055.1719000000003</v>
      </c>
    </row>
    <row r="1099" spans="1:12" x14ac:dyDescent="0.25">
      <c r="A1099">
        <v>1098</v>
      </c>
      <c r="B1099" s="3">
        <v>0.12442903190435776</v>
      </c>
      <c r="C1099" s="3">
        <v>5.9604036926805423E-2</v>
      </c>
      <c r="D1099" s="1">
        <v>153490.87572631839</v>
      </c>
      <c r="E1099" s="1">
        <v>4887873</v>
      </c>
      <c r="F1099" s="1">
        <v>29721109</v>
      </c>
      <c r="G1099" s="16">
        <v>35737.322769638333</v>
      </c>
      <c r="H1099">
        <v>119.21</v>
      </c>
      <c r="I1099" s="1">
        <v>304.82</v>
      </c>
      <c r="J1099" s="16">
        <v>189228.19849595672</v>
      </c>
      <c r="K1099" s="5">
        <v>0.11029814515743774</v>
      </c>
      <c r="L1099" s="10">
        <v>274320.52100000001</v>
      </c>
    </row>
    <row r="1100" spans="1:12" x14ac:dyDescent="0.25">
      <c r="A1100">
        <v>1099</v>
      </c>
      <c r="B1100" s="3">
        <v>0.24988390145333703</v>
      </c>
      <c r="C1100" s="3">
        <v>6.5272384719411103E-2</v>
      </c>
      <c r="D1100" s="1">
        <v>84533.527960324936</v>
      </c>
      <c r="E1100" s="1">
        <v>4997100</v>
      </c>
      <c r="F1100" s="1">
        <v>29563892</v>
      </c>
      <c r="G1100" s="16">
        <v>10420.589002102828</v>
      </c>
      <c r="H1100">
        <v>117.36</v>
      </c>
      <c r="I1100" s="1">
        <v>440.53</v>
      </c>
      <c r="J1100" s="16">
        <v>94954.116962427768</v>
      </c>
      <c r="K1100" s="5">
        <v>5.6679188686640319E-2</v>
      </c>
      <c r="L1100" s="10">
        <v>55970.949200000003</v>
      </c>
    </row>
    <row r="1101" spans="1:12" x14ac:dyDescent="0.25">
      <c r="A1101">
        <v>1100</v>
      </c>
      <c r="B1101" s="3">
        <v>0.18019443119193851</v>
      </c>
      <c r="C1101" s="3">
        <v>6.4089779981864173E-2</v>
      </c>
      <c r="D1101" s="1">
        <v>44859.622113260892</v>
      </c>
      <c r="E1101" s="1">
        <v>1523791</v>
      </c>
      <c r="F1101" s="1">
        <v>16656394</v>
      </c>
      <c r="G1101" s="16">
        <v>30141.727892211085</v>
      </c>
      <c r="H1101">
        <v>182.19</v>
      </c>
      <c r="I1101" s="1">
        <v>493.95</v>
      </c>
      <c r="J1101" s="16">
        <v>75001.350005471977</v>
      </c>
      <c r="K1101" s="5">
        <v>-4.5952560365081843E-3</v>
      </c>
      <c r="L1101" s="10">
        <v>-2468.4315000000001</v>
      </c>
    </row>
    <row r="1102" spans="1:12" x14ac:dyDescent="0.25">
      <c r="A1102">
        <v>1101</v>
      </c>
      <c r="B1102" s="3">
        <v>0.1861177412597636</v>
      </c>
      <c r="C1102" s="3">
        <v>6.3474034204669696E-2</v>
      </c>
      <c r="D1102" s="1">
        <v>95258.707385749018</v>
      </c>
      <c r="E1102" s="1">
        <v>3306916</v>
      </c>
      <c r="F1102" s="1">
        <v>19096112</v>
      </c>
      <c r="G1102" s="16">
        <v>82205.137540698037</v>
      </c>
      <c r="H1102">
        <v>788.54</v>
      </c>
      <c r="I1102" s="1">
        <v>1701.85</v>
      </c>
      <c r="J1102" s="16">
        <v>177463.84492644705</v>
      </c>
      <c r="K1102" s="5">
        <v>6.1968295235563887E-2</v>
      </c>
      <c r="L1102" s="10">
        <v>147789.15049999999</v>
      </c>
    </row>
    <row r="1103" spans="1:12" x14ac:dyDescent="0.25">
      <c r="A1103">
        <v>1102</v>
      </c>
      <c r="B1103" s="3">
        <v>0.16373765738444124</v>
      </c>
      <c r="C1103" s="3">
        <v>7.0946219151277634E-2</v>
      </c>
      <c r="D1103" s="1">
        <v>169305.06626070675</v>
      </c>
      <c r="E1103" s="1">
        <v>6478919</v>
      </c>
      <c r="F1103" s="1">
        <v>25866986</v>
      </c>
      <c r="G1103" s="16">
        <v>43738.879179036769</v>
      </c>
      <c r="H1103">
        <v>274.99</v>
      </c>
      <c r="I1103" s="1">
        <v>838.57999999999993</v>
      </c>
      <c r="J1103" s="16">
        <v>213043.94543974352</v>
      </c>
      <c r="K1103" s="5">
        <v>0.19154061469650163</v>
      </c>
      <c r="L1103" s="10">
        <v>383818.75079999998</v>
      </c>
    </row>
    <row r="1104" spans="1:12" x14ac:dyDescent="0.25">
      <c r="A1104">
        <v>1103</v>
      </c>
      <c r="B1104" s="3">
        <v>0.13870831289568866</v>
      </c>
      <c r="C1104" s="3">
        <v>7.7232709444607653E-2</v>
      </c>
      <c r="D1104" s="1">
        <v>153105.77832816858</v>
      </c>
      <c r="E1104" s="1">
        <v>5207069</v>
      </c>
      <c r="F1104" s="1">
        <v>28908913</v>
      </c>
      <c r="G1104" s="16">
        <v>65489.992161296381</v>
      </c>
      <c r="H1104">
        <v>280.2</v>
      </c>
      <c r="I1104" s="1">
        <v>710.81999999999994</v>
      </c>
      <c r="J1104" s="16">
        <v>218595.77048946498</v>
      </c>
      <c r="K1104" s="5">
        <v>5.4639174232890587E-2</v>
      </c>
      <c r="L1104" s="10">
        <v>115297.6029</v>
      </c>
    </row>
    <row r="1105" spans="1:12" x14ac:dyDescent="0.25">
      <c r="A1105">
        <v>1104</v>
      </c>
      <c r="B1105" s="3">
        <v>0.17923910391589723</v>
      </c>
      <c r="C1105" s="3">
        <v>5.5814265899797322E-2</v>
      </c>
      <c r="D1105" s="1">
        <v>91298.835153359803</v>
      </c>
      <c r="E1105" s="1">
        <v>3090421</v>
      </c>
      <c r="F1105" s="1">
        <v>15361610</v>
      </c>
      <c r="G1105" s="16">
        <v>13529.005832529483</v>
      </c>
      <c r="H1105">
        <v>54.64</v>
      </c>
      <c r="I1105" s="1">
        <v>169.25</v>
      </c>
      <c r="J1105" s="16">
        <v>104827.84098588928</v>
      </c>
      <c r="K1105" s="5">
        <v>0.13987614938966533</v>
      </c>
      <c r="L1105" s="10">
        <v>205588.58609999999</v>
      </c>
    </row>
    <row r="1106" spans="1:12" x14ac:dyDescent="0.25">
      <c r="A1106">
        <v>1105</v>
      </c>
      <c r="B1106" s="3">
        <v>0.2459754758710955</v>
      </c>
      <c r="C1106" s="3">
        <v>6.7452636502691038E-2</v>
      </c>
      <c r="D1106" s="1">
        <v>224003.37489155022</v>
      </c>
      <c r="E1106" s="1">
        <v>22811015</v>
      </c>
      <c r="F1106" s="1">
        <v>91608265</v>
      </c>
      <c r="G1106" s="16">
        <v>10143.894813308694</v>
      </c>
      <c r="H1106">
        <v>82.91</v>
      </c>
      <c r="I1106" s="1">
        <v>329.65999999999997</v>
      </c>
      <c r="J1106" s="16">
        <v>234147.26970485892</v>
      </c>
      <c r="K1106" s="5">
        <v>9.3327279385688633E-2</v>
      </c>
      <c r="L1106" s="10">
        <v>252328.65040000001</v>
      </c>
    </row>
    <row r="1107" spans="1:12" x14ac:dyDescent="0.25">
      <c r="A1107">
        <v>1106</v>
      </c>
      <c r="B1107" s="3">
        <v>0.23906191422761741</v>
      </c>
      <c r="C1107" s="3">
        <v>7.3638311026812467E-2</v>
      </c>
      <c r="D1107" s="1">
        <v>117025.86342520296</v>
      </c>
      <c r="E1107" s="1">
        <v>6532623</v>
      </c>
      <c r="F1107" s="1">
        <v>27922066</v>
      </c>
      <c r="G1107" s="16">
        <v>22908.171762518105</v>
      </c>
      <c r="H1107">
        <v>233.01</v>
      </c>
      <c r="I1107" s="1">
        <v>686.4</v>
      </c>
      <c r="J1107" s="16">
        <v>139934.03518772108</v>
      </c>
      <c r="K1107" s="5">
        <v>0.18762633121314037</v>
      </c>
      <c r="L1107" s="10">
        <v>258865.5674</v>
      </c>
    </row>
    <row r="1108" spans="1:12" x14ac:dyDescent="0.25">
      <c r="A1108">
        <v>1107</v>
      </c>
      <c r="B1108" s="3">
        <v>0.15436510961249508</v>
      </c>
      <c r="C1108" s="3">
        <v>3.2602523063426585E-2</v>
      </c>
      <c r="D1108" s="1">
        <v>142536.73425747527</v>
      </c>
      <c r="E1108" s="1">
        <v>5216728</v>
      </c>
      <c r="F1108" s="1">
        <v>28456337</v>
      </c>
      <c r="G1108" s="16">
        <v>25688.089555611867</v>
      </c>
      <c r="H1108">
        <v>105.63</v>
      </c>
      <c r="I1108" s="1">
        <v>344.65999999999997</v>
      </c>
      <c r="J1108" s="16">
        <v>168224.82381308713</v>
      </c>
      <c r="K1108" s="5">
        <v>9.791105871454428E-2</v>
      </c>
      <c r="L1108" s="10">
        <v>429916.26669999998</v>
      </c>
    </row>
    <row r="1109" spans="1:12" x14ac:dyDescent="0.25">
      <c r="A1109">
        <v>1108</v>
      </c>
      <c r="B1109" s="3">
        <v>0.22926862671941312</v>
      </c>
      <c r="C1109" s="3">
        <v>5.7037182311453424E-2</v>
      </c>
      <c r="D1109" s="1">
        <v>147132.78042250942</v>
      </c>
      <c r="E1109" s="1">
        <v>6014546</v>
      </c>
      <c r="F1109" s="1">
        <v>20904601</v>
      </c>
      <c r="G1109" s="16">
        <v>22063.266861551874</v>
      </c>
      <c r="H1109">
        <v>205.24</v>
      </c>
      <c r="I1109" s="1">
        <v>575.74</v>
      </c>
      <c r="J1109" s="16">
        <v>169196.04728406129</v>
      </c>
      <c r="K1109" s="5">
        <v>0.14292805247993706</v>
      </c>
      <c r="L1109" s="10">
        <v>298491.83159999998</v>
      </c>
    </row>
    <row r="1110" spans="1:12" x14ac:dyDescent="0.25">
      <c r="A1110">
        <v>1109</v>
      </c>
      <c r="B1110" s="3">
        <v>0.11458611605748274</v>
      </c>
      <c r="C1110" s="3">
        <v>5.5819894033828546E-2</v>
      </c>
      <c r="D1110" s="1">
        <v>157432.12032615577</v>
      </c>
      <c r="E1110" s="1">
        <v>4794141</v>
      </c>
      <c r="F1110" s="1">
        <v>28731500</v>
      </c>
      <c r="G1110" s="16">
        <v>35939.398555404456</v>
      </c>
      <c r="H1110">
        <v>112.11</v>
      </c>
      <c r="I1110" s="1">
        <v>369.9</v>
      </c>
      <c r="J1110" s="16">
        <v>193371.51888156022</v>
      </c>
      <c r="K1110" s="5">
        <v>0.12026540869023072</v>
      </c>
      <c r="L1110" s="10">
        <v>333028.12829999998</v>
      </c>
    </row>
    <row r="1111" spans="1:12" x14ac:dyDescent="0.25">
      <c r="A1111">
        <v>1110</v>
      </c>
      <c r="B1111" s="3">
        <v>0.16627058497959657</v>
      </c>
      <c r="C1111" s="3">
        <v>7.7064442458084192E-2</v>
      </c>
      <c r="D1111" s="1">
        <v>100325.15792871697</v>
      </c>
      <c r="E1111" s="1">
        <v>3886084</v>
      </c>
      <c r="F1111" s="1">
        <v>24607764</v>
      </c>
      <c r="G1111" s="16">
        <v>45607.543650654196</v>
      </c>
      <c r="H1111">
        <v>245.06</v>
      </c>
      <c r="I1111" s="1">
        <v>680.38</v>
      </c>
      <c r="J1111" s="16">
        <v>145932.70157937118</v>
      </c>
      <c r="K1111" s="5">
        <v>1.0283189023730498E-2</v>
      </c>
      <c r="L1111" s="10">
        <v>25785.1872</v>
      </c>
    </row>
    <row r="1112" spans="1:12" x14ac:dyDescent="0.25">
      <c r="A1112">
        <v>1111</v>
      </c>
      <c r="B1112" s="3">
        <v>0.16971019165388315</v>
      </c>
      <c r="C1112" s="3">
        <v>5.9542448186017602E-2</v>
      </c>
      <c r="D1112" s="1">
        <v>81582.93099408329</v>
      </c>
      <c r="E1112" s="1">
        <v>2667551</v>
      </c>
      <c r="F1112" s="1">
        <v>14406158</v>
      </c>
      <c r="G1112" s="16">
        <v>34460.286040720515</v>
      </c>
      <c r="H1112">
        <v>190.94</v>
      </c>
      <c r="I1112" s="1">
        <v>445.46000000000004</v>
      </c>
      <c r="J1112" s="16">
        <v>116043.21703480381</v>
      </c>
      <c r="K1112" s="5">
        <v>0.12370097021400898</v>
      </c>
      <c r="L1112" s="10">
        <v>189245.63339999999</v>
      </c>
    </row>
    <row r="1113" spans="1:12" x14ac:dyDescent="0.25">
      <c r="A1113">
        <v>1112</v>
      </c>
      <c r="B1113" s="3">
        <v>0.22311270063175737</v>
      </c>
      <c r="C1113" s="3">
        <v>5.8137498648866373E-2</v>
      </c>
      <c r="D1113" s="1">
        <v>181698.78951643311</v>
      </c>
      <c r="E1113" s="1">
        <v>9335171</v>
      </c>
      <c r="F1113" s="1">
        <v>34998339</v>
      </c>
      <c r="G1113" s="16">
        <v>16674.808920675769</v>
      </c>
      <c r="H1113">
        <v>113.96</v>
      </c>
      <c r="I1113" s="1">
        <v>353.71</v>
      </c>
      <c r="J1113" s="16">
        <v>198373.59843710889</v>
      </c>
      <c r="K1113" s="5">
        <v>0.1390547049413185</v>
      </c>
      <c r="L1113" s="10">
        <v>344174.5649</v>
      </c>
    </row>
    <row r="1114" spans="1:12" x14ac:dyDescent="0.25">
      <c r="A1114">
        <v>1113</v>
      </c>
      <c r="B1114" s="3">
        <v>0.21753160166645752</v>
      </c>
      <c r="C1114" s="3">
        <v>6.1370776789808359E-2</v>
      </c>
      <c r="D1114" s="1">
        <v>156878.50683338233</v>
      </c>
      <c r="E1114" s="1">
        <v>7832474</v>
      </c>
      <c r="F1114" s="1">
        <v>33091576</v>
      </c>
      <c r="G1114" s="16">
        <v>24000.16238281113</v>
      </c>
      <c r="H1114">
        <v>201.16</v>
      </c>
      <c r="I1114" s="1">
        <v>670.93999999999994</v>
      </c>
      <c r="J1114" s="16">
        <v>180878.66921619346</v>
      </c>
      <c r="K1114" s="5">
        <v>0.13786574156984632</v>
      </c>
      <c r="L1114" s="10">
        <v>296675.02860000002</v>
      </c>
    </row>
    <row r="1115" spans="1:12" x14ac:dyDescent="0.25">
      <c r="A1115">
        <v>1114</v>
      </c>
      <c r="B1115" s="3">
        <v>0.12365032656062289</v>
      </c>
      <c r="C1115" s="3">
        <v>3.6467753325333384E-2</v>
      </c>
      <c r="D1115" s="1">
        <v>156030.7097411174</v>
      </c>
      <c r="E1115" s="1">
        <v>4338906</v>
      </c>
      <c r="F1115" s="1">
        <v>18314248</v>
      </c>
      <c r="G1115" s="16">
        <v>32299.278290090067</v>
      </c>
      <c r="H1115">
        <v>107.46</v>
      </c>
      <c r="I1115" s="1">
        <v>320.10999999999996</v>
      </c>
      <c r="J1115" s="16">
        <v>188329.98803120747</v>
      </c>
      <c r="K1115" s="5">
        <v>0.17584472215137675</v>
      </c>
      <c r="L1115" s="10">
        <v>716711.35560000001</v>
      </c>
    </row>
    <row r="1116" spans="1:12" x14ac:dyDescent="0.25">
      <c r="A1116">
        <v>1115</v>
      </c>
      <c r="B1116" s="3">
        <v>0.13619108007416886</v>
      </c>
      <c r="C1116" s="3">
        <v>3.6722024505126835E-2</v>
      </c>
      <c r="D1116" s="1">
        <v>172982.21112683864</v>
      </c>
      <c r="E1116" s="1">
        <v>5022866</v>
      </c>
      <c r="F1116" s="1">
        <v>18702758</v>
      </c>
      <c r="G1116" s="16">
        <v>42846.292185357241</v>
      </c>
      <c r="H1116">
        <v>179.45</v>
      </c>
      <c r="I1116" s="1">
        <v>539.02</v>
      </c>
      <c r="J1116" s="16">
        <v>215828.50331219588</v>
      </c>
      <c r="K1116" s="5">
        <v>0.1688933099808064</v>
      </c>
      <c r="L1116" s="10">
        <v>769516.22409999999</v>
      </c>
    </row>
    <row r="1117" spans="1:12" x14ac:dyDescent="0.25">
      <c r="A1117">
        <v>1116</v>
      </c>
      <c r="B1117" s="3">
        <v>0.23387037510319755</v>
      </c>
      <c r="C1117" s="3">
        <v>3.0188956053223477E-2</v>
      </c>
      <c r="D1117" s="1">
        <v>44904.043972945823</v>
      </c>
      <c r="E1117" s="1">
        <v>1868882</v>
      </c>
      <c r="F1117" s="1">
        <v>12551794</v>
      </c>
      <c r="G1117" s="16">
        <v>12831.112665399836</v>
      </c>
      <c r="H1117">
        <v>124.41</v>
      </c>
      <c r="I1117" s="1">
        <v>447.95000000000005</v>
      </c>
      <c r="J1117" s="16">
        <v>57735.156638345659</v>
      </c>
      <c r="K1117" s="5">
        <v>0.11488617283274755</v>
      </c>
      <c r="L1117" s="10">
        <v>189724.902</v>
      </c>
    </row>
    <row r="1118" spans="1:12" x14ac:dyDescent="0.25">
      <c r="A1118">
        <v>1117</v>
      </c>
      <c r="B1118" s="3">
        <v>0.1926390435469483</v>
      </c>
      <c r="C1118" s="3">
        <v>3.5517152034178365E-2</v>
      </c>
      <c r="D1118" s="1">
        <v>121981.53136180578</v>
      </c>
      <c r="E1118" s="1">
        <v>5373111</v>
      </c>
      <c r="F1118" s="1">
        <v>34628187</v>
      </c>
      <c r="G1118" s="16">
        <v>15821.835474477975</v>
      </c>
      <c r="H1118">
        <v>85.87</v>
      </c>
      <c r="I1118" s="1">
        <v>279.81</v>
      </c>
      <c r="J1118" s="16">
        <v>137803.36683628376</v>
      </c>
      <c r="K1118" s="5">
        <v>0.1549165060628972</v>
      </c>
      <c r="L1118" s="10">
        <v>520468.23440000002</v>
      </c>
    </row>
    <row r="1119" spans="1:12" x14ac:dyDescent="0.25">
      <c r="A1119">
        <v>1118</v>
      </c>
      <c r="B1119" s="3">
        <v>0.13972080883084928</v>
      </c>
      <c r="C1119" s="3">
        <v>4.2689199819533105E-2</v>
      </c>
      <c r="D1119" s="1">
        <v>229050.64400544012</v>
      </c>
      <c r="E1119" s="1">
        <v>7826665</v>
      </c>
      <c r="F1119" s="1">
        <v>31397256</v>
      </c>
      <c r="G1119" s="16">
        <v>58708.626841040779</v>
      </c>
      <c r="H1119">
        <v>253.83</v>
      </c>
      <c r="I1119" s="1">
        <v>556.70000000000005</v>
      </c>
      <c r="J1119" s="16">
        <v>287759.27084648091</v>
      </c>
      <c r="K1119" s="5">
        <v>0.12862191567177866</v>
      </c>
      <c r="L1119" s="10">
        <v>657816.72140000004</v>
      </c>
    </row>
    <row r="1120" spans="1:12" x14ac:dyDescent="0.25">
      <c r="A1120">
        <v>1119</v>
      </c>
      <c r="B1120" s="3">
        <v>0.15405814432257253</v>
      </c>
      <c r="C1120" s="3">
        <v>7.0454079013738888E-2</v>
      </c>
      <c r="D1120" s="1">
        <v>104822.96194356008</v>
      </c>
      <c r="E1120" s="1">
        <v>3240690</v>
      </c>
      <c r="F1120" s="1">
        <v>18574674</v>
      </c>
      <c r="G1120" s="16">
        <v>25966.076936269488</v>
      </c>
      <c r="H1120">
        <v>126.04</v>
      </c>
      <c r="I1120" s="1">
        <v>422.92</v>
      </c>
      <c r="J1120" s="16">
        <v>130789.03887982956</v>
      </c>
      <c r="K1120" s="5">
        <v>7.0137419863943548E-2</v>
      </c>
      <c r="L1120" s="10">
        <v>96634.661099999998</v>
      </c>
    </row>
    <row r="1121" spans="1:12" x14ac:dyDescent="0.25">
      <c r="A1121">
        <v>1120</v>
      </c>
      <c r="B1121" s="3">
        <v>0.1018136625478793</v>
      </c>
      <c r="C1121" s="3">
        <v>6.9773383593831659E-2</v>
      </c>
      <c r="D1121" s="1">
        <v>126906.80878208576</v>
      </c>
      <c r="E1121" s="1">
        <v>3277843</v>
      </c>
      <c r="F1121" s="1">
        <v>21049530</v>
      </c>
      <c r="G1121" s="16">
        <v>26526.475628698157</v>
      </c>
      <c r="H1121">
        <v>75.930000000000007</v>
      </c>
      <c r="I1121" s="1">
        <v>333.02</v>
      </c>
      <c r="J1121" s="16">
        <v>153433.2844107839</v>
      </c>
      <c r="K1121" s="5">
        <v>0.13424546696265097</v>
      </c>
      <c r="L1121" s="10">
        <v>220863.87779999999</v>
      </c>
    </row>
    <row r="1122" spans="1:12" x14ac:dyDescent="0.25">
      <c r="A1122">
        <v>1121</v>
      </c>
      <c r="B1122" s="3">
        <v>0.15635775966620791</v>
      </c>
      <c r="C1122" s="3">
        <v>4.8296057230359291E-2</v>
      </c>
      <c r="D1122" s="1">
        <v>123714.85302152719</v>
      </c>
      <c r="E1122" s="1">
        <v>3856105</v>
      </c>
      <c r="F1122" s="1">
        <v>17921644</v>
      </c>
      <c r="G1122" s="16">
        <v>38257.772035597474</v>
      </c>
      <c r="H1122">
        <v>224.19</v>
      </c>
      <c r="I1122" s="1">
        <v>820.46</v>
      </c>
      <c r="J1122" s="16">
        <v>161972.62505712465</v>
      </c>
      <c r="K1122" s="5">
        <v>3.4870121499029176E-2</v>
      </c>
      <c r="L1122" s="10">
        <v>101468.9856</v>
      </c>
    </row>
    <row r="1123" spans="1:12" x14ac:dyDescent="0.25">
      <c r="A1123">
        <v>1122</v>
      </c>
      <c r="B1123" s="3">
        <v>0.16062524296906558</v>
      </c>
      <c r="C1123" s="3">
        <v>5.0757340564834157E-2</v>
      </c>
      <c r="D1123" s="1">
        <v>243990.90990231888</v>
      </c>
      <c r="E1123" s="1">
        <v>10959664</v>
      </c>
      <c r="F1123" s="1">
        <v>43471327</v>
      </c>
      <c r="G1123" s="16">
        <v>24156.452194248439</v>
      </c>
      <c r="H1123">
        <v>103.94</v>
      </c>
      <c r="I1123" s="1">
        <v>299.44</v>
      </c>
      <c r="J1123" s="16">
        <v>268147.36209656729</v>
      </c>
      <c r="K1123" s="5">
        <v>3.5479769860839956E-2</v>
      </c>
      <c r="L1123" s="10">
        <v>141729.50020000001</v>
      </c>
    </row>
    <row r="1124" spans="1:12" x14ac:dyDescent="0.25">
      <c r="A1124">
        <v>1123</v>
      </c>
      <c r="B1124" s="3">
        <v>0.23561091826303587</v>
      </c>
      <c r="C1124" s="3">
        <v>6.719665990039575E-2</v>
      </c>
      <c r="D1124" s="1">
        <v>210984.031149491</v>
      </c>
      <c r="E1124" s="1">
        <v>15131439</v>
      </c>
      <c r="F1124" s="1">
        <v>48585349</v>
      </c>
      <c r="G1124" s="16">
        <v>16004.48096773685</v>
      </c>
      <c r="H1124">
        <v>157.94999999999999</v>
      </c>
      <c r="I1124" s="1">
        <v>451.59</v>
      </c>
      <c r="J1124" s="16">
        <v>226988.51211722786</v>
      </c>
      <c r="K1124" s="5">
        <v>0.10284536856338372</v>
      </c>
      <c r="L1124" s="10">
        <v>258046.42739999999</v>
      </c>
    </row>
    <row r="1125" spans="1:12" x14ac:dyDescent="0.25">
      <c r="A1125">
        <v>1124</v>
      </c>
      <c r="B1125" s="3">
        <v>0.12358784842923462</v>
      </c>
      <c r="C1125" s="3">
        <v>3.8219036408526585E-2</v>
      </c>
      <c r="D1125" s="1">
        <v>143166.02930835157</v>
      </c>
      <c r="E1125" s="1">
        <v>3980318</v>
      </c>
      <c r="F1125" s="1">
        <v>15017849</v>
      </c>
      <c r="G1125" s="16">
        <v>42748.304422496381</v>
      </c>
      <c r="H1125">
        <v>162.15</v>
      </c>
      <c r="I1125" s="1">
        <v>512.35</v>
      </c>
      <c r="J1125" s="16">
        <v>185914.33373084795</v>
      </c>
      <c r="K1125" s="5">
        <v>0.11767460051037854</v>
      </c>
      <c r="L1125" s="10">
        <v>458519.31170000002</v>
      </c>
    </row>
    <row r="1126" spans="1:12" x14ac:dyDescent="0.25">
      <c r="A1126">
        <v>1125</v>
      </c>
      <c r="B1126" s="3">
        <v>0.11058928158076375</v>
      </c>
      <c r="C1126" s="3">
        <v>5.0205776053887666E-2</v>
      </c>
      <c r="D1126" s="1">
        <v>470330.70238126838</v>
      </c>
      <c r="E1126" s="1">
        <v>15815917</v>
      </c>
      <c r="F1126" s="1">
        <v>54872569</v>
      </c>
      <c r="G1126" s="16">
        <v>45784.775971122923</v>
      </c>
      <c r="H1126">
        <v>156.52000000000001</v>
      </c>
      <c r="I1126" s="1">
        <v>389.75</v>
      </c>
      <c r="J1126" s="16">
        <v>516115.47835239128</v>
      </c>
      <c r="K1126" s="5">
        <v>0.18513339417163335</v>
      </c>
      <c r="L1126" s="10">
        <v>1424355.0231999999</v>
      </c>
    </row>
    <row r="1127" spans="1:12" x14ac:dyDescent="0.25">
      <c r="A1127">
        <v>1126</v>
      </c>
      <c r="B1127" s="3">
        <v>0.17733373639144306</v>
      </c>
      <c r="C1127" s="3">
        <v>6.5212170922407803E-2</v>
      </c>
      <c r="D1127" s="1">
        <v>152243.01078874673</v>
      </c>
      <c r="E1127" s="1">
        <v>6220788</v>
      </c>
      <c r="F1127" s="1">
        <v>28591486</v>
      </c>
      <c r="G1127" s="16">
        <v>22866.463147310002</v>
      </c>
      <c r="H1127">
        <v>110.96</v>
      </c>
      <c r="I1127" s="1">
        <v>359.19</v>
      </c>
      <c r="J1127" s="16">
        <v>175109.47393605672</v>
      </c>
      <c r="K1127" s="5">
        <v>0.21532872269714934</v>
      </c>
      <c r="L1127" s="10">
        <v>387088.46159999998</v>
      </c>
    </row>
    <row r="1128" spans="1:12" x14ac:dyDescent="0.25">
      <c r="A1128">
        <v>1127</v>
      </c>
      <c r="B1128" s="3">
        <v>0.13820296195437062</v>
      </c>
      <c r="C1128" s="3">
        <v>2.2758809072013737E-2</v>
      </c>
      <c r="D1128" s="1">
        <v>338722.36444095481</v>
      </c>
      <c r="E1128" s="1">
        <v>11492822</v>
      </c>
      <c r="F1128" s="1">
        <v>34480656</v>
      </c>
      <c r="G1128" s="16">
        <v>26774.556701404756</v>
      </c>
      <c r="H1128">
        <v>98.27</v>
      </c>
      <c r="I1128" s="1">
        <v>309.36</v>
      </c>
      <c r="J1128" s="16">
        <v>365496.92114235956</v>
      </c>
      <c r="K1128" s="5">
        <v>0.15391336506773251</v>
      </c>
      <c r="L1128" s="10">
        <v>2137194.2343000001</v>
      </c>
    </row>
    <row r="1129" spans="1:12" x14ac:dyDescent="0.25">
      <c r="A1129">
        <v>1128</v>
      </c>
      <c r="B1129" s="3">
        <v>0.17530159852378618</v>
      </c>
      <c r="C1129" s="3">
        <v>7.0302353300565848E-2</v>
      </c>
      <c r="D1129" s="1">
        <v>331994.950463822</v>
      </c>
      <c r="E1129" s="1">
        <v>13432400</v>
      </c>
      <c r="F1129" s="1">
        <v>40822246</v>
      </c>
      <c r="G1129" s="16">
        <v>17423.570531658836</v>
      </c>
      <c r="H1129">
        <v>83.38</v>
      </c>
      <c r="I1129" s="1">
        <v>291.15999999999997</v>
      </c>
      <c r="J1129" s="16">
        <v>349418.52099548082</v>
      </c>
      <c r="K1129" s="5">
        <v>0.19550321127592121</v>
      </c>
      <c r="L1129" s="10">
        <v>637332.88489999995</v>
      </c>
    </row>
    <row r="1130" spans="1:12" x14ac:dyDescent="0.25">
      <c r="A1130">
        <v>1129</v>
      </c>
      <c r="B1130" s="3">
        <v>0.17987622586565322</v>
      </c>
      <c r="C1130" s="3">
        <v>3.8002296147128453E-2</v>
      </c>
      <c r="D1130" s="1">
        <v>75864.755647319806</v>
      </c>
      <c r="E1130" s="1">
        <v>2573978</v>
      </c>
      <c r="F1130" s="1">
        <v>16065471</v>
      </c>
      <c r="G1130" s="16">
        <v>17923.61754697554</v>
      </c>
      <c r="H1130">
        <v>88.6</v>
      </c>
      <c r="I1130" s="1">
        <v>263.07</v>
      </c>
      <c r="J1130" s="16">
        <v>93788.373194295345</v>
      </c>
      <c r="K1130" s="5">
        <v>0.1076812938804238</v>
      </c>
      <c r="L1130" s="10">
        <v>244905.1514</v>
      </c>
    </row>
    <row r="1131" spans="1:12" x14ac:dyDescent="0.25">
      <c r="A1131">
        <v>1130</v>
      </c>
      <c r="B1131" s="3">
        <v>0.23076763861631058</v>
      </c>
      <c r="C1131" s="3">
        <v>2.2512875968597822E-2</v>
      </c>
      <c r="D1131" s="1">
        <v>226939.47493781103</v>
      </c>
      <c r="E1131" s="1">
        <v>15769769</v>
      </c>
      <c r="F1131" s="1">
        <v>74941156</v>
      </c>
      <c r="G1131" s="16">
        <v>16946.018478771923</v>
      </c>
      <c r="H1131">
        <v>123</v>
      </c>
      <c r="I1131" s="1">
        <v>369.63</v>
      </c>
      <c r="J1131" s="16">
        <v>243885.49341658296</v>
      </c>
      <c r="K1131" s="5">
        <v>-0.10191308358219653</v>
      </c>
      <c r="L1131" s="10">
        <v>-964157.76500000001</v>
      </c>
    </row>
    <row r="1132" spans="1:12" x14ac:dyDescent="0.25">
      <c r="A1132">
        <v>1131</v>
      </c>
      <c r="B1132" s="3">
        <v>0.18333385441535371</v>
      </c>
      <c r="C1132" s="3">
        <v>6.7570766353123077E-2</v>
      </c>
      <c r="D1132" s="1">
        <v>152372.41437466224</v>
      </c>
      <c r="E1132" s="1">
        <v>5235717</v>
      </c>
      <c r="F1132" s="1">
        <v>20436072</v>
      </c>
      <c r="G1132" s="16">
        <v>24514.660120760163</v>
      </c>
      <c r="H1132">
        <v>152.15</v>
      </c>
      <c r="I1132" s="1">
        <v>461.72</v>
      </c>
      <c r="J1132" s="16">
        <v>176887.07449542242</v>
      </c>
      <c r="K1132" s="5">
        <v>0.15214765884310016</v>
      </c>
      <c r="L1132" s="10">
        <v>269092.8566</v>
      </c>
    </row>
    <row r="1133" spans="1:12" x14ac:dyDescent="0.25">
      <c r="A1133">
        <v>1132</v>
      </c>
      <c r="B1133" s="3">
        <v>0.1840367949787875</v>
      </c>
      <c r="C1133" s="3">
        <v>3.0652433931163701E-2</v>
      </c>
      <c r="D1133" s="1">
        <v>404668.06984987913</v>
      </c>
      <c r="E1133" s="1">
        <v>25661284</v>
      </c>
      <c r="F1133" s="1">
        <v>89550728</v>
      </c>
      <c r="G1133" s="16">
        <v>29398.039634086821</v>
      </c>
      <c r="H1133">
        <v>183.72</v>
      </c>
      <c r="I1133" s="1">
        <v>733.5</v>
      </c>
      <c r="J1133" s="16">
        <v>434066.10948396596</v>
      </c>
      <c r="K1133" s="5">
        <v>0.12649989592193245</v>
      </c>
      <c r="L1133" s="10">
        <v>1548933.3692000001</v>
      </c>
    </row>
    <row r="1134" spans="1:12" x14ac:dyDescent="0.25">
      <c r="A1134">
        <v>1133</v>
      </c>
      <c r="B1134" s="3">
        <v>0.13765144302521284</v>
      </c>
      <c r="C1134" s="3">
        <v>6.4435721091949047E-2</v>
      </c>
      <c r="D1134" s="1">
        <v>283115.35366973758</v>
      </c>
      <c r="E1134" s="1">
        <v>9581536</v>
      </c>
      <c r="F1134" s="1">
        <v>33800416</v>
      </c>
      <c r="G1134" s="16">
        <v>47736.810442031579</v>
      </c>
      <c r="H1134">
        <v>202.4</v>
      </c>
      <c r="I1134" s="1">
        <v>639.63</v>
      </c>
      <c r="J1134" s="16">
        <v>330852.16411176918</v>
      </c>
      <c r="K1134" s="5">
        <v>0.3189957420220127</v>
      </c>
      <c r="L1134" s="10">
        <v>1110968.6105</v>
      </c>
    </row>
    <row r="1135" spans="1:12" x14ac:dyDescent="0.25">
      <c r="A1135">
        <v>1134</v>
      </c>
      <c r="B1135" s="3">
        <v>0.16832462863296632</v>
      </c>
      <c r="C1135" s="3">
        <v>6.9452601149137927E-2</v>
      </c>
      <c r="D1135" s="1">
        <v>170899.06969137405</v>
      </c>
      <c r="E1135" s="1">
        <v>6685391</v>
      </c>
      <c r="F1135" s="1">
        <v>32573604</v>
      </c>
      <c r="G1135" s="16">
        <v>18637.402301332138</v>
      </c>
      <c r="H1135">
        <v>84.68</v>
      </c>
      <c r="I1135" s="1">
        <v>282.18000000000006</v>
      </c>
      <c r="J1135" s="16">
        <v>189536.47199270618</v>
      </c>
      <c r="K1135" s="5">
        <v>9.0684093839580149E-2</v>
      </c>
      <c r="L1135" s="10">
        <v>217197.03150000001</v>
      </c>
    </row>
    <row r="1136" spans="1:12" x14ac:dyDescent="0.25">
      <c r="A1136">
        <v>1135</v>
      </c>
      <c r="B1136" s="3">
        <v>0.14308114207627465</v>
      </c>
      <c r="C1136" s="3">
        <v>6.5047617322733522E-2</v>
      </c>
      <c r="D1136" s="1">
        <v>43594.775824898003</v>
      </c>
      <c r="E1136" s="1">
        <v>1296636</v>
      </c>
      <c r="F1136" s="1">
        <v>13365369</v>
      </c>
      <c r="G1136" s="16">
        <v>32498.581347551077</v>
      </c>
      <c r="H1136">
        <v>144.35</v>
      </c>
      <c r="I1136" s="1">
        <v>482.12</v>
      </c>
      <c r="J1136" s="16">
        <v>76093.357172449076</v>
      </c>
      <c r="K1136" s="5">
        <v>-8.6704109792654742E-3</v>
      </c>
      <c r="L1136" s="10">
        <v>-8430.0743999999995</v>
      </c>
    </row>
    <row r="1137" spans="1:12" x14ac:dyDescent="0.25">
      <c r="A1137">
        <v>1136</v>
      </c>
      <c r="B1137" s="3">
        <v>0.17955025902794758</v>
      </c>
      <c r="C1137" s="3">
        <v>2.4101971305200399E-2</v>
      </c>
      <c r="D1137" s="1">
        <v>64279.435358846138</v>
      </c>
      <c r="E1137" s="1">
        <v>1787187</v>
      </c>
      <c r="F1137" s="1">
        <v>10269385</v>
      </c>
      <c r="G1137" s="16">
        <v>48468.011202803558</v>
      </c>
      <c r="H1137">
        <v>354.48</v>
      </c>
      <c r="I1137" s="1">
        <v>862.51</v>
      </c>
      <c r="J1137" s="16">
        <v>112747.4465616497</v>
      </c>
      <c r="K1137" s="5">
        <v>0.10118287379539748</v>
      </c>
      <c r="L1137" s="10">
        <v>433262.31939999998</v>
      </c>
    </row>
    <row r="1138" spans="1:12" x14ac:dyDescent="0.25">
      <c r="A1138">
        <v>1137</v>
      </c>
      <c r="B1138" s="3">
        <v>0.14041254571926309</v>
      </c>
      <c r="C1138" s="3">
        <v>2.14869988683201E-2</v>
      </c>
      <c r="D1138" s="1">
        <v>298091.4217026293</v>
      </c>
      <c r="E1138" s="1">
        <v>11887818</v>
      </c>
      <c r="F1138" s="1">
        <v>44542655</v>
      </c>
      <c r="G1138" s="16">
        <v>42004.689029323745</v>
      </c>
      <c r="H1138">
        <v>182.15</v>
      </c>
      <c r="I1138" s="1">
        <v>531.98</v>
      </c>
      <c r="J1138" s="16">
        <v>340096.11073195306</v>
      </c>
      <c r="K1138" s="5">
        <v>-3.096032257016201E-2</v>
      </c>
      <c r="L1138" s="10">
        <v>-422355.50189999997</v>
      </c>
    </row>
    <row r="1139" spans="1:12" x14ac:dyDescent="0.25">
      <c r="A1139">
        <v>1138</v>
      </c>
      <c r="B1139" s="3">
        <v>0.22745968256713003</v>
      </c>
      <c r="C1139" s="3">
        <v>2.7565478600530859E-2</v>
      </c>
      <c r="D1139" s="1">
        <v>82528.660827111773</v>
      </c>
      <c r="E1139" s="1">
        <v>3349996</v>
      </c>
      <c r="F1139" s="1">
        <v>18387867</v>
      </c>
      <c r="G1139" s="16">
        <v>8941.7244368546253</v>
      </c>
      <c r="H1139">
        <v>63.25</v>
      </c>
      <c r="I1139" s="1">
        <v>225.29000000000002</v>
      </c>
      <c r="J1139" s="16">
        <v>91470.385263966396</v>
      </c>
      <c r="K1139" s="5">
        <v>-2.7502919682202195E-2</v>
      </c>
      <c r="L1139" s="10">
        <v>-68685.819699999993</v>
      </c>
    </row>
    <row r="1140" spans="1:12" x14ac:dyDescent="0.25">
      <c r="A1140">
        <v>1139</v>
      </c>
      <c r="B1140" s="3">
        <v>0.10309720579251822</v>
      </c>
      <c r="C1140" s="3">
        <v>5.4421631188652467E-2</v>
      </c>
      <c r="D1140" s="1">
        <v>107026.51396143383</v>
      </c>
      <c r="E1140" s="1">
        <v>2776242</v>
      </c>
      <c r="F1140" s="1">
        <v>15110254</v>
      </c>
      <c r="G1140" s="16">
        <v>47788.44948006481</v>
      </c>
      <c r="H1140">
        <v>153.96</v>
      </c>
      <c r="I1140" s="1">
        <v>427.93000000000006</v>
      </c>
      <c r="J1140" s="16">
        <v>154814.96344149864</v>
      </c>
      <c r="K1140" s="5">
        <v>5.056987783694912E-2</v>
      </c>
      <c r="L1140" s="10">
        <v>115753.973</v>
      </c>
    </row>
    <row r="1141" spans="1:12" x14ac:dyDescent="0.25">
      <c r="A1141">
        <v>1140</v>
      </c>
      <c r="B1141" s="3">
        <v>0.23831076032153622</v>
      </c>
      <c r="C1141" s="3">
        <v>5.249532357265832E-2</v>
      </c>
      <c r="D1141" s="1">
        <v>129052.59763204916</v>
      </c>
      <c r="E1141" s="1">
        <v>5465580</v>
      </c>
      <c r="F1141" s="1">
        <v>20222580</v>
      </c>
      <c r="G1141" s="16">
        <v>27476.699981550722</v>
      </c>
      <c r="H1141">
        <v>364.81</v>
      </c>
      <c r="I1141" s="1">
        <v>1066.07</v>
      </c>
      <c r="J1141" s="16">
        <v>156529.29761359989</v>
      </c>
      <c r="K1141" s="5">
        <v>4.6297394018216163E-2</v>
      </c>
      <c r="L1141" s="10">
        <v>117049.0488</v>
      </c>
    </row>
    <row r="1142" spans="1:12" x14ac:dyDescent="0.25">
      <c r="A1142">
        <v>1141</v>
      </c>
      <c r="B1142" s="3">
        <v>0.113332745106558</v>
      </c>
      <c r="C1142" s="3">
        <v>6.1440081671319077E-2</v>
      </c>
      <c r="D1142" s="1">
        <v>302546.5355758621</v>
      </c>
      <c r="E1142" s="1">
        <v>9161200</v>
      </c>
      <c r="F1142" s="1">
        <v>32790238</v>
      </c>
      <c r="G1142" s="16">
        <v>19757.473203128906</v>
      </c>
      <c r="H1142">
        <v>54.21</v>
      </c>
      <c r="I1142" s="1">
        <v>185.77</v>
      </c>
      <c r="J1142" s="16">
        <v>322304.008778991</v>
      </c>
      <c r="K1142" s="5">
        <v>0.22526539215181113</v>
      </c>
      <c r="L1142" s="10">
        <v>859062.19909999997</v>
      </c>
    </row>
    <row r="1143" spans="1:12" x14ac:dyDescent="0.25">
      <c r="A1143">
        <v>1142</v>
      </c>
      <c r="B1143" s="3">
        <v>0.22197363245692714</v>
      </c>
      <c r="C1143" s="3">
        <v>4.106022470819716E-2</v>
      </c>
      <c r="D1143" s="1">
        <v>30756.368025415399</v>
      </c>
      <c r="E1143" s="1">
        <v>950932</v>
      </c>
      <c r="F1143" s="1">
        <v>9528493</v>
      </c>
      <c r="G1143" s="16">
        <v>14868.88473805556</v>
      </c>
      <c r="H1143">
        <v>129.52000000000001</v>
      </c>
      <c r="I1143" s="1">
        <v>495.88</v>
      </c>
      <c r="J1143" s="16">
        <v>45625.252763470955</v>
      </c>
      <c r="K1143" s="5">
        <v>0.16986349205013229</v>
      </c>
      <c r="L1143" s="10">
        <v>161026.09239999999</v>
      </c>
    </row>
    <row r="1144" spans="1:12" x14ac:dyDescent="0.25">
      <c r="A1144">
        <v>1143</v>
      </c>
      <c r="B1144" s="3">
        <v>0.2450487815490168</v>
      </c>
      <c r="C1144" s="3">
        <v>5.9796264118401776E-2</v>
      </c>
      <c r="D1144" s="1">
        <v>27492.808541491628</v>
      </c>
      <c r="E1144" s="1">
        <v>1195819</v>
      </c>
      <c r="F1144" s="1">
        <v>13529379</v>
      </c>
      <c r="G1144" s="16">
        <v>28594.002687216605</v>
      </c>
      <c r="H1144">
        <v>408.02</v>
      </c>
      <c r="I1144" s="1">
        <v>1018.2</v>
      </c>
      <c r="J1144" s="16">
        <v>56086.811228708233</v>
      </c>
      <c r="K1144" s="5">
        <v>0.27653058732599695</v>
      </c>
      <c r="L1144" s="10">
        <v>207393.7568</v>
      </c>
    </row>
    <row r="1145" spans="1:12" x14ac:dyDescent="0.25">
      <c r="A1145">
        <v>1144</v>
      </c>
      <c r="B1145" s="3">
        <v>0.18765748366444468</v>
      </c>
      <c r="C1145" s="3">
        <v>5.2457978167758587E-2</v>
      </c>
      <c r="D1145" s="1">
        <v>160507.28299350652</v>
      </c>
      <c r="E1145" s="1">
        <v>6898279</v>
      </c>
      <c r="F1145" s="1">
        <v>26523096</v>
      </c>
      <c r="G1145" s="16">
        <v>37978.311481469776</v>
      </c>
      <c r="H1145">
        <v>245.13</v>
      </c>
      <c r="I1145" s="1">
        <v>626.59</v>
      </c>
      <c r="J1145" s="16">
        <v>198485.5944749763</v>
      </c>
      <c r="K1145" s="5">
        <v>0.11823314566033236</v>
      </c>
      <c r="L1145" s="10">
        <v>330559.26409999997</v>
      </c>
    </row>
    <row r="1146" spans="1:12" x14ac:dyDescent="0.25">
      <c r="A1146">
        <v>1145</v>
      </c>
      <c r="B1146" s="3">
        <v>0.12220603499317387</v>
      </c>
      <c r="C1146" s="3">
        <v>2.0185038060220602E-2</v>
      </c>
      <c r="D1146" s="1">
        <v>40912.414548033441</v>
      </c>
      <c r="E1146" s="1">
        <v>993739</v>
      </c>
      <c r="F1146" s="1">
        <v>10569987</v>
      </c>
      <c r="G1146" s="16">
        <v>34118.032114111702</v>
      </c>
      <c r="H1146">
        <v>112.4</v>
      </c>
      <c r="I1146" s="1">
        <v>324.91999999999996</v>
      </c>
      <c r="J1146" s="16">
        <v>75030.446662145143</v>
      </c>
      <c r="K1146" s="5">
        <v>-2.5020157115233282E-2</v>
      </c>
      <c r="L1146" s="10">
        <v>-51607.739699999998</v>
      </c>
    </row>
    <row r="1147" spans="1:12" x14ac:dyDescent="0.25">
      <c r="A1147">
        <v>1146</v>
      </c>
      <c r="B1147" s="3">
        <v>0.19425341199505497</v>
      </c>
      <c r="C1147" s="3">
        <v>7.0775563214329804E-2</v>
      </c>
      <c r="D1147" s="1">
        <v>291801.09352518857</v>
      </c>
      <c r="E1147" s="1">
        <v>16080417</v>
      </c>
      <c r="F1147" s="1">
        <v>49719007</v>
      </c>
      <c r="G1147" s="16">
        <v>14133.063275941548</v>
      </c>
      <c r="H1147">
        <v>77.77</v>
      </c>
      <c r="I1147" s="1">
        <v>250.22999999999996</v>
      </c>
      <c r="J1147" s="16">
        <v>305934.1568011301</v>
      </c>
      <c r="K1147" s="5">
        <v>-1.1708148976445509E-2</v>
      </c>
      <c r="L1147" s="10">
        <v>-6373.9332000000004</v>
      </c>
    </row>
    <row r="1148" spans="1:12" x14ac:dyDescent="0.25">
      <c r="A1148">
        <v>1147</v>
      </c>
      <c r="B1148" s="3">
        <v>0.1618815457490238</v>
      </c>
      <c r="C1148" s="3">
        <v>7.2340863640074082E-2</v>
      </c>
      <c r="D1148" s="1">
        <v>115648.37509961243</v>
      </c>
      <c r="E1148" s="1">
        <v>4386524</v>
      </c>
      <c r="F1148" s="1">
        <v>27562453</v>
      </c>
      <c r="G1148" s="16">
        <v>64897.761711386971</v>
      </c>
      <c r="H1148">
        <v>401.09</v>
      </c>
      <c r="I1148" s="1">
        <v>1006.4799999999998</v>
      </c>
      <c r="J1148" s="16">
        <v>180546.13681099939</v>
      </c>
      <c r="K1148" s="5">
        <v>7.5703097795486882E-2</v>
      </c>
      <c r="L1148" s="10">
        <v>156148.68909999999</v>
      </c>
    </row>
    <row r="1149" spans="1:12" x14ac:dyDescent="0.25">
      <c r="A1149">
        <v>1148</v>
      </c>
      <c r="B1149" s="3">
        <v>0.15211688689593533</v>
      </c>
      <c r="C1149" s="3">
        <v>2.180770822674517E-2</v>
      </c>
      <c r="D1149" s="1">
        <v>148390.47249234174</v>
      </c>
      <c r="E1149" s="1">
        <v>5373593</v>
      </c>
      <c r="F1149" s="1">
        <v>24502530</v>
      </c>
      <c r="G1149" s="16">
        <v>44976.652255180561</v>
      </c>
      <c r="H1149">
        <v>253.48</v>
      </c>
      <c r="I1149" s="1">
        <v>796.73</v>
      </c>
      <c r="J1149" s="16">
        <v>193367.12474752229</v>
      </c>
      <c r="K1149" s="5">
        <v>0.17692587973393506</v>
      </c>
      <c r="L1149" s="10">
        <v>1393697.0373</v>
      </c>
    </row>
    <row r="1150" spans="1:12" x14ac:dyDescent="0.25">
      <c r="A1150">
        <v>1149</v>
      </c>
      <c r="B1150" s="3">
        <v>0.15838755366261809</v>
      </c>
      <c r="C1150" s="3">
        <v>3.54607194114527E-2</v>
      </c>
      <c r="D1150" s="1">
        <v>206180.36548958009</v>
      </c>
      <c r="E1150" s="1">
        <v>7691331</v>
      </c>
      <c r="F1150" s="1">
        <v>24823885</v>
      </c>
      <c r="G1150" s="16">
        <v>22001.841300863649</v>
      </c>
      <c r="H1150">
        <v>110.84</v>
      </c>
      <c r="I1150" s="1">
        <v>441.99</v>
      </c>
      <c r="J1150" s="16">
        <v>228182.20679044374</v>
      </c>
      <c r="K1150" s="5">
        <v>0.10270008707320874</v>
      </c>
      <c r="L1150" s="10">
        <v>527152.35719999997</v>
      </c>
    </row>
    <row r="1151" spans="1:12" x14ac:dyDescent="0.25">
      <c r="A1151">
        <v>1150</v>
      </c>
      <c r="B1151" s="3">
        <v>0.22434991675225435</v>
      </c>
      <c r="C1151" s="3">
        <v>3.1172911620968056E-2</v>
      </c>
      <c r="D1151" s="1">
        <v>47246.198888814055</v>
      </c>
      <c r="E1151" s="1">
        <v>1469735</v>
      </c>
      <c r="F1151" s="1">
        <v>10294072</v>
      </c>
      <c r="G1151" s="16">
        <v>18792.03905438356</v>
      </c>
      <c r="H1151">
        <v>129.47999999999999</v>
      </c>
      <c r="I1151" s="1">
        <v>308.79999999999995</v>
      </c>
      <c r="J1151" s="16">
        <v>66038.237943197615</v>
      </c>
      <c r="K1151" s="5">
        <v>-1.8229112222410183E-2</v>
      </c>
      <c r="L1151" s="10">
        <v>-18945.314600000002</v>
      </c>
    </row>
    <row r="1152" spans="1:12" x14ac:dyDescent="0.25">
      <c r="A1152">
        <v>1151</v>
      </c>
      <c r="B1152" s="3">
        <v>0.13883870952222876</v>
      </c>
      <c r="C1152" s="3">
        <v>4.1026475081309965E-2</v>
      </c>
      <c r="D1152" s="1">
        <v>243459.21439600416</v>
      </c>
      <c r="E1152" s="1">
        <v>8284976</v>
      </c>
      <c r="F1152" s="1">
        <v>41738870</v>
      </c>
      <c r="G1152" s="16">
        <v>50053.453173400107</v>
      </c>
      <c r="H1152">
        <v>248.93</v>
      </c>
      <c r="I1152" s="1">
        <v>979.65000000000009</v>
      </c>
      <c r="J1152" s="16">
        <v>293512.66756940424</v>
      </c>
      <c r="K1152" s="5">
        <v>0.18091735520031699</v>
      </c>
      <c r="L1152" s="10">
        <v>1078434.5430999999</v>
      </c>
    </row>
    <row r="1153" spans="1:12" x14ac:dyDescent="0.25">
      <c r="A1153">
        <v>1152</v>
      </c>
      <c r="B1153" s="3">
        <v>0.11033366973789793</v>
      </c>
      <c r="C1153" s="3">
        <v>6.5239148108163447E-2</v>
      </c>
      <c r="D1153" s="1">
        <v>281521.7684157156</v>
      </c>
      <c r="E1153" s="1">
        <v>8410197</v>
      </c>
      <c r="F1153" s="1">
        <v>34597744</v>
      </c>
      <c r="G1153" s="16">
        <v>29122.642527031076</v>
      </c>
      <c r="H1153">
        <v>88.43</v>
      </c>
      <c r="I1153" s="1">
        <v>375.47</v>
      </c>
      <c r="J1153" s="16">
        <v>310644.41094274668</v>
      </c>
      <c r="K1153" s="5">
        <v>4.1708801369082761E-2</v>
      </c>
      <c r="L1153" s="10">
        <v>175456.0477</v>
      </c>
    </row>
    <row r="1154" spans="1:12" x14ac:dyDescent="0.25">
      <c r="A1154">
        <v>1153</v>
      </c>
      <c r="B1154" s="3">
        <v>0.12856168461164996</v>
      </c>
      <c r="C1154" s="3">
        <v>7.9172891431587233E-2</v>
      </c>
      <c r="D1154" s="1">
        <v>63098.424817751729</v>
      </c>
      <c r="E1154" s="1">
        <v>1784482</v>
      </c>
      <c r="F1154" s="1">
        <v>13800656</v>
      </c>
      <c r="G1154" s="16">
        <v>33282.121312338953</v>
      </c>
      <c r="H1154">
        <v>114.2</v>
      </c>
      <c r="I1154" s="1">
        <v>324.88</v>
      </c>
      <c r="J1154" s="16">
        <v>96380.54613009069</v>
      </c>
      <c r="K1154" s="5">
        <v>0.14754597132977554</v>
      </c>
      <c r="L1154" s="10">
        <v>128849.5659</v>
      </c>
    </row>
    <row r="1155" spans="1:12" x14ac:dyDescent="0.25">
      <c r="A1155">
        <v>1154</v>
      </c>
      <c r="B1155" s="3">
        <v>0.15466769115266923</v>
      </c>
      <c r="C1155" s="3">
        <v>5.7507688420028971E-2</v>
      </c>
      <c r="D1155" s="1">
        <v>86297.626606724691</v>
      </c>
      <c r="E1155" s="1">
        <v>2673741</v>
      </c>
      <c r="F1155" s="1">
        <v>20280672</v>
      </c>
      <c r="G1155" s="16">
        <v>30513.963210252641</v>
      </c>
      <c r="H1155">
        <v>125.93</v>
      </c>
      <c r="I1155" s="1">
        <v>347.39</v>
      </c>
      <c r="J1155" s="16">
        <v>116811.58981697733</v>
      </c>
      <c r="K1155" s="5">
        <v>0.20665533182930035</v>
      </c>
      <c r="L1155" s="10">
        <v>333167.51860000001</v>
      </c>
    </row>
    <row r="1156" spans="1:12" x14ac:dyDescent="0.25">
      <c r="A1156">
        <v>1155</v>
      </c>
      <c r="B1156" s="3">
        <v>0.21599069014024305</v>
      </c>
      <c r="C1156" s="3">
        <v>7.6553791028181814E-2</v>
      </c>
      <c r="D1156" s="1">
        <v>48953.331408747115</v>
      </c>
      <c r="E1156" s="1">
        <v>1490536</v>
      </c>
      <c r="F1156" s="1">
        <v>9665058</v>
      </c>
      <c r="G1156" s="16">
        <v>10976.0128570415</v>
      </c>
      <c r="H1156">
        <v>71.08</v>
      </c>
      <c r="I1156" s="1">
        <v>237.39999999999998</v>
      </c>
      <c r="J1156" s="16">
        <v>59929.344265788619</v>
      </c>
      <c r="K1156" s="5">
        <v>4.6579021889678031E-2</v>
      </c>
      <c r="L1156" s="10">
        <v>36710.753700000001</v>
      </c>
    </row>
    <row r="1157" spans="1:12" x14ac:dyDescent="0.25">
      <c r="A1157">
        <v>1156</v>
      </c>
      <c r="B1157" s="3">
        <v>0.13883470264363193</v>
      </c>
      <c r="C1157" s="3">
        <v>6.1740507998966715E-2</v>
      </c>
      <c r="D1157" s="1">
        <v>92435.804366273631</v>
      </c>
      <c r="E1157" s="1">
        <v>2708837</v>
      </c>
      <c r="F1157" s="1">
        <v>13511864</v>
      </c>
      <c r="G1157" s="16">
        <v>17064.908687680272</v>
      </c>
      <c r="H1157">
        <v>62.88</v>
      </c>
      <c r="I1157" s="1">
        <v>276.36</v>
      </c>
      <c r="J1157" s="16">
        <v>109500.71305395391</v>
      </c>
      <c r="K1157" s="5">
        <v>-2.4603862952276359E-2</v>
      </c>
      <c r="L1157" s="10">
        <v>-7024.7245000000003</v>
      </c>
    </row>
    <row r="1158" spans="1:12" x14ac:dyDescent="0.25">
      <c r="A1158">
        <v>1157</v>
      </c>
      <c r="B1158" s="3">
        <v>0.1501023943826324</v>
      </c>
      <c r="C1158" s="3">
        <v>2.260824137613416E-2</v>
      </c>
      <c r="D1158" s="1">
        <v>98589.819219113953</v>
      </c>
      <c r="E1158" s="1">
        <v>3005624</v>
      </c>
      <c r="F1158" s="1">
        <v>16258917</v>
      </c>
      <c r="G1158" s="16">
        <v>58615.993842470409</v>
      </c>
      <c r="H1158">
        <v>324.10000000000002</v>
      </c>
      <c r="I1158" s="1">
        <v>786.78</v>
      </c>
      <c r="J1158" s="16">
        <v>157205.81306158437</v>
      </c>
      <c r="K1158" s="5">
        <v>7.5729093864264546E-2</v>
      </c>
      <c r="L1158" s="10">
        <v>483092.05379999999</v>
      </c>
    </row>
    <row r="1159" spans="1:12" x14ac:dyDescent="0.25">
      <c r="A1159">
        <v>1158</v>
      </c>
      <c r="B1159" s="3">
        <v>0.10330288403898519</v>
      </c>
      <c r="C1159" s="3">
        <v>4.8366125101858844E-2</v>
      </c>
      <c r="D1159" s="1">
        <v>583416.5989421343</v>
      </c>
      <c r="E1159" s="1">
        <v>18834438</v>
      </c>
      <c r="F1159" s="1">
        <v>54419863</v>
      </c>
      <c r="G1159" s="16">
        <v>16610.236275582309</v>
      </c>
      <c r="H1159">
        <v>43.15</v>
      </c>
      <c r="I1159" s="1">
        <v>165.79</v>
      </c>
      <c r="J1159" s="16">
        <v>600026.83521771664</v>
      </c>
      <c r="K1159" s="5">
        <v>0.17478807619937181</v>
      </c>
      <c r="L1159" s="10">
        <v>1591876.2715</v>
      </c>
    </row>
    <row r="1160" spans="1:12" x14ac:dyDescent="0.25">
      <c r="A1160">
        <v>1159</v>
      </c>
      <c r="B1160" s="3">
        <v>0.19706908286689184</v>
      </c>
      <c r="C1160" s="3">
        <v>3.3889010501183113E-2</v>
      </c>
      <c r="D1160" s="1">
        <v>95523.607560253149</v>
      </c>
      <c r="E1160" s="1">
        <v>3453647</v>
      </c>
      <c r="F1160" s="1">
        <v>12491909</v>
      </c>
      <c r="G1160" s="16">
        <v>18568.689984423556</v>
      </c>
      <c r="H1160">
        <v>104.38</v>
      </c>
      <c r="I1160" s="1">
        <v>313.79999999999995</v>
      </c>
      <c r="J1160" s="16">
        <v>114092.29754467671</v>
      </c>
      <c r="K1160" s="5">
        <v>0.1953752764017771</v>
      </c>
      <c r="L1160" s="10">
        <v>533304.58440000005</v>
      </c>
    </row>
    <row r="1161" spans="1:12" x14ac:dyDescent="0.25">
      <c r="A1161">
        <v>1160</v>
      </c>
      <c r="B1161" s="3">
        <v>0.20364199567821617</v>
      </c>
      <c r="C1161" s="3">
        <v>7.8413691983947389E-2</v>
      </c>
      <c r="D1161" s="1">
        <v>30566.126832899776</v>
      </c>
      <c r="E1161" s="1">
        <v>1132708</v>
      </c>
      <c r="F1161" s="1">
        <v>12826904</v>
      </c>
      <c r="G1161" s="16">
        <v>21084.708363784779</v>
      </c>
      <c r="H1161">
        <v>156.19</v>
      </c>
      <c r="I1161" s="1">
        <v>683.43000000000006</v>
      </c>
      <c r="J1161" s="16">
        <v>51650.835196684551</v>
      </c>
      <c r="K1161" s="5">
        <v>0.14793811278514712</v>
      </c>
      <c r="L1161" s="10">
        <v>100884.5515</v>
      </c>
    </row>
    <row r="1162" spans="1:12" x14ac:dyDescent="0.25">
      <c r="A1162">
        <v>1161</v>
      </c>
      <c r="B1162" s="3">
        <v>0.22308101598945362</v>
      </c>
      <c r="C1162" s="3">
        <v>2.5470661612264543E-2</v>
      </c>
      <c r="D1162" s="1">
        <v>130033.47749451421</v>
      </c>
      <c r="E1162" s="1">
        <v>8597650</v>
      </c>
      <c r="F1162" s="1">
        <v>43929157</v>
      </c>
      <c r="G1162" s="16">
        <v>22479.340678923909</v>
      </c>
      <c r="H1162">
        <v>254.88</v>
      </c>
      <c r="I1162" s="1">
        <v>794.14</v>
      </c>
      <c r="J1162" s="16">
        <v>152512.81817343814</v>
      </c>
      <c r="K1162" s="5">
        <v>8.8218834490537121E-2</v>
      </c>
      <c r="L1162" s="10">
        <v>511661.46539999999</v>
      </c>
    </row>
    <row r="1163" spans="1:12" x14ac:dyDescent="0.25">
      <c r="A1163">
        <v>1162</v>
      </c>
      <c r="B1163" s="3">
        <v>0.1023935571316871</v>
      </c>
      <c r="C1163" s="3">
        <v>2.35168480816728E-2</v>
      </c>
      <c r="D1163" s="1">
        <v>188598.25300302217</v>
      </c>
      <c r="E1163" s="1">
        <v>5437474</v>
      </c>
      <c r="F1163" s="1">
        <v>23635795</v>
      </c>
      <c r="G1163" s="16">
        <v>112525.11727836102</v>
      </c>
      <c r="H1163">
        <v>401.77</v>
      </c>
      <c r="I1163" s="1">
        <v>1088.7199999999998</v>
      </c>
      <c r="J1163" s="16">
        <v>301123.37028138316</v>
      </c>
      <c r="K1163" s="5">
        <v>5.7505958757309572E-2</v>
      </c>
      <c r="L1163" s="10">
        <v>674575.86620000005</v>
      </c>
    </row>
    <row r="1164" spans="1:12" x14ac:dyDescent="0.25">
      <c r="A1164">
        <v>1163</v>
      </c>
      <c r="B1164" s="3">
        <v>0.16739284824262377</v>
      </c>
      <c r="C1164" s="3">
        <v>2.2029861181507154E-2</v>
      </c>
      <c r="D1164" s="1">
        <v>214918.93710202904</v>
      </c>
      <c r="E1164" s="1">
        <v>8369838</v>
      </c>
      <c r="F1164" s="1">
        <v>31022589</v>
      </c>
      <c r="G1164" s="16">
        <v>38917.311346413117</v>
      </c>
      <c r="H1164">
        <v>211.34</v>
      </c>
      <c r="I1164" s="1">
        <v>633.38</v>
      </c>
      <c r="J1164" s="16">
        <v>253836.24844844214</v>
      </c>
      <c r="K1164" s="5">
        <v>0.15310194243113298</v>
      </c>
      <c r="L1164" s="10">
        <v>1565710.5967000001</v>
      </c>
    </row>
    <row r="1165" spans="1:12" x14ac:dyDescent="0.25">
      <c r="A1165">
        <v>1164</v>
      </c>
      <c r="B1165" s="3">
        <v>0.22892113155996013</v>
      </c>
      <c r="C1165" s="3">
        <v>3.6624221984543875E-2</v>
      </c>
      <c r="D1165" s="1">
        <v>244761.90646975514</v>
      </c>
      <c r="E1165" s="1">
        <v>16805547</v>
      </c>
      <c r="F1165" s="1">
        <v>62130048</v>
      </c>
      <c r="G1165" s="16">
        <v>32084.543895153889</v>
      </c>
      <c r="H1165">
        <v>297.66000000000003</v>
      </c>
      <c r="I1165" s="1">
        <v>757.88</v>
      </c>
      <c r="J1165" s="16">
        <v>276846.45036490902</v>
      </c>
      <c r="K1165" s="5">
        <v>0.14763974659445256</v>
      </c>
      <c r="L1165" s="10">
        <v>890822.53469999996</v>
      </c>
    </row>
    <row r="1166" spans="1:12" x14ac:dyDescent="0.25">
      <c r="A1166">
        <v>1165</v>
      </c>
      <c r="B1166" s="3">
        <v>0.17535560312327625</v>
      </c>
      <c r="C1166" s="3">
        <v>5.1899488575620031E-2</v>
      </c>
      <c r="D1166" s="1">
        <v>219457.11173901131</v>
      </c>
      <c r="E1166" s="1">
        <v>8881479</v>
      </c>
      <c r="F1166" s="1">
        <v>40861195</v>
      </c>
      <c r="G1166" s="16">
        <v>12830.094292906842</v>
      </c>
      <c r="H1166">
        <v>61.44</v>
      </c>
      <c r="I1166" s="1">
        <v>245.51000000000002</v>
      </c>
      <c r="J1166" s="16">
        <v>232287.20603191815</v>
      </c>
      <c r="K1166" s="5">
        <v>7.0201119950820817E-2</v>
      </c>
      <c r="L1166" s="10">
        <v>255472.7512</v>
      </c>
    </row>
    <row r="1167" spans="1:12" x14ac:dyDescent="0.25">
      <c r="A1167">
        <v>1166</v>
      </c>
      <c r="B1167" s="3">
        <v>0.23566070086580881</v>
      </c>
      <c r="C1167" s="3">
        <v>6.4028117448064525E-2</v>
      </c>
      <c r="D1167" s="1">
        <v>162614.23202144224</v>
      </c>
      <c r="E1167" s="1">
        <v>8916967</v>
      </c>
      <c r="F1167" s="1">
        <v>39640896</v>
      </c>
      <c r="G1167" s="16">
        <v>13020.977359159095</v>
      </c>
      <c r="H1167">
        <v>98.31</v>
      </c>
      <c r="I1167" s="1">
        <v>274.51</v>
      </c>
      <c r="J1167" s="16">
        <v>175635.20938060133</v>
      </c>
      <c r="K1167" s="5">
        <v>0.15223741338117236</v>
      </c>
      <c r="L1167" s="10">
        <v>316596.9081</v>
      </c>
    </row>
    <row r="1168" spans="1:12" x14ac:dyDescent="0.25">
      <c r="A1168">
        <v>1167</v>
      </c>
      <c r="B1168" s="3">
        <v>0.19905403902614022</v>
      </c>
      <c r="C1168" s="3">
        <v>3.7538715886267504E-2</v>
      </c>
      <c r="D1168" s="1">
        <v>104531.77634825895</v>
      </c>
      <c r="E1168" s="1">
        <v>4753769</v>
      </c>
      <c r="F1168" s="1">
        <v>23831204</v>
      </c>
      <c r="G1168" s="16">
        <v>24846.79570401859</v>
      </c>
      <c r="H1168">
        <v>176.81</v>
      </c>
      <c r="I1168" s="1">
        <v>579.91000000000008</v>
      </c>
      <c r="J1168" s="16">
        <v>129378.57205227754</v>
      </c>
      <c r="K1168" s="5">
        <v>0.16073616461676776</v>
      </c>
      <c r="L1168" s="10">
        <v>461490.91519999999</v>
      </c>
    </row>
    <row r="1169" spans="1:12" x14ac:dyDescent="0.25">
      <c r="A1169">
        <v>1168</v>
      </c>
      <c r="B1169" s="3">
        <v>0.16202348130021313</v>
      </c>
      <c r="C1169" s="3">
        <v>7.0163390047006016E-2</v>
      </c>
      <c r="D1169" s="1">
        <v>250741.80387571498</v>
      </c>
      <c r="E1169" s="1">
        <v>11357184</v>
      </c>
      <c r="F1169" s="1">
        <v>47874281</v>
      </c>
      <c r="G1169" s="16">
        <v>50615.780607972942</v>
      </c>
      <c r="H1169">
        <v>262.33</v>
      </c>
      <c r="I1169" s="1">
        <v>626.63</v>
      </c>
      <c r="J1169" s="16">
        <v>301357.58448368794</v>
      </c>
      <c r="K1169" s="5">
        <v>0.1331705601919459</v>
      </c>
      <c r="L1169" s="10">
        <v>409397.90659999999</v>
      </c>
    </row>
    <row r="1170" spans="1:12" x14ac:dyDescent="0.25">
      <c r="A1170">
        <v>1169</v>
      </c>
      <c r="B1170" s="3">
        <v>0.133171925943949</v>
      </c>
      <c r="C1170" s="3">
        <v>2.1261307275341292E-2</v>
      </c>
      <c r="D1170" s="1">
        <v>219564.06515457085</v>
      </c>
      <c r="E1170" s="1">
        <v>7278342</v>
      </c>
      <c r="F1170" s="1">
        <v>27660071</v>
      </c>
      <c r="G1170" s="16">
        <v>52208.160020969779</v>
      </c>
      <c r="H1170">
        <v>213.76</v>
      </c>
      <c r="I1170" s="1">
        <v>527.45000000000005</v>
      </c>
      <c r="J1170" s="16">
        <v>271772.22517554066</v>
      </c>
      <c r="K1170" s="5">
        <v>0.12228175785287573</v>
      </c>
      <c r="L1170" s="10">
        <v>1367707.8654</v>
      </c>
    </row>
    <row r="1171" spans="1:12" x14ac:dyDescent="0.25">
      <c r="A1171">
        <v>1170</v>
      </c>
      <c r="B1171" s="3">
        <v>0.19025871474525174</v>
      </c>
      <c r="C1171" s="3">
        <v>4.6555393692176816E-2</v>
      </c>
      <c r="D1171" s="1">
        <v>176868.4111925184</v>
      </c>
      <c r="E1171" s="1">
        <v>7699599</v>
      </c>
      <c r="F1171" s="1">
        <v>25751511</v>
      </c>
      <c r="G1171" s="16">
        <v>17817.2239819606</v>
      </c>
      <c r="H1171">
        <v>95.12</v>
      </c>
      <c r="I1171" s="1">
        <v>288.43</v>
      </c>
      <c r="J1171" s="16">
        <v>194685.63517447899</v>
      </c>
      <c r="K1171" s="5">
        <v>-1.298088135508459E-2</v>
      </c>
      <c r="L1171" s="10">
        <v>-10353.4789</v>
      </c>
    </row>
    <row r="1172" spans="1:12" x14ac:dyDescent="0.25">
      <c r="A1172">
        <v>1171</v>
      </c>
      <c r="B1172" s="3">
        <v>0.17929084102439635</v>
      </c>
      <c r="C1172" s="3">
        <v>6.7223729619521236E-2</v>
      </c>
      <c r="D1172" s="1">
        <v>357859.46532531432</v>
      </c>
      <c r="E1172" s="1">
        <v>17987412</v>
      </c>
      <c r="F1172" s="1">
        <v>52245002</v>
      </c>
      <c r="G1172" s="16">
        <v>19201.544812599514</v>
      </c>
      <c r="H1172">
        <v>94.43</v>
      </c>
      <c r="I1172" s="1">
        <v>365</v>
      </c>
      <c r="J1172" s="16">
        <v>377061.01013791381</v>
      </c>
      <c r="K1172" s="5">
        <v>7.0509650349602812E-2</v>
      </c>
      <c r="L1172" s="10">
        <v>267346.27470000001</v>
      </c>
    </row>
    <row r="1173" spans="1:12" x14ac:dyDescent="0.25">
      <c r="A1173">
        <v>1172</v>
      </c>
      <c r="B1173" s="3">
        <v>0.12817586032400763</v>
      </c>
      <c r="C1173" s="3">
        <v>5.8314240811992157E-2</v>
      </c>
      <c r="D1173" s="1">
        <v>234231.46239583593</v>
      </c>
      <c r="E1173" s="1">
        <v>7588082</v>
      </c>
      <c r="F1173" s="1">
        <v>29756521</v>
      </c>
      <c r="G1173" s="16">
        <v>27515.864551369381</v>
      </c>
      <c r="H1173">
        <v>94.51</v>
      </c>
      <c r="I1173" s="1">
        <v>353.58</v>
      </c>
      <c r="J1173" s="16">
        <v>261747.32694720532</v>
      </c>
      <c r="K1173" s="5">
        <v>-9.4379968205182296E-2</v>
      </c>
      <c r="L1173" s="10">
        <v>-279050.92660000001</v>
      </c>
    </row>
    <row r="1174" spans="1:12" x14ac:dyDescent="0.25">
      <c r="A1174">
        <v>1173</v>
      </c>
      <c r="B1174" s="3">
        <v>0.11700892329450946</v>
      </c>
      <c r="C1174" s="3">
        <v>3.6282489641741522E-2</v>
      </c>
      <c r="D1174" s="1">
        <v>123076.96819790638</v>
      </c>
      <c r="E1174" s="1">
        <v>3345879</v>
      </c>
      <c r="F1174" s="1">
        <v>16196960</v>
      </c>
      <c r="G1174" s="16">
        <v>135479.38215352671</v>
      </c>
      <c r="H1174">
        <v>551.16999999999996</v>
      </c>
      <c r="I1174" s="1">
        <v>1249.9899999999998</v>
      </c>
      <c r="J1174" s="16">
        <v>258556.3503514331</v>
      </c>
      <c r="K1174" s="5">
        <v>0.33299533091062644</v>
      </c>
      <c r="L1174" s="10">
        <v>1857218.095</v>
      </c>
    </row>
    <row r="1175" spans="1:12" x14ac:dyDescent="0.25">
      <c r="A1175">
        <v>1174</v>
      </c>
      <c r="B1175" s="3">
        <v>0.17202611487343289</v>
      </c>
      <c r="C1175" s="3">
        <v>4.5642318269804298E-2</v>
      </c>
      <c r="D1175" s="1">
        <v>207681.62506958639</v>
      </c>
      <c r="E1175" s="1">
        <v>9988901</v>
      </c>
      <c r="F1175" s="1">
        <v>45669179</v>
      </c>
      <c r="G1175" s="16">
        <v>26798.222146962769</v>
      </c>
      <c r="H1175">
        <v>151.24</v>
      </c>
      <c r="I1175" s="1">
        <v>496.99</v>
      </c>
      <c r="J1175" s="16">
        <v>234479.84721654915</v>
      </c>
      <c r="K1175" s="5">
        <v>7.5341464553426885E-2</v>
      </c>
      <c r="L1175" s="10">
        <v>337188.07530000003</v>
      </c>
    </row>
    <row r="1176" spans="1:12" x14ac:dyDescent="0.25">
      <c r="A1176">
        <v>1175</v>
      </c>
      <c r="B1176" s="3">
        <v>0.14108010000842922</v>
      </c>
      <c r="C1176" s="3">
        <v>6.4202921674407235E-2</v>
      </c>
      <c r="D1176" s="1">
        <v>100373.59890314209</v>
      </c>
      <c r="E1176" s="1">
        <v>2964590</v>
      </c>
      <c r="F1176" s="1">
        <v>20165251</v>
      </c>
      <c r="G1176" s="16">
        <v>54800.066849567032</v>
      </c>
      <c r="H1176">
        <v>239.02</v>
      </c>
      <c r="I1176" s="1">
        <v>707.72</v>
      </c>
      <c r="J1176" s="16">
        <v>155173.66575270912</v>
      </c>
      <c r="K1176" s="5">
        <v>0.15499806395881771</v>
      </c>
      <c r="L1176" s="10">
        <v>286748.92109999998</v>
      </c>
    </row>
    <row r="1177" spans="1:12" x14ac:dyDescent="0.25">
      <c r="A1177">
        <v>1176</v>
      </c>
      <c r="B1177" s="3">
        <v>0.21742167820260655</v>
      </c>
      <c r="C1177" s="3">
        <v>4.8471028283027469E-2</v>
      </c>
      <c r="D1177" s="1">
        <v>124902.67796150266</v>
      </c>
      <c r="E1177" s="1">
        <v>6232511</v>
      </c>
      <c r="F1177" s="1">
        <v>27489782</v>
      </c>
      <c r="G1177" s="16">
        <v>8029.8571961832658</v>
      </c>
      <c r="H1177">
        <v>52.58</v>
      </c>
      <c r="I1177" s="1">
        <v>201.74</v>
      </c>
      <c r="J1177" s="16">
        <v>132932.53515768592</v>
      </c>
      <c r="K1177" s="5">
        <v>0.15828471832833102</v>
      </c>
      <c r="L1177" s="10">
        <v>349232.36959999998</v>
      </c>
    </row>
    <row r="1178" spans="1:12" x14ac:dyDescent="0.25">
      <c r="A1178">
        <v>1177</v>
      </c>
      <c r="B1178" s="3">
        <v>0.1292789021274523</v>
      </c>
      <c r="C1178" s="3">
        <v>5.6462229249529108E-2</v>
      </c>
      <c r="D1178" s="1">
        <v>127611.67307340328</v>
      </c>
      <c r="E1178" s="1">
        <v>4155060</v>
      </c>
      <c r="F1178" s="1">
        <v>23405134</v>
      </c>
      <c r="G1178" s="16">
        <v>44036.651769782271</v>
      </c>
      <c r="H1178">
        <v>174.72</v>
      </c>
      <c r="I1178" s="1">
        <v>580.27</v>
      </c>
      <c r="J1178" s="16">
        <v>171648.32484318555</v>
      </c>
      <c r="K1178" s="5">
        <v>0.13177591138962785</v>
      </c>
      <c r="L1178" s="10">
        <v>336085.18650000001</v>
      </c>
    </row>
    <row r="1179" spans="1:12" x14ac:dyDescent="0.25">
      <c r="A1179">
        <v>1178</v>
      </c>
      <c r="B1179" s="3">
        <v>0.1876162129989371</v>
      </c>
      <c r="C1179" s="3">
        <v>6.8112435392988974E-2</v>
      </c>
      <c r="D1179" s="1">
        <v>70265.565885933975</v>
      </c>
      <c r="E1179" s="1">
        <v>2452797</v>
      </c>
      <c r="F1179" s="1">
        <v>20636061</v>
      </c>
      <c r="G1179" s="16">
        <v>11690.074048637689</v>
      </c>
      <c r="H1179">
        <v>61.32</v>
      </c>
      <c r="I1179" s="1">
        <v>209.98</v>
      </c>
      <c r="J1179" s="16">
        <v>81955.639934571664</v>
      </c>
      <c r="K1179" s="5">
        <v>2.4559350516777802E-2</v>
      </c>
      <c r="L1179" s="10">
        <v>47916.856899999999</v>
      </c>
    </row>
    <row r="1180" spans="1:12" x14ac:dyDescent="0.25">
      <c r="A1180">
        <v>1179</v>
      </c>
      <c r="B1180" s="3">
        <v>0.14492498791131975</v>
      </c>
      <c r="C1180" s="3">
        <v>3.672788793162525E-2</v>
      </c>
      <c r="D1180" s="1">
        <v>41752.691836884333</v>
      </c>
      <c r="E1180" s="1">
        <v>1249900</v>
      </c>
      <c r="F1180" s="1">
        <v>10946424</v>
      </c>
      <c r="G1180" s="16">
        <v>33339.77612440045</v>
      </c>
      <c r="H1180">
        <v>150.13999999999999</v>
      </c>
      <c r="I1180" s="1">
        <v>447.28</v>
      </c>
      <c r="J1180" s="16">
        <v>75092.467961284783</v>
      </c>
      <c r="K1180" s="5">
        <v>0.16983335616066808</v>
      </c>
      <c r="L1180" s="10">
        <v>306908.16889999999</v>
      </c>
    </row>
    <row r="1181" spans="1:12" x14ac:dyDescent="0.25">
      <c r="A1181">
        <v>1180</v>
      </c>
      <c r="B1181" s="3">
        <v>0.23964254103578758</v>
      </c>
      <c r="C1181" s="3">
        <v>2.3705355475021415E-2</v>
      </c>
      <c r="D1181" s="1">
        <v>100716.93862746733</v>
      </c>
      <c r="E1181" s="1">
        <v>5639415</v>
      </c>
      <c r="F1181" s="1">
        <v>26835319</v>
      </c>
      <c r="G1181" s="16">
        <v>26342.689524144633</v>
      </c>
      <c r="H1181">
        <v>354.91</v>
      </c>
      <c r="I1181" s="1">
        <v>914.8</v>
      </c>
      <c r="J1181" s="16">
        <v>127059.62815161196</v>
      </c>
      <c r="K1181" s="5">
        <v>0.14144687868398925</v>
      </c>
      <c r="L1181" s="10">
        <v>662307.66910000006</v>
      </c>
    </row>
    <row r="1182" spans="1:12" x14ac:dyDescent="0.25">
      <c r="A1182">
        <v>1181</v>
      </c>
      <c r="B1182" s="3">
        <v>0.2435516373074241</v>
      </c>
      <c r="C1182" s="3">
        <v>6.7031921368840522E-2</v>
      </c>
      <c r="D1182" s="1">
        <v>105668.35296602489</v>
      </c>
      <c r="E1182" s="1">
        <v>6039912</v>
      </c>
      <c r="F1182" s="1">
        <v>28523903</v>
      </c>
      <c r="G1182" s="16">
        <v>11629.930107625967</v>
      </c>
      <c r="H1182">
        <v>93.29</v>
      </c>
      <c r="I1182" s="1">
        <v>316.66000000000003</v>
      </c>
      <c r="J1182" s="16">
        <v>117298.28307365086</v>
      </c>
      <c r="K1182" s="5">
        <v>5.3874311611956521E-2</v>
      </c>
      <c r="L1182" s="10">
        <v>80095.588399999993</v>
      </c>
    </row>
    <row r="1183" spans="1:12" x14ac:dyDescent="0.25">
      <c r="A1183">
        <v>1182</v>
      </c>
      <c r="B1183" s="3">
        <v>0.16094558671211745</v>
      </c>
      <c r="C1183" s="3">
        <v>6.9340169462370982E-2</v>
      </c>
      <c r="D1183" s="1">
        <v>56799.724211583081</v>
      </c>
      <c r="E1183" s="1">
        <v>1509971</v>
      </c>
      <c r="F1183" s="1">
        <v>9932333</v>
      </c>
      <c r="G1183" s="16">
        <v>12474.826560548892</v>
      </c>
      <c r="H1183">
        <v>45.17</v>
      </c>
      <c r="I1183" s="1">
        <v>172.61</v>
      </c>
      <c r="J1183" s="16">
        <v>69274.550772131974</v>
      </c>
      <c r="K1183" s="5">
        <v>4.7456886708901788E-2</v>
      </c>
      <c r="L1183" s="10">
        <v>45115.106699999997</v>
      </c>
    </row>
    <row r="1184" spans="1:12" x14ac:dyDescent="0.25">
      <c r="A1184">
        <v>1183</v>
      </c>
      <c r="B1184" s="3">
        <v>0.14685298932177704</v>
      </c>
      <c r="C1184" s="3">
        <v>6.3280276755393022E-2</v>
      </c>
      <c r="D1184" s="1">
        <v>269182.9610686719</v>
      </c>
      <c r="E1184" s="1">
        <v>9509439</v>
      </c>
      <c r="F1184" s="1">
        <v>34736161</v>
      </c>
      <c r="G1184" s="16">
        <v>25375.850175388478</v>
      </c>
      <c r="H1184">
        <v>116.15</v>
      </c>
      <c r="I1184" s="1">
        <v>394.04999999999995</v>
      </c>
      <c r="J1184" s="16">
        <v>294558.8112440604</v>
      </c>
      <c r="K1184" s="5">
        <v>0.20003375870065815</v>
      </c>
      <c r="L1184" s="10">
        <v>611754.88260000001</v>
      </c>
    </row>
    <row r="1185" spans="1:12" x14ac:dyDescent="0.25">
      <c r="A1185">
        <v>1184</v>
      </c>
      <c r="B1185" s="3">
        <v>0.17678123542794727</v>
      </c>
      <c r="C1185" s="3">
        <v>6.5380349880105618E-2</v>
      </c>
      <c r="D1185" s="1">
        <v>83191.962236412422</v>
      </c>
      <c r="E1185" s="1">
        <v>2790863</v>
      </c>
      <c r="F1185" s="1">
        <v>15987185</v>
      </c>
      <c r="G1185" s="16">
        <v>24793.62813993431</v>
      </c>
      <c r="H1185">
        <v>145.41999999999999</v>
      </c>
      <c r="I1185" s="1">
        <v>544.79</v>
      </c>
      <c r="J1185" s="16">
        <v>107985.59037634674</v>
      </c>
      <c r="K1185" s="5">
        <v>0.17190137613681639</v>
      </c>
      <c r="L1185" s="10">
        <v>225883.86910000001</v>
      </c>
    </row>
    <row r="1186" spans="1:12" x14ac:dyDescent="0.25">
      <c r="A1186">
        <v>1185</v>
      </c>
      <c r="B1186" s="3">
        <v>0.20990274359465472</v>
      </c>
      <c r="C1186" s="3">
        <v>3.6402129311048026E-2</v>
      </c>
      <c r="D1186" s="1">
        <v>146587.19448869315</v>
      </c>
      <c r="E1186" s="1">
        <v>7040064</v>
      </c>
      <c r="F1186" s="1">
        <v>27355108</v>
      </c>
      <c r="G1186" s="16">
        <v>11871.076077122749</v>
      </c>
      <c r="H1186">
        <v>73.459999999999994</v>
      </c>
      <c r="I1186" s="1">
        <v>215.05</v>
      </c>
      <c r="J1186" s="16">
        <v>158458.27056581588</v>
      </c>
      <c r="K1186" s="5">
        <v>2.3499645202781291E-3</v>
      </c>
      <c r="L1186" s="10">
        <v>43491.968699999998</v>
      </c>
    </row>
    <row r="1187" spans="1:12" x14ac:dyDescent="0.25">
      <c r="A1187">
        <v>1186</v>
      </c>
      <c r="B1187" s="3">
        <v>0.24359786082622442</v>
      </c>
      <c r="C1187" s="3">
        <v>6.4339577953133331E-2</v>
      </c>
      <c r="D1187" s="1">
        <v>226720.67048555621</v>
      </c>
      <c r="E1187" s="1">
        <v>12962318</v>
      </c>
      <c r="F1187" s="1">
        <v>37636003</v>
      </c>
      <c r="G1187" s="16">
        <v>15148.768961007501</v>
      </c>
      <c r="H1187">
        <v>160.88</v>
      </c>
      <c r="I1187" s="1">
        <v>418.28999999999996</v>
      </c>
      <c r="J1187" s="16">
        <v>241869.43944656372</v>
      </c>
      <c r="K1187" s="5">
        <v>0.11209728293934687</v>
      </c>
      <c r="L1187" s="10">
        <v>285228.5196</v>
      </c>
    </row>
    <row r="1188" spans="1:12" x14ac:dyDescent="0.25">
      <c r="A1188">
        <v>1187</v>
      </c>
      <c r="B1188" s="3">
        <v>0.1823048083508626</v>
      </c>
      <c r="C1188" s="3">
        <v>7.4782527750475017E-2</v>
      </c>
      <c r="D1188" s="1">
        <v>100389.23958334545</v>
      </c>
      <c r="E1188" s="1">
        <v>3436496</v>
      </c>
      <c r="F1188" s="1">
        <v>15232820</v>
      </c>
      <c r="G1188" s="16">
        <v>22429.20096969459</v>
      </c>
      <c r="H1188">
        <v>137.94999999999999</v>
      </c>
      <c r="I1188" s="1">
        <v>467.53</v>
      </c>
      <c r="J1188" s="16">
        <v>122818.44055304004</v>
      </c>
      <c r="K1188" s="5">
        <v>0.22532066320540883</v>
      </c>
      <c r="L1188" s="10">
        <v>232796.77549999999</v>
      </c>
    </row>
    <row r="1189" spans="1:12" x14ac:dyDescent="0.25">
      <c r="A1189">
        <v>1188</v>
      </c>
      <c r="B1189" s="3">
        <v>0.10122595030642416</v>
      </c>
      <c r="C1189" s="3">
        <v>7.9523942570239939E-2</v>
      </c>
      <c r="D1189" s="1">
        <v>391977.63367151842</v>
      </c>
      <c r="E1189" s="1">
        <v>12508677</v>
      </c>
      <c r="F1189" s="1">
        <v>54494214</v>
      </c>
      <c r="G1189" s="16">
        <v>64405.095120691403</v>
      </c>
      <c r="H1189">
        <v>204.49</v>
      </c>
      <c r="I1189" s="1">
        <v>505.48</v>
      </c>
      <c r="J1189" s="16">
        <v>456382.72879220982</v>
      </c>
      <c r="K1189" s="5">
        <v>5.7561897405343267E-2</v>
      </c>
      <c r="L1189" s="10">
        <v>268366.12969999999</v>
      </c>
    </row>
    <row r="1190" spans="1:12" x14ac:dyDescent="0.25">
      <c r="A1190">
        <v>1189</v>
      </c>
      <c r="B1190" s="3">
        <v>0.17351587905382568</v>
      </c>
      <c r="C1190" s="3">
        <v>4.9154573435193902E-2</v>
      </c>
      <c r="D1190" s="1">
        <v>65479.1736582956</v>
      </c>
      <c r="E1190" s="1">
        <v>2170712</v>
      </c>
      <c r="F1190" s="1">
        <v>14244827</v>
      </c>
      <c r="G1190" s="16">
        <v>32426.83358630996</v>
      </c>
      <c r="H1190">
        <v>224.34</v>
      </c>
      <c r="I1190" s="1">
        <v>775.08</v>
      </c>
      <c r="J1190" s="16">
        <v>97906.007244605556</v>
      </c>
      <c r="K1190" s="5">
        <v>0.13607815534333345</v>
      </c>
      <c r="L1190" s="10">
        <v>242386.1845</v>
      </c>
    </row>
    <row r="1191" spans="1:12" x14ac:dyDescent="0.25">
      <c r="A1191">
        <v>1190</v>
      </c>
      <c r="B1191" s="3">
        <v>0.11429321524568846</v>
      </c>
      <c r="C1191" s="3">
        <v>7.5254447136543001E-2</v>
      </c>
      <c r="D1191" s="1">
        <v>683433.98183625645</v>
      </c>
      <c r="E1191" s="1">
        <v>23466545</v>
      </c>
      <c r="F1191" s="1">
        <v>65565357</v>
      </c>
      <c r="G1191" s="16">
        <v>48064.999307330996</v>
      </c>
      <c r="H1191">
        <v>169.21</v>
      </c>
      <c r="I1191" s="1">
        <v>579.25</v>
      </c>
      <c r="J1191" s="16">
        <v>731498.9811435875</v>
      </c>
      <c r="K1191" s="5">
        <v>-7.7771546471862643E-2</v>
      </c>
      <c r="L1191" s="10">
        <v>-449735.79479999997</v>
      </c>
    </row>
    <row r="1192" spans="1:12" x14ac:dyDescent="0.25">
      <c r="A1192">
        <v>1191</v>
      </c>
      <c r="B1192" s="3">
        <v>0.20843697719409321</v>
      </c>
      <c r="C1192" s="3">
        <v>5.1725686805786208E-2</v>
      </c>
      <c r="D1192" s="1">
        <v>143772.25161550898</v>
      </c>
      <c r="E1192" s="1">
        <v>8658659</v>
      </c>
      <c r="F1192" s="1">
        <v>43727644</v>
      </c>
      <c r="G1192" s="16">
        <v>13099.928627424892</v>
      </c>
      <c r="H1192">
        <v>80.040000000000006</v>
      </c>
      <c r="I1192" s="1">
        <v>337.13000000000005</v>
      </c>
      <c r="J1192" s="16">
        <v>156872.18024293389</v>
      </c>
      <c r="K1192" s="5">
        <v>0.1794625902131374</v>
      </c>
      <c r="L1192" s="10">
        <v>440034.30920000002</v>
      </c>
    </row>
    <row r="1193" spans="1:12" x14ac:dyDescent="0.25">
      <c r="A1193">
        <v>1192</v>
      </c>
      <c r="B1193" s="3">
        <v>0.10769122422441316</v>
      </c>
      <c r="C1193" s="3">
        <v>2.3590991963748788E-2</v>
      </c>
      <c r="D1193" s="1">
        <v>137752.3655355878</v>
      </c>
      <c r="E1193" s="1">
        <v>3628742</v>
      </c>
      <c r="F1193" s="1">
        <v>18463347</v>
      </c>
      <c r="G1193" s="16">
        <v>27816.559910477561</v>
      </c>
      <c r="H1193">
        <v>82.93</v>
      </c>
      <c r="I1193" s="1">
        <v>230</v>
      </c>
      <c r="J1193" s="16">
        <v>165568.92544606538</v>
      </c>
      <c r="K1193" s="5">
        <v>0.18551208544336076</v>
      </c>
      <c r="L1193" s="10">
        <v>1148252.9997</v>
      </c>
    </row>
    <row r="1194" spans="1:12" x14ac:dyDescent="0.25">
      <c r="A1194">
        <v>1193</v>
      </c>
      <c r="B1194" s="3">
        <v>0.18698354418833485</v>
      </c>
      <c r="C1194" s="3">
        <v>7.1124565812643481E-2</v>
      </c>
      <c r="D1194" s="1">
        <v>133090.96941103059</v>
      </c>
      <c r="E1194" s="1">
        <v>5701040</v>
      </c>
      <c r="F1194" s="1">
        <v>26144839</v>
      </c>
      <c r="G1194" s="16">
        <v>9129.8715714431164</v>
      </c>
      <c r="H1194">
        <v>47.57</v>
      </c>
      <c r="I1194" s="1">
        <v>193.44</v>
      </c>
      <c r="J1194" s="16">
        <v>142220.84098247369</v>
      </c>
      <c r="K1194" s="5">
        <v>1.7960004542493236E-2</v>
      </c>
      <c r="L1194" s="10">
        <v>60345.429300000003</v>
      </c>
    </row>
    <row r="1195" spans="1:12" x14ac:dyDescent="0.25">
      <c r="A1195">
        <v>1194</v>
      </c>
      <c r="B1195" s="3">
        <v>0.19004151015546047</v>
      </c>
      <c r="C1195" s="3">
        <v>5.2839583841645249E-2</v>
      </c>
      <c r="D1195" s="1">
        <v>169500.23462516305</v>
      </c>
      <c r="E1195" s="1">
        <v>7370931</v>
      </c>
      <c r="F1195" s="1">
        <v>33420007</v>
      </c>
      <c r="G1195" s="16">
        <v>51406.654160805425</v>
      </c>
      <c r="H1195">
        <v>417.24</v>
      </c>
      <c r="I1195" s="1">
        <v>1098.3500000000001</v>
      </c>
      <c r="J1195" s="16">
        <v>220906.88878596848</v>
      </c>
      <c r="K1195" s="5">
        <v>3.5925428103817207E-2</v>
      </c>
      <c r="L1195" s="10">
        <v>140778.33350000001</v>
      </c>
    </row>
    <row r="1196" spans="1:12" x14ac:dyDescent="0.25">
      <c r="A1196">
        <v>1195</v>
      </c>
      <c r="B1196" s="3">
        <v>0.24279163100102183</v>
      </c>
      <c r="C1196" s="3">
        <v>6.6132368294402041E-2</v>
      </c>
      <c r="D1196" s="1">
        <v>62859.861796306614</v>
      </c>
      <c r="E1196" s="1">
        <v>3578613</v>
      </c>
      <c r="F1196" s="1">
        <v>21585284</v>
      </c>
      <c r="G1196" s="16">
        <v>22964.01910245476</v>
      </c>
      <c r="H1196">
        <v>241.97</v>
      </c>
      <c r="I1196" s="1">
        <v>547.66</v>
      </c>
      <c r="J1196" s="16">
        <v>85823.880898761374</v>
      </c>
      <c r="K1196" s="5">
        <v>0.25439387983818529</v>
      </c>
      <c r="L1196" s="10">
        <v>241590.82070000001</v>
      </c>
    </row>
    <row r="1197" spans="1:12" x14ac:dyDescent="0.25">
      <c r="A1197">
        <v>1196</v>
      </c>
      <c r="B1197" s="3">
        <v>0.22160235265739037</v>
      </c>
      <c r="C1197" s="3">
        <v>5.9176832403946444E-2</v>
      </c>
      <c r="D1197" s="1">
        <v>63495.484350781953</v>
      </c>
      <c r="E1197" s="1">
        <v>2519659</v>
      </c>
      <c r="F1197" s="1">
        <v>17567115</v>
      </c>
      <c r="G1197" s="16">
        <v>12221.980972200283</v>
      </c>
      <c r="H1197">
        <v>106.29</v>
      </c>
      <c r="I1197" s="1">
        <v>397.87000000000006</v>
      </c>
      <c r="J1197" s="16">
        <v>75717.465322982229</v>
      </c>
      <c r="K1197" s="5">
        <v>0.16396001272404392</v>
      </c>
      <c r="L1197" s="10">
        <v>177149.75090000001</v>
      </c>
    </row>
    <row r="1198" spans="1:12" x14ac:dyDescent="0.25">
      <c r="A1198">
        <v>1197</v>
      </c>
      <c r="B1198" s="3">
        <v>0.18355883008055268</v>
      </c>
      <c r="C1198" s="3">
        <v>3.1306211227400987E-2</v>
      </c>
      <c r="D1198" s="1">
        <v>169099.09317039989</v>
      </c>
      <c r="E1198" s="1">
        <v>7122700</v>
      </c>
      <c r="F1198" s="1">
        <v>34380839</v>
      </c>
      <c r="G1198" s="16">
        <v>21129.209709537714</v>
      </c>
      <c r="H1198">
        <v>107.26</v>
      </c>
      <c r="I1198" s="1">
        <v>323.39</v>
      </c>
      <c r="J1198" s="16">
        <v>190228.3028799376</v>
      </c>
      <c r="K1198" s="5">
        <v>0.17302035187077613</v>
      </c>
      <c r="L1198" s="10">
        <v>883008.86600000004</v>
      </c>
    </row>
    <row r="1199" spans="1:12" x14ac:dyDescent="0.25">
      <c r="A1199">
        <v>1198</v>
      </c>
      <c r="B1199" s="3">
        <v>0.18313988549050092</v>
      </c>
      <c r="C1199" s="3">
        <v>6.8556791490910512E-2</v>
      </c>
      <c r="D1199" s="1">
        <v>132171.35536674384</v>
      </c>
      <c r="E1199" s="1">
        <v>5555830</v>
      </c>
      <c r="F1199" s="1">
        <v>23852313</v>
      </c>
      <c r="G1199" s="16">
        <v>38630.283101206616</v>
      </c>
      <c r="H1199">
        <v>239.45</v>
      </c>
      <c r="I1199" s="1">
        <v>748.89</v>
      </c>
      <c r="J1199" s="16">
        <v>170801.63846795046</v>
      </c>
      <c r="K1199" s="5">
        <v>0.11062876416877912</v>
      </c>
      <c r="L1199" s="10">
        <v>205847.11670000001</v>
      </c>
    </row>
    <row r="1200" spans="1:12" x14ac:dyDescent="0.25">
      <c r="A1200">
        <v>1199</v>
      </c>
      <c r="B1200" s="3">
        <v>0.11964970718406956</v>
      </c>
      <c r="C1200" s="3">
        <v>2.5364765572937101E-2</v>
      </c>
      <c r="D1200" s="1">
        <v>69513.834061511807</v>
      </c>
      <c r="E1200" s="1">
        <v>1906811</v>
      </c>
      <c r="F1200" s="1">
        <v>16799690</v>
      </c>
      <c r="G1200" s="16">
        <v>49944.572150692402</v>
      </c>
      <c r="H1200">
        <v>183.35</v>
      </c>
      <c r="I1200" s="1">
        <v>511.18999999999994</v>
      </c>
      <c r="J1200" s="16">
        <v>119458.40621220421</v>
      </c>
      <c r="K1200" s="5">
        <v>9.2462436017830191E-2</v>
      </c>
      <c r="L1200" s="10">
        <v>380134.59480000002</v>
      </c>
    </row>
    <row r="1201" spans="1:12" x14ac:dyDescent="0.25">
      <c r="A1201">
        <v>1200</v>
      </c>
      <c r="B1201" s="3">
        <v>0.11850767546918431</v>
      </c>
      <c r="C1201" s="3">
        <v>7.4954164349874397E-2</v>
      </c>
      <c r="D1201" s="1">
        <v>114355.77144998204</v>
      </c>
      <c r="E1201" s="1">
        <v>3124682</v>
      </c>
      <c r="F1201" s="1">
        <v>16511062</v>
      </c>
      <c r="G1201" s="16">
        <v>39970.987616534774</v>
      </c>
      <c r="H1201">
        <v>145.32</v>
      </c>
      <c r="I1201" s="1">
        <v>441.55</v>
      </c>
      <c r="J1201" s="16">
        <v>154326.75906651682</v>
      </c>
      <c r="K1201" s="5">
        <v>-2.5315622315992374E-3</v>
      </c>
      <c r="L1201" s="10">
        <v>12123.0872</v>
      </c>
    </row>
    <row r="1202" spans="1:12" x14ac:dyDescent="0.25">
      <c r="A1202">
        <v>1201</v>
      </c>
      <c r="B1202" s="3">
        <v>0.17341632967654941</v>
      </c>
      <c r="C1202" s="3">
        <v>2.540423398447729E-2</v>
      </c>
      <c r="D1202" s="1">
        <v>113077.08915130353</v>
      </c>
      <c r="E1202" s="1">
        <v>3747288</v>
      </c>
      <c r="F1202" s="1">
        <v>18548545</v>
      </c>
      <c r="G1202" s="16">
        <v>9719.4512678061783</v>
      </c>
      <c r="H1202">
        <v>37.9</v>
      </c>
      <c r="I1202" s="1">
        <v>183.59</v>
      </c>
      <c r="J1202" s="16">
        <v>122796.5404191097</v>
      </c>
      <c r="K1202" s="5">
        <v>5.3069612986764783E-3</v>
      </c>
      <c r="L1202" s="10">
        <v>69660.976500000004</v>
      </c>
    </row>
    <row r="1203" spans="1:12" x14ac:dyDescent="0.25">
      <c r="A1203">
        <v>1202</v>
      </c>
      <c r="B1203" s="3">
        <v>0.21382257982277417</v>
      </c>
      <c r="C1203" s="3">
        <v>5.3990705891882151E-2</v>
      </c>
      <c r="D1203" s="1">
        <v>171006.15220810438</v>
      </c>
      <c r="E1203" s="1">
        <v>10656442</v>
      </c>
      <c r="F1203" s="1">
        <v>48881266</v>
      </c>
      <c r="G1203" s="16">
        <v>24007.454943734931</v>
      </c>
      <c r="H1203">
        <v>194.63</v>
      </c>
      <c r="I1203" s="1">
        <v>605.38</v>
      </c>
      <c r="J1203" s="16">
        <v>195013.6071518393</v>
      </c>
      <c r="K1203" s="5">
        <v>0.14372324462550229</v>
      </c>
      <c r="L1203" s="10">
        <v>428897.57500000001</v>
      </c>
    </row>
    <row r="1204" spans="1:12" x14ac:dyDescent="0.25">
      <c r="A1204">
        <v>1203</v>
      </c>
      <c r="B1204" s="3">
        <v>0.17584545660765771</v>
      </c>
      <c r="C1204" s="3">
        <v>6.0504880795037561E-2</v>
      </c>
      <c r="D1204" s="1">
        <v>128198.08079978949</v>
      </c>
      <c r="E1204" s="1">
        <v>5200559</v>
      </c>
      <c r="F1204" s="1">
        <v>26718607</v>
      </c>
      <c r="G1204" s="16">
        <v>16730.535015245121</v>
      </c>
      <c r="H1204">
        <v>80.290000000000006</v>
      </c>
      <c r="I1204" s="1">
        <v>223.52000000000004</v>
      </c>
      <c r="J1204" s="16">
        <v>144928.6158150346</v>
      </c>
      <c r="K1204" s="5">
        <v>0.27162503947333538</v>
      </c>
      <c r="L1204" s="10">
        <v>460932.46580000001</v>
      </c>
    </row>
    <row r="1205" spans="1:12" x14ac:dyDescent="0.25">
      <c r="A1205">
        <v>1204</v>
      </c>
      <c r="B1205" s="3">
        <v>0.15783756269556148</v>
      </c>
      <c r="C1205" s="3">
        <v>3.4006557731350348E-2</v>
      </c>
      <c r="D1205" s="1">
        <v>58269.506971631126</v>
      </c>
      <c r="E1205" s="1">
        <v>2168007</v>
      </c>
      <c r="F1205" s="1">
        <v>25339280</v>
      </c>
      <c r="G1205" s="16">
        <v>25833.289369768019</v>
      </c>
      <c r="H1205">
        <v>129.37</v>
      </c>
      <c r="I1205" s="1">
        <v>401.84000000000003</v>
      </c>
      <c r="J1205" s="16">
        <v>84102.796341399138</v>
      </c>
      <c r="K1205" s="5">
        <v>0.17763235912488839</v>
      </c>
      <c r="L1205" s="10">
        <v>447930.66330000001</v>
      </c>
    </row>
    <row r="1206" spans="1:12" x14ac:dyDescent="0.25">
      <c r="A1206">
        <v>1205</v>
      </c>
      <c r="B1206" s="3">
        <v>0.24936253032811848</v>
      </c>
      <c r="C1206" s="3">
        <v>3.6697009884449017E-2</v>
      </c>
      <c r="D1206" s="1">
        <v>28051.022021675919</v>
      </c>
      <c r="E1206" s="1">
        <v>1241253</v>
      </c>
      <c r="F1206" s="1">
        <v>13124633</v>
      </c>
      <c r="G1206" s="16">
        <v>13775.046611102707</v>
      </c>
      <c r="H1206">
        <v>115.73</v>
      </c>
      <c r="I1206" s="1">
        <v>328.07</v>
      </c>
      <c r="J1206" s="16">
        <v>41826.068632778624</v>
      </c>
      <c r="K1206" s="5">
        <v>0.13309608229929873</v>
      </c>
      <c r="L1206" s="10">
        <v>148003.16899999999</v>
      </c>
    </row>
    <row r="1207" spans="1:12" x14ac:dyDescent="0.25">
      <c r="A1207">
        <v>1206</v>
      </c>
      <c r="B1207" s="3">
        <v>0.15198428927774785</v>
      </c>
      <c r="C1207" s="3">
        <v>3.9819895106673206E-2</v>
      </c>
      <c r="D1207" s="1">
        <v>284507.66618025769</v>
      </c>
      <c r="E1207" s="1">
        <v>12141647</v>
      </c>
      <c r="F1207" s="1">
        <v>50345932</v>
      </c>
      <c r="G1207" s="16">
        <v>13054.816490556965</v>
      </c>
      <c r="H1207">
        <v>52.89</v>
      </c>
      <c r="I1207" s="1">
        <v>211.48999999999995</v>
      </c>
      <c r="J1207" s="16">
        <v>297562.48267081467</v>
      </c>
      <c r="K1207" s="5">
        <v>3.6971267889436388E-2</v>
      </c>
      <c r="L1207" s="10">
        <v>275414.66590000002</v>
      </c>
    </row>
    <row r="1208" spans="1:12" x14ac:dyDescent="0.25">
      <c r="A1208">
        <v>1207</v>
      </c>
      <c r="B1208" s="3">
        <v>0.22877216948397433</v>
      </c>
      <c r="C1208" s="3">
        <v>2.4693624059903736E-2</v>
      </c>
      <c r="D1208" s="1">
        <v>277031.68519197154</v>
      </c>
      <c r="E1208" s="1">
        <v>19002870</v>
      </c>
      <c r="F1208" s="1">
        <v>56034036</v>
      </c>
      <c r="G1208" s="16">
        <v>13226.096116407689</v>
      </c>
      <c r="H1208">
        <v>94.69</v>
      </c>
      <c r="I1208" s="1">
        <v>334.59999999999997</v>
      </c>
      <c r="J1208" s="16">
        <v>290257.78130837926</v>
      </c>
      <c r="K1208" s="5">
        <v>0.1792014713205631</v>
      </c>
      <c r="L1208" s="10">
        <v>1797850.6842</v>
      </c>
    </row>
    <row r="1209" spans="1:12" x14ac:dyDescent="0.25">
      <c r="A1209">
        <v>1208</v>
      </c>
      <c r="B1209" s="3">
        <v>0.1969119721155867</v>
      </c>
      <c r="C1209" s="3">
        <v>3.2792803476450146E-2</v>
      </c>
      <c r="D1209" s="1">
        <v>155434.41795898753</v>
      </c>
      <c r="E1209" s="1">
        <v>6993546</v>
      </c>
      <c r="F1209" s="1">
        <v>28248465</v>
      </c>
      <c r="G1209" s="16">
        <v>34022.284855670725</v>
      </c>
      <c r="H1209">
        <v>237.5</v>
      </c>
      <c r="I1209" s="1">
        <v>638.04000000000008</v>
      </c>
      <c r="J1209" s="16">
        <v>189456.70281465826</v>
      </c>
      <c r="K1209" s="5">
        <v>0.17809809171669322</v>
      </c>
      <c r="L1209" s="10">
        <v>847356.7439</v>
      </c>
    </row>
    <row r="1210" spans="1:12" x14ac:dyDescent="0.25">
      <c r="A1210">
        <v>1209</v>
      </c>
      <c r="B1210" s="3">
        <v>0.20851864026195649</v>
      </c>
      <c r="C1210" s="3">
        <v>3.941407321633783E-2</v>
      </c>
      <c r="D1210" s="1">
        <v>69018.742633508416</v>
      </c>
      <c r="E1210" s="1">
        <v>2062008</v>
      </c>
      <c r="F1210" s="1">
        <v>10664968</v>
      </c>
      <c r="G1210" s="16">
        <v>24723.27567828387</v>
      </c>
      <c r="H1210">
        <v>191.43</v>
      </c>
      <c r="I1210" s="1">
        <v>488.29</v>
      </c>
      <c r="J1210" s="16">
        <v>93742.018311792286</v>
      </c>
      <c r="K1210" s="5">
        <v>-2.0369227288072781E-2</v>
      </c>
      <c r="L1210" s="10">
        <v>-22627.6083</v>
      </c>
    </row>
    <row r="1211" spans="1:12" x14ac:dyDescent="0.25">
      <c r="A1211">
        <v>1210</v>
      </c>
      <c r="B1211" s="3">
        <v>0.23011433768850667</v>
      </c>
      <c r="C1211" s="3">
        <v>6.7035510851832458E-2</v>
      </c>
      <c r="D1211" s="1">
        <v>288969.60403792729</v>
      </c>
      <c r="E1211" s="1">
        <v>19995096</v>
      </c>
      <c r="F1211" s="1">
        <v>57792553</v>
      </c>
      <c r="G1211" s="16">
        <v>36583.743577841946</v>
      </c>
      <c r="H1211">
        <v>445.88</v>
      </c>
      <c r="I1211" s="1">
        <v>1085.0700000000002</v>
      </c>
      <c r="J1211" s="16">
        <v>325553.34761576925</v>
      </c>
      <c r="K1211" s="5">
        <v>0.16644043535158815</v>
      </c>
      <c r="L1211" s="10">
        <v>516605.63909999997</v>
      </c>
    </row>
    <row r="1212" spans="1:12" x14ac:dyDescent="0.25">
      <c r="A1212">
        <v>1211</v>
      </c>
      <c r="B1212" s="3">
        <v>0.1753102941443255</v>
      </c>
      <c r="C1212" s="3">
        <v>6.8710592568451245E-2</v>
      </c>
      <c r="D1212" s="1">
        <v>125467.51477395624</v>
      </c>
      <c r="E1212" s="1">
        <v>5076589</v>
      </c>
      <c r="F1212" s="1">
        <v>24863934</v>
      </c>
      <c r="G1212" s="16">
        <v>39364.918589249624</v>
      </c>
      <c r="H1212">
        <v>228.18</v>
      </c>
      <c r="I1212" s="1">
        <v>669.53</v>
      </c>
      <c r="J1212" s="16">
        <v>164832.43336320587</v>
      </c>
      <c r="K1212" s="5">
        <v>0.18664801700728603</v>
      </c>
      <c r="L1212" s="10">
        <v>312810.56579999998</v>
      </c>
    </row>
    <row r="1213" spans="1:12" x14ac:dyDescent="0.25">
      <c r="A1213">
        <v>1212</v>
      </c>
      <c r="B1213" s="3">
        <v>0.2252806776198461</v>
      </c>
      <c r="C1213" s="3">
        <v>3.8098846587512281E-2</v>
      </c>
      <c r="D1213" s="1">
        <v>128701.99279318783</v>
      </c>
      <c r="E1213" s="1">
        <v>6686678</v>
      </c>
      <c r="F1213" s="1">
        <v>29763163</v>
      </c>
      <c r="G1213" s="16">
        <v>24530.496561964515</v>
      </c>
      <c r="H1213">
        <v>284.70999999999998</v>
      </c>
      <c r="I1213" s="1">
        <v>823.66000000000008</v>
      </c>
      <c r="J1213" s="16">
        <v>153232.48935515236</v>
      </c>
      <c r="K1213" s="5">
        <v>0.1433060315199686</v>
      </c>
      <c r="L1213" s="10">
        <v>493244.46340000001</v>
      </c>
    </row>
    <row r="1214" spans="1:12" x14ac:dyDescent="0.25">
      <c r="A1214">
        <v>1213</v>
      </c>
      <c r="B1214" s="3">
        <v>0.10531127687357694</v>
      </c>
      <c r="C1214" s="3">
        <v>5.7335027043454653E-2</v>
      </c>
      <c r="D1214" s="1">
        <v>230562.38013796887</v>
      </c>
      <c r="E1214" s="1">
        <v>6734466</v>
      </c>
      <c r="F1214" s="1">
        <v>25038171</v>
      </c>
      <c r="G1214" s="16">
        <v>23755.594951934472</v>
      </c>
      <c r="H1214">
        <v>69.540000000000006</v>
      </c>
      <c r="I1214" s="1">
        <v>192.24</v>
      </c>
      <c r="J1214" s="16">
        <v>254317.97508990334</v>
      </c>
      <c r="K1214" s="5">
        <v>-1.977122808316413E-2</v>
      </c>
      <c r="L1214" s="10">
        <v>-18340.103299999999</v>
      </c>
    </row>
    <row r="1215" spans="1:12" x14ac:dyDescent="0.25">
      <c r="A1215">
        <v>1214</v>
      </c>
      <c r="B1215" s="3">
        <v>0.10816153873884901</v>
      </c>
      <c r="C1215" s="3">
        <v>6.6320817933615286E-2</v>
      </c>
      <c r="D1215" s="1">
        <v>664565.95712200261</v>
      </c>
      <c r="E1215" s="1">
        <v>22044999</v>
      </c>
      <c r="F1215" s="1">
        <v>71979669</v>
      </c>
      <c r="G1215" s="16">
        <v>85391.355759953774</v>
      </c>
      <c r="H1215">
        <v>320.81</v>
      </c>
      <c r="I1215" s="1">
        <v>1054.3799999999999</v>
      </c>
      <c r="J1215" s="16">
        <v>749957.31288195634</v>
      </c>
      <c r="K1215" s="5">
        <v>0.12061174252043973</v>
      </c>
      <c r="L1215" s="10">
        <v>909991.91650000005</v>
      </c>
    </row>
    <row r="1216" spans="1:12" x14ac:dyDescent="0.25">
      <c r="A1216">
        <v>1215</v>
      </c>
      <c r="B1216" s="3">
        <v>0.15189951656481329</v>
      </c>
      <c r="C1216" s="3">
        <v>6.7234581386519693E-2</v>
      </c>
      <c r="D1216" s="1">
        <v>202538.16355895466</v>
      </c>
      <c r="E1216" s="1">
        <v>7326904</v>
      </c>
      <c r="F1216" s="1">
        <v>30829700</v>
      </c>
      <c r="G1216" s="16">
        <v>24349.700737967454</v>
      </c>
      <c r="H1216">
        <v>98.51</v>
      </c>
      <c r="I1216" s="1">
        <v>281.24</v>
      </c>
      <c r="J1216" s="16">
        <v>226887.86429692211</v>
      </c>
      <c r="K1216" s="5">
        <v>-3.0989450166796002E-2</v>
      </c>
      <c r="L1216" s="10">
        <v>-35983.027699999999</v>
      </c>
    </row>
    <row r="1217" spans="1:12" x14ac:dyDescent="0.25">
      <c r="A1217">
        <v>1216</v>
      </c>
      <c r="B1217" s="3">
        <v>0.1373494871635782</v>
      </c>
      <c r="C1217" s="3">
        <v>4.3521801640669072E-2</v>
      </c>
      <c r="D1217" s="1">
        <v>130463.24380352123</v>
      </c>
      <c r="E1217" s="1">
        <v>4409118</v>
      </c>
      <c r="F1217" s="1">
        <v>25470527</v>
      </c>
      <c r="G1217" s="16">
        <v>37665.619376606774</v>
      </c>
      <c r="H1217">
        <v>159.56</v>
      </c>
      <c r="I1217" s="1">
        <v>538.1400000000001</v>
      </c>
      <c r="J1217" s="16">
        <v>168128.86318012798</v>
      </c>
      <c r="K1217" s="5">
        <v>0.11197547224063768</v>
      </c>
      <c r="L1217" s="10">
        <v>354794.95150000002</v>
      </c>
    </row>
    <row r="1218" spans="1:12" x14ac:dyDescent="0.25">
      <c r="A1218">
        <v>1217</v>
      </c>
      <c r="B1218" s="3">
        <v>0.21887609383654705</v>
      </c>
      <c r="C1218" s="3">
        <v>5.031836214670219E-2</v>
      </c>
      <c r="D1218" s="1">
        <v>68571.75791262991</v>
      </c>
      <c r="E1218" s="1">
        <v>2692704</v>
      </c>
      <c r="F1218" s="1">
        <v>17851806</v>
      </c>
      <c r="G1218" s="16">
        <v>13688.303510409249</v>
      </c>
      <c r="H1218">
        <v>90.69</v>
      </c>
      <c r="I1218" s="1">
        <v>261.77</v>
      </c>
      <c r="J1218" s="16">
        <v>82260.061423039151</v>
      </c>
      <c r="K1218" s="5">
        <v>0.10209398626480601</v>
      </c>
      <c r="L1218" s="10">
        <v>155156.95699999999</v>
      </c>
    </row>
    <row r="1219" spans="1:12" x14ac:dyDescent="0.25">
      <c r="A1219">
        <v>1218</v>
      </c>
      <c r="B1219" s="3">
        <v>0.24888393770304754</v>
      </c>
      <c r="C1219" s="3">
        <v>6.8512458034962281E-2</v>
      </c>
      <c r="D1219" s="1">
        <v>88382.63575376838</v>
      </c>
      <c r="E1219" s="1">
        <v>5196868</v>
      </c>
      <c r="F1219" s="1">
        <v>37147570</v>
      </c>
      <c r="G1219" s="16">
        <v>7160.9008569044472</v>
      </c>
      <c r="H1219">
        <v>59.83</v>
      </c>
      <c r="I1219" s="1">
        <v>203.01999999999998</v>
      </c>
      <c r="J1219" s="16">
        <v>95543.536610672832</v>
      </c>
      <c r="K1219" s="5">
        <v>0.10416076468423457</v>
      </c>
      <c r="L1219" s="10">
        <v>109403.80929999999</v>
      </c>
    </row>
    <row r="1220" spans="1:12" x14ac:dyDescent="0.25">
      <c r="A1220">
        <v>1219</v>
      </c>
      <c r="B1220" s="3">
        <v>0.22120956316982868</v>
      </c>
      <c r="C1220" s="3">
        <v>6.4730340827493876E-2</v>
      </c>
      <c r="D1220" s="1">
        <v>76316.961960321772</v>
      </c>
      <c r="E1220" s="1">
        <v>3882771</v>
      </c>
      <c r="F1220" s="1">
        <v>21626299</v>
      </c>
      <c r="G1220" s="16">
        <v>19885.928653021463</v>
      </c>
      <c r="H1220">
        <v>172.33</v>
      </c>
      <c r="I1220" s="1">
        <v>585.09</v>
      </c>
      <c r="J1220" s="16">
        <v>96202.890613343232</v>
      </c>
      <c r="K1220" s="5">
        <v>5.6286448243663953E-2</v>
      </c>
      <c r="L1220" s="10">
        <v>78834.375599999999</v>
      </c>
    </row>
    <row r="1221" spans="1:12" x14ac:dyDescent="0.25">
      <c r="A1221">
        <v>1220</v>
      </c>
      <c r="B1221" s="3">
        <v>0.17642848234473435</v>
      </c>
      <c r="C1221" s="3">
        <v>3.4024254432734609E-2</v>
      </c>
      <c r="D1221" s="1">
        <v>303441.47763236292</v>
      </c>
      <c r="E1221" s="1">
        <v>12344468</v>
      </c>
      <c r="F1221" s="1">
        <v>41046915</v>
      </c>
      <c r="G1221" s="16">
        <v>33475.752973975323</v>
      </c>
      <c r="H1221">
        <v>195.9</v>
      </c>
      <c r="I1221" s="1">
        <v>576.36</v>
      </c>
      <c r="J1221" s="16">
        <v>336917.23060633824</v>
      </c>
      <c r="K1221" s="5">
        <v>7.7746552190019622E-2</v>
      </c>
      <c r="L1221" s="10">
        <v>596117.20669999998</v>
      </c>
    </row>
    <row r="1222" spans="1:12" x14ac:dyDescent="0.25">
      <c r="A1222">
        <v>1221</v>
      </c>
      <c r="B1222" s="3">
        <v>0.16361476294380017</v>
      </c>
      <c r="C1222" s="3">
        <v>4.8543543588702096E-2</v>
      </c>
      <c r="D1222" s="1">
        <v>93166.890831716169</v>
      </c>
      <c r="E1222" s="1">
        <v>2980200</v>
      </c>
      <c r="F1222" s="1">
        <v>15995388</v>
      </c>
      <c r="G1222" s="16">
        <v>29873.340118511034</v>
      </c>
      <c r="H1222">
        <v>156.80000000000001</v>
      </c>
      <c r="I1222" s="1">
        <v>472.81</v>
      </c>
      <c r="J1222" s="16">
        <v>123040.23095022721</v>
      </c>
      <c r="K1222" s="5">
        <v>6.2516839836532348E-2</v>
      </c>
      <c r="L1222" s="10">
        <v>135919.2659</v>
      </c>
    </row>
    <row r="1223" spans="1:12" x14ac:dyDescent="0.25">
      <c r="A1223">
        <v>1222</v>
      </c>
      <c r="B1223" s="3">
        <v>0.18721728329322518</v>
      </c>
      <c r="C1223" s="3">
        <v>2.0226274900855993E-2</v>
      </c>
      <c r="D1223" s="1">
        <v>90415.861821111481</v>
      </c>
      <c r="E1223" s="1">
        <v>2561528</v>
      </c>
      <c r="F1223" s="1">
        <v>10423118</v>
      </c>
      <c r="G1223" s="16">
        <v>54474.574637347236</v>
      </c>
      <c r="H1223">
        <v>430.85</v>
      </c>
      <c r="I1223" s="1">
        <v>1249.98</v>
      </c>
      <c r="J1223" s="16">
        <v>144890.43645845872</v>
      </c>
      <c r="K1223" s="5">
        <v>6.6288389892896801E-2</v>
      </c>
      <c r="L1223" s="10">
        <v>435752.79200000002</v>
      </c>
    </row>
    <row r="1224" spans="1:12" x14ac:dyDescent="0.25">
      <c r="A1224">
        <v>1223</v>
      </c>
      <c r="B1224" s="3">
        <v>0.22871042974041125</v>
      </c>
      <c r="C1224" s="3">
        <v>3.6999093170632213E-2</v>
      </c>
      <c r="D1224" s="1">
        <v>96662.219811326926</v>
      </c>
      <c r="E1224" s="1">
        <v>5111985</v>
      </c>
      <c r="F1224" s="1">
        <v>24719150</v>
      </c>
      <c r="G1224" s="16">
        <v>10082.799789262914</v>
      </c>
      <c r="H1224">
        <v>72.08</v>
      </c>
      <c r="I1224" s="1">
        <v>198.01999999999998</v>
      </c>
      <c r="J1224" s="16">
        <v>106745.01960058985</v>
      </c>
      <c r="K1224" s="5">
        <v>0.12834019020244644</v>
      </c>
      <c r="L1224" s="10">
        <v>317568.50939999998</v>
      </c>
    </row>
    <row r="1225" spans="1:12" x14ac:dyDescent="0.25">
      <c r="A1225">
        <v>1224</v>
      </c>
      <c r="B1225" s="3">
        <v>0.13335314497452033</v>
      </c>
      <c r="C1225" s="3">
        <v>4.3107211815398769E-2</v>
      </c>
      <c r="D1225" s="1">
        <v>279405.9010288865</v>
      </c>
      <c r="E1225" s="1">
        <v>9269785</v>
      </c>
      <c r="F1225" s="1">
        <v>27438547</v>
      </c>
      <c r="G1225" s="16">
        <v>17151.230209390476</v>
      </c>
      <c r="H1225">
        <v>60.89</v>
      </c>
      <c r="I1225" s="1">
        <v>218.35000000000002</v>
      </c>
      <c r="J1225" s="16">
        <v>296557.13123827695</v>
      </c>
      <c r="K1225" s="5">
        <v>0.17721774964819267</v>
      </c>
      <c r="L1225" s="10">
        <v>910341.7071</v>
      </c>
    </row>
    <row r="1226" spans="1:12" x14ac:dyDescent="0.25">
      <c r="A1226">
        <v>1225</v>
      </c>
      <c r="B1226" s="3">
        <v>0.2455001140422457</v>
      </c>
      <c r="C1226" s="3">
        <v>3.8997868218173179E-2</v>
      </c>
      <c r="D1226" s="1">
        <v>34769.349717993704</v>
      </c>
      <c r="E1226" s="1">
        <v>1515032</v>
      </c>
      <c r="F1226" s="1">
        <v>11864133</v>
      </c>
      <c r="G1226" s="16">
        <v>30350.382931040425</v>
      </c>
      <c r="H1226">
        <v>435.15</v>
      </c>
      <c r="I1226" s="1">
        <v>1076.19</v>
      </c>
      <c r="J1226" s="16">
        <v>65119.732649034129</v>
      </c>
      <c r="K1226" s="5">
        <v>4.5419526379349838E-2</v>
      </c>
      <c r="L1226" s="10">
        <v>70410.602100000004</v>
      </c>
    </row>
    <row r="1227" spans="1:12" x14ac:dyDescent="0.25">
      <c r="A1227">
        <v>1226</v>
      </c>
      <c r="B1227" s="3">
        <v>0.24976813932215697</v>
      </c>
      <c r="C1227" s="3">
        <v>6.1878892098734983E-2</v>
      </c>
      <c r="D1227" s="1">
        <v>155036.30592540381</v>
      </c>
      <c r="E1227" s="1">
        <v>9159122</v>
      </c>
      <c r="F1227" s="1">
        <v>33971646</v>
      </c>
      <c r="G1227" s="16">
        <v>13990.967659991131</v>
      </c>
      <c r="H1227">
        <v>157.24</v>
      </c>
      <c r="I1227" s="1">
        <v>448.32000000000005</v>
      </c>
      <c r="J1227" s="16">
        <v>169027.27358539493</v>
      </c>
      <c r="K1227" s="5">
        <v>8.6409539463246962E-2</v>
      </c>
      <c r="L1227" s="10">
        <v>193673.81109999999</v>
      </c>
    </row>
    <row r="1228" spans="1:12" x14ac:dyDescent="0.25">
      <c r="A1228">
        <v>1227</v>
      </c>
      <c r="B1228" s="3">
        <v>0.13914279676690733</v>
      </c>
      <c r="C1228" s="3">
        <v>7.8759831227617441E-2</v>
      </c>
      <c r="D1228" s="1">
        <v>231598.47649704537</v>
      </c>
      <c r="E1228" s="1">
        <v>7892484</v>
      </c>
      <c r="F1228" s="1">
        <v>25025089</v>
      </c>
      <c r="G1228" s="16">
        <v>111795.70121804858</v>
      </c>
      <c r="H1228">
        <v>647.47</v>
      </c>
      <c r="I1228" s="1">
        <v>1777.22</v>
      </c>
      <c r="J1228" s="16">
        <v>343394.17771509395</v>
      </c>
      <c r="K1228" s="5">
        <v>0.15299060097811601</v>
      </c>
      <c r="L1228" s="10">
        <v>381934.21799999999</v>
      </c>
    </row>
    <row r="1229" spans="1:12" x14ac:dyDescent="0.25">
      <c r="A1229">
        <v>1228</v>
      </c>
      <c r="B1229" s="3">
        <v>0.20344158481542302</v>
      </c>
      <c r="C1229" s="3">
        <v>2.1274487639795808E-2</v>
      </c>
      <c r="D1229" s="1">
        <v>257090.27562128531</v>
      </c>
      <c r="E1229" s="1">
        <v>15003771</v>
      </c>
      <c r="F1229" s="1">
        <v>55327425</v>
      </c>
      <c r="G1229" s="16">
        <v>25828.545457043598</v>
      </c>
      <c r="H1229">
        <v>190.8</v>
      </c>
      <c r="I1229" s="1">
        <v>613.08000000000004</v>
      </c>
      <c r="J1229" s="16">
        <v>282918.82107832888</v>
      </c>
      <c r="K1229" s="5">
        <v>7.1700750571726368E-2</v>
      </c>
      <c r="L1229" s="10">
        <v>901179.44739999995</v>
      </c>
    </row>
    <row r="1230" spans="1:12" x14ac:dyDescent="0.25">
      <c r="A1230">
        <v>1229</v>
      </c>
      <c r="B1230" s="3">
        <v>0.16597550338942188</v>
      </c>
      <c r="C1230" s="3">
        <v>2.3684125868497313E-2</v>
      </c>
      <c r="D1230" s="1">
        <v>169777.03398659354</v>
      </c>
      <c r="E1230" s="1">
        <v>5477036</v>
      </c>
      <c r="F1230" s="1">
        <v>19992150</v>
      </c>
      <c r="G1230" s="16">
        <v>30266.507271471168</v>
      </c>
      <c r="H1230">
        <v>135.19</v>
      </c>
      <c r="I1230" s="1">
        <v>323.61</v>
      </c>
      <c r="J1230" s="16">
        <v>200043.54125806471</v>
      </c>
      <c r="K1230" s="5">
        <v>7.5088916734122629E-2</v>
      </c>
      <c r="L1230" s="10">
        <v>561603.88089999999</v>
      </c>
    </row>
    <row r="1231" spans="1:12" x14ac:dyDescent="0.25">
      <c r="A1231">
        <v>1230</v>
      </c>
      <c r="B1231" s="3">
        <v>0.14324599250560821</v>
      </c>
      <c r="C1231" s="3">
        <v>5.6258307195285157E-2</v>
      </c>
      <c r="D1231" s="1">
        <v>254041.56949952879</v>
      </c>
      <c r="E1231" s="1">
        <v>8824359</v>
      </c>
      <c r="F1231" s="1">
        <v>34709042</v>
      </c>
      <c r="G1231" s="16">
        <v>41219.653759603832</v>
      </c>
      <c r="H1231">
        <v>183.03</v>
      </c>
      <c r="I1231" s="1">
        <v>522.22</v>
      </c>
      <c r="J1231" s="16">
        <v>295261.22325913265</v>
      </c>
      <c r="K1231" s="5">
        <v>0.135429743950786</v>
      </c>
      <c r="L1231" s="10">
        <v>523297.93770000001</v>
      </c>
    </row>
    <row r="1232" spans="1:12" x14ac:dyDescent="0.25">
      <c r="A1232">
        <v>1231</v>
      </c>
      <c r="B1232" s="3">
        <v>0.24036819686254357</v>
      </c>
      <c r="C1232" s="3">
        <v>2.5126597043073184E-2</v>
      </c>
      <c r="D1232" s="1">
        <v>63477.251004826736</v>
      </c>
      <c r="E1232" s="1">
        <v>2710262</v>
      </c>
      <c r="F1232" s="1">
        <v>15713881</v>
      </c>
      <c r="G1232" s="16">
        <v>9046.7380569808684</v>
      </c>
      <c r="H1232">
        <v>53.78</v>
      </c>
      <c r="I1232" s="1">
        <v>172.23</v>
      </c>
      <c r="J1232" s="16">
        <v>72523.989061807602</v>
      </c>
      <c r="K1232" s="5">
        <v>0.15452363269398978</v>
      </c>
      <c r="L1232" s="10">
        <v>407215.9768</v>
      </c>
    </row>
    <row r="1233" spans="1:12" x14ac:dyDescent="0.25">
      <c r="A1233">
        <v>1232</v>
      </c>
      <c r="B1233" s="3">
        <v>0.16645594562312799</v>
      </c>
      <c r="C1233" s="3">
        <v>6.723637926284913E-2</v>
      </c>
      <c r="D1233" s="1">
        <v>123857.74396697753</v>
      </c>
      <c r="E1233" s="1">
        <v>4002582</v>
      </c>
      <c r="F1233" s="1">
        <v>18177136</v>
      </c>
      <c r="G1233" s="16">
        <v>12766.976976085256</v>
      </c>
      <c r="H1233">
        <v>47.7</v>
      </c>
      <c r="I1233" s="1">
        <v>174.08000000000004</v>
      </c>
      <c r="J1233" s="16">
        <v>136624.7209430628</v>
      </c>
      <c r="K1233" s="5">
        <v>5.444889946832103E-2</v>
      </c>
      <c r="L1233" s="10">
        <v>95553.292300000001</v>
      </c>
    </row>
    <row r="1234" spans="1:12" x14ac:dyDescent="0.25">
      <c r="A1234">
        <v>1233</v>
      </c>
      <c r="B1234" s="3">
        <v>0.16732294627727795</v>
      </c>
      <c r="C1234" s="3">
        <v>3.8366816852468982E-2</v>
      </c>
      <c r="D1234" s="1">
        <v>89595.808111830353</v>
      </c>
      <c r="E1234" s="1">
        <v>2904425</v>
      </c>
      <c r="F1234" s="1">
        <v>14853708</v>
      </c>
      <c r="G1234" s="16">
        <v>15223.328908065496</v>
      </c>
      <c r="H1234">
        <v>68.69</v>
      </c>
      <c r="I1234" s="1">
        <v>257.76</v>
      </c>
      <c r="J1234" s="16">
        <v>104819.13701989585</v>
      </c>
      <c r="K1234" s="5">
        <v>9.9684709070321703E-2</v>
      </c>
      <c r="L1234" s="10">
        <v>244321.09669999999</v>
      </c>
    </row>
    <row r="1235" spans="1:12" x14ac:dyDescent="0.25">
      <c r="A1235">
        <v>1234</v>
      </c>
      <c r="B1235" s="3">
        <v>0.11675903382224316</v>
      </c>
      <c r="C1235" s="3">
        <v>5.3917812272628415E-2</v>
      </c>
      <c r="D1235" s="1">
        <v>55213.876546422063</v>
      </c>
      <c r="E1235" s="1">
        <v>1499731</v>
      </c>
      <c r="F1235" s="1">
        <v>14085425</v>
      </c>
      <c r="G1235" s="16">
        <v>56825.735771261367</v>
      </c>
      <c r="H1235">
        <v>203.8</v>
      </c>
      <c r="I1235" s="1">
        <v>551.55999999999995</v>
      </c>
      <c r="J1235" s="16">
        <v>112039.61231768344</v>
      </c>
      <c r="K1235" s="5">
        <v>0.14879815392672496</v>
      </c>
      <c r="L1235" s="10">
        <v>246303.81109999999</v>
      </c>
    </row>
    <row r="1236" spans="1:12" x14ac:dyDescent="0.25">
      <c r="A1236">
        <v>1235</v>
      </c>
      <c r="B1236" s="3">
        <v>0.20470119088805674</v>
      </c>
      <c r="C1236" s="3">
        <v>6.0431530241460307E-2</v>
      </c>
      <c r="D1236" s="1">
        <v>100309.6676896915</v>
      </c>
      <c r="E1236" s="1">
        <v>3732112</v>
      </c>
      <c r="F1236" s="1">
        <v>16349739</v>
      </c>
      <c r="G1236" s="16">
        <v>20415.685819380811</v>
      </c>
      <c r="H1236">
        <v>152.58000000000001</v>
      </c>
      <c r="I1236" s="1">
        <v>430.83000000000004</v>
      </c>
      <c r="J1236" s="16">
        <v>120725.35350907232</v>
      </c>
      <c r="K1236" s="5">
        <v>0.13509055916541277</v>
      </c>
      <c r="L1236" s="10">
        <v>201758.44839999999</v>
      </c>
    </row>
    <row r="1237" spans="1:12" x14ac:dyDescent="0.25">
      <c r="A1237">
        <v>1236</v>
      </c>
      <c r="B1237" s="3">
        <v>0.2449487055166219</v>
      </c>
      <c r="C1237" s="3">
        <v>3.6268413860928189E-2</v>
      </c>
      <c r="D1237" s="1">
        <v>331876.2582488333</v>
      </c>
      <c r="E1237" s="1">
        <v>25310275</v>
      </c>
      <c r="F1237" s="1">
        <v>71162159</v>
      </c>
      <c r="G1237" s="16">
        <v>21491.11801488894</v>
      </c>
      <c r="H1237">
        <v>231.12</v>
      </c>
      <c r="I1237" s="1">
        <v>564.73</v>
      </c>
      <c r="J1237" s="16">
        <v>353367.37626372225</v>
      </c>
      <c r="K1237" s="5">
        <v>0.11606917204640847</v>
      </c>
      <c r="L1237" s="10">
        <v>921851.95189999999</v>
      </c>
    </row>
    <row r="1238" spans="1:12" x14ac:dyDescent="0.25">
      <c r="A1238">
        <v>1237</v>
      </c>
      <c r="B1238" s="3">
        <v>0.19609448186832334</v>
      </c>
      <c r="C1238" s="3">
        <v>2.5227482447175521E-2</v>
      </c>
      <c r="D1238" s="1">
        <v>62442.444266996543</v>
      </c>
      <c r="E1238" s="1">
        <v>2798096</v>
      </c>
      <c r="F1238" s="1">
        <v>23500147</v>
      </c>
      <c r="G1238" s="16">
        <v>29994.269713687412</v>
      </c>
      <c r="H1238">
        <v>258.48</v>
      </c>
      <c r="I1238" s="1">
        <v>785.06999999999994</v>
      </c>
      <c r="J1238" s="16">
        <v>92436.713980683955</v>
      </c>
      <c r="K1238" s="5">
        <v>0.11427363408151418</v>
      </c>
      <c r="L1238" s="10">
        <v>359266.7023</v>
      </c>
    </row>
    <row r="1239" spans="1:12" x14ac:dyDescent="0.25">
      <c r="A1239">
        <v>1238</v>
      </c>
      <c r="B1239" s="3">
        <v>0.18610993313350221</v>
      </c>
      <c r="C1239" s="3">
        <v>4.6153564220736285E-2</v>
      </c>
      <c r="D1239" s="1">
        <v>160080.00712010116</v>
      </c>
      <c r="E1239" s="1">
        <v>6827741</v>
      </c>
      <c r="F1239" s="1">
        <v>36139327</v>
      </c>
      <c r="G1239" s="16">
        <v>12431.712341936976</v>
      </c>
      <c r="H1239">
        <v>64.28</v>
      </c>
      <c r="I1239" s="1">
        <v>204.58</v>
      </c>
      <c r="J1239" s="16">
        <v>172511.71946203813</v>
      </c>
      <c r="K1239" s="5">
        <v>0.15450945293286433</v>
      </c>
      <c r="L1239" s="10">
        <v>463263.01689999999</v>
      </c>
    </row>
    <row r="1240" spans="1:12" x14ac:dyDescent="0.25">
      <c r="A1240">
        <v>1239</v>
      </c>
      <c r="B1240" s="3">
        <v>0.12226366625942742</v>
      </c>
      <c r="C1240" s="3">
        <v>3.8965579408047193E-2</v>
      </c>
      <c r="D1240" s="1">
        <v>185042.65009654226</v>
      </c>
      <c r="E1240" s="1">
        <v>5834702</v>
      </c>
      <c r="F1240" s="1">
        <v>24727903</v>
      </c>
      <c r="G1240" s="16">
        <v>40423.892338937985</v>
      </c>
      <c r="H1240">
        <v>133.05000000000001</v>
      </c>
      <c r="I1240" s="1">
        <v>334.85</v>
      </c>
      <c r="J1240" s="16">
        <v>225466.54243548025</v>
      </c>
      <c r="K1240" s="5">
        <v>-4.4361586207456061E-2</v>
      </c>
      <c r="L1240" s="10">
        <v>-175604.1268</v>
      </c>
    </row>
    <row r="1241" spans="1:12" x14ac:dyDescent="0.25">
      <c r="A1241">
        <v>1240</v>
      </c>
      <c r="B1241" s="3">
        <v>0.18005406997774359</v>
      </c>
      <c r="C1241" s="3">
        <v>2.659406118844709E-2</v>
      </c>
      <c r="D1241" s="1">
        <v>70568.751339382463</v>
      </c>
      <c r="E1241" s="1">
        <v>2395849</v>
      </c>
      <c r="F1241" s="1">
        <v>14039341</v>
      </c>
      <c r="G1241" s="16">
        <v>18301.889633756902</v>
      </c>
      <c r="H1241">
        <v>110.48</v>
      </c>
      <c r="I1241" s="1">
        <v>452.47</v>
      </c>
      <c r="J1241" s="16">
        <v>88870.640973139365</v>
      </c>
      <c r="K1241" s="5">
        <v>0.12545054883687928</v>
      </c>
      <c r="L1241" s="10">
        <v>377819.29670000001</v>
      </c>
    </row>
    <row r="1242" spans="1:12" x14ac:dyDescent="0.25">
      <c r="A1242">
        <v>1241</v>
      </c>
      <c r="B1242" s="3">
        <v>0.19145268297265378</v>
      </c>
      <c r="C1242" s="3">
        <v>4.7549123599630407E-2</v>
      </c>
      <c r="D1242" s="1">
        <v>159045.22775504578</v>
      </c>
      <c r="E1242" s="1">
        <v>5631286</v>
      </c>
      <c r="F1242" s="1">
        <v>19579032</v>
      </c>
      <c r="G1242" s="16">
        <v>44049.797540659725</v>
      </c>
      <c r="H1242">
        <v>293.11</v>
      </c>
      <c r="I1242" s="1">
        <v>730.2</v>
      </c>
      <c r="J1242" s="16">
        <v>203095.02529570551</v>
      </c>
      <c r="K1242" s="5">
        <v>0.21775641673458146</v>
      </c>
      <c r="L1242" s="10">
        <v>678515.98869999999</v>
      </c>
    </row>
    <row r="1243" spans="1:12" x14ac:dyDescent="0.25">
      <c r="A1243">
        <v>1242</v>
      </c>
      <c r="B1243" s="3">
        <v>0.20741730064962216</v>
      </c>
      <c r="C1243" s="3">
        <v>2.143968187257958E-2</v>
      </c>
      <c r="D1243" s="1">
        <v>118470.34593964538</v>
      </c>
      <c r="E1243" s="1">
        <v>4453265</v>
      </c>
      <c r="F1243" s="1">
        <v>20038243</v>
      </c>
      <c r="G1243" s="16">
        <v>17594.238486303104</v>
      </c>
      <c r="H1243">
        <v>134.88</v>
      </c>
      <c r="I1243" s="1">
        <v>431.93</v>
      </c>
      <c r="J1243" s="16">
        <v>136064.5844259485</v>
      </c>
      <c r="K1243" s="5">
        <v>0.28220831605617264</v>
      </c>
      <c r="L1243" s="10">
        <v>1578201.74</v>
      </c>
    </row>
    <row r="1244" spans="1:12" x14ac:dyDescent="0.25">
      <c r="A1244">
        <v>1243</v>
      </c>
      <c r="B1244" s="3">
        <v>0.21372367686532426</v>
      </c>
      <c r="C1244" s="3">
        <v>3.5971388001544639E-2</v>
      </c>
      <c r="D1244" s="1">
        <v>90423.11884204681</v>
      </c>
      <c r="E1244" s="1">
        <v>3481421</v>
      </c>
      <c r="F1244" s="1">
        <v>17410845</v>
      </c>
      <c r="G1244" s="16">
        <v>55238.817176696451</v>
      </c>
      <c r="H1244">
        <v>724.71</v>
      </c>
      <c r="I1244" s="1">
        <v>1897.35</v>
      </c>
      <c r="J1244" s="16">
        <v>145661.93601874326</v>
      </c>
      <c r="K1244" s="5">
        <v>7.1999149489685679E-2</v>
      </c>
      <c r="L1244" s="10">
        <v>268212.47810000001</v>
      </c>
    </row>
    <row r="1245" spans="1:12" x14ac:dyDescent="0.25">
      <c r="A1245">
        <v>1244</v>
      </c>
      <c r="B1245" s="3">
        <v>0.16314284262855389</v>
      </c>
      <c r="C1245" s="3">
        <v>6.5925756710656591E-2</v>
      </c>
      <c r="D1245" s="1">
        <v>105743.41927304104</v>
      </c>
      <c r="E1245" s="1">
        <v>3376774</v>
      </c>
      <c r="F1245" s="1">
        <v>19408162</v>
      </c>
      <c r="G1245" s="16">
        <v>45416.127989899367</v>
      </c>
      <c r="H1245">
        <v>283.94</v>
      </c>
      <c r="I1245" s="1">
        <v>833.91000000000008</v>
      </c>
      <c r="J1245" s="16">
        <v>151159.54726294041</v>
      </c>
      <c r="K1245" s="5">
        <v>0.17466222674390774</v>
      </c>
      <c r="L1245" s="10">
        <v>262603.6225</v>
      </c>
    </row>
    <row r="1246" spans="1:12" x14ac:dyDescent="0.25">
      <c r="A1246">
        <v>1245</v>
      </c>
      <c r="B1246" s="3">
        <v>0.23292085185726882</v>
      </c>
      <c r="C1246" s="3">
        <v>3.9815059863706759E-2</v>
      </c>
      <c r="D1246" s="1">
        <v>105433.16061406463</v>
      </c>
      <c r="E1246" s="1">
        <v>4371795</v>
      </c>
      <c r="F1246" s="1">
        <v>20821128</v>
      </c>
      <c r="G1246" s="16">
        <v>25426.064878811896</v>
      </c>
      <c r="H1246">
        <v>244.9</v>
      </c>
      <c r="I1246" s="1">
        <v>623.68000000000006</v>
      </c>
      <c r="J1246" s="16">
        <v>130859.22549287653</v>
      </c>
      <c r="K1246" s="5">
        <v>0.11992367180889174</v>
      </c>
      <c r="L1246" s="10">
        <v>334668.533</v>
      </c>
    </row>
    <row r="1247" spans="1:12" x14ac:dyDescent="0.25">
      <c r="A1247">
        <v>1246</v>
      </c>
      <c r="B1247" s="3">
        <v>0.15500699938381413</v>
      </c>
      <c r="C1247" s="3">
        <v>4.8435791308603385E-2</v>
      </c>
      <c r="D1247" s="1">
        <v>482621.08730842063</v>
      </c>
      <c r="E1247" s="1">
        <v>20967349</v>
      </c>
      <c r="F1247" s="1">
        <v>64170571</v>
      </c>
      <c r="G1247" s="16">
        <v>31470.890170842475</v>
      </c>
      <c r="H1247">
        <v>130.21</v>
      </c>
      <c r="I1247" s="1">
        <v>360.74</v>
      </c>
      <c r="J1247" s="16">
        <v>514091.97747926309</v>
      </c>
      <c r="K1247" s="5">
        <v>0.19091696002815703</v>
      </c>
      <c r="L1247" s="10">
        <v>1483546.8112999999</v>
      </c>
    </row>
    <row r="1248" spans="1:12" x14ac:dyDescent="0.25">
      <c r="A1248">
        <v>1247</v>
      </c>
      <c r="B1248" s="3">
        <v>0.22769290797816397</v>
      </c>
      <c r="C1248" s="3">
        <v>2.6371785810382648E-2</v>
      </c>
      <c r="D1248" s="1">
        <v>151455.17077159716</v>
      </c>
      <c r="E1248" s="1">
        <v>6153426</v>
      </c>
      <c r="F1248" s="1">
        <v>20940280</v>
      </c>
      <c r="G1248" s="16">
        <v>12920.964168817702</v>
      </c>
      <c r="H1248">
        <v>118.54</v>
      </c>
      <c r="I1248" s="1">
        <v>419.91</v>
      </c>
      <c r="J1248" s="16">
        <v>164376.13494041486</v>
      </c>
      <c r="K1248" s="5">
        <v>0.13984488669691458</v>
      </c>
      <c r="L1248" s="10">
        <v>768675.88379999995</v>
      </c>
    </row>
    <row r="1249" spans="1:12" x14ac:dyDescent="0.25">
      <c r="A1249">
        <v>1248</v>
      </c>
      <c r="B1249" s="3">
        <v>0.21336132358154708</v>
      </c>
      <c r="C1249" s="3">
        <v>3.5802338234955149E-2</v>
      </c>
      <c r="D1249" s="1">
        <v>185799.67421695479</v>
      </c>
      <c r="E1249" s="1">
        <v>9081263</v>
      </c>
      <c r="F1249" s="1">
        <v>26645094</v>
      </c>
      <c r="G1249" s="16">
        <v>18902.192234717706</v>
      </c>
      <c r="H1249">
        <v>120.19</v>
      </c>
      <c r="I1249" s="1">
        <v>314.43</v>
      </c>
      <c r="J1249" s="16">
        <v>204701.86645167251</v>
      </c>
      <c r="K1249" s="5">
        <v>0.16523899094332992</v>
      </c>
      <c r="L1249" s="10">
        <v>744769.60349999997</v>
      </c>
    </row>
    <row r="1250" spans="1:12" x14ac:dyDescent="0.25">
      <c r="A1250">
        <v>1249</v>
      </c>
      <c r="B1250" s="3">
        <v>0.21518312761125249</v>
      </c>
      <c r="C1250" s="3">
        <v>6.2244331801580552E-2</v>
      </c>
      <c r="D1250" s="1">
        <v>55119.426293185017</v>
      </c>
      <c r="E1250" s="1">
        <v>2134042</v>
      </c>
      <c r="F1250" s="1">
        <v>14687486</v>
      </c>
      <c r="G1250" s="16">
        <v>16605.491677248177</v>
      </c>
      <c r="H1250">
        <v>106.91</v>
      </c>
      <c r="I1250" s="1">
        <v>314.52999999999997</v>
      </c>
      <c r="J1250" s="16">
        <v>71724.917970433191</v>
      </c>
      <c r="K1250" s="5">
        <v>0.27648314938847313</v>
      </c>
      <c r="L1250" s="10">
        <v>248602.8051</v>
      </c>
    </row>
    <row r="1251" spans="1:12" x14ac:dyDescent="0.25">
      <c r="A1251">
        <v>1250</v>
      </c>
      <c r="B1251" s="3">
        <v>0.20824432748562749</v>
      </c>
      <c r="C1251" s="3">
        <v>7.1056998371489294E-2</v>
      </c>
      <c r="D1251" s="1">
        <v>120003.24873421567</v>
      </c>
      <c r="E1251" s="1">
        <v>5715195</v>
      </c>
      <c r="F1251" s="1">
        <v>26006987</v>
      </c>
      <c r="G1251" s="16">
        <v>34193.550429198498</v>
      </c>
      <c r="H1251">
        <v>333.46</v>
      </c>
      <c r="I1251" s="1">
        <v>812.54</v>
      </c>
      <c r="J1251" s="16">
        <v>154196.79916341417</v>
      </c>
      <c r="K1251" s="5">
        <v>-6.8145475003148839E-3</v>
      </c>
      <c r="L1251" s="10">
        <v>-8189.7336999999998</v>
      </c>
    </row>
    <row r="1252" spans="1:12" x14ac:dyDescent="0.25">
      <c r="A1252">
        <v>1251</v>
      </c>
      <c r="B1252" s="3">
        <v>0.17676614766475635</v>
      </c>
      <c r="C1252" s="3">
        <v>6.3281089311218328E-2</v>
      </c>
      <c r="D1252" s="1">
        <v>246012.06432597732</v>
      </c>
      <c r="E1252" s="1">
        <v>10024592</v>
      </c>
      <c r="F1252" s="1">
        <v>37304165</v>
      </c>
      <c r="G1252" s="16">
        <v>17769.218818179674</v>
      </c>
      <c r="H1252">
        <v>85.91</v>
      </c>
      <c r="I1252" s="1">
        <v>298.84000000000003</v>
      </c>
      <c r="J1252" s="16">
        <v>263781.28314415697</v>
      </c>
      <c r="K1252" s="5">
        <v>9.8271158212744722E-2</v>
      </c>
      <c r="L1252" s="10">
        <v>275646.3198</v>
      </c>
    </row>
    <row r="1253" spans="1:12" x14ac:dyDescent="0.25">
      <c r="A1253">
        <v>1252</v>
      </c>
      <c r="B1253" s="3">
        <v>0.21405123590640179</v>
      </c>
      <c r="C1253" s="3">
        <v>4.4024716109713605E-2</v>
      </c>
      <c r="D1253" s="1">
        <v>74617.697889823627</v>
      </c>
      <c r="E1253" s="1">
        <v>2876485</v>
      </c>
      <c r="F1253" s="1">
        <v>12196169</v>
      </c>
      <c r="G1253" s="16">
        <v>13038.917048016803</v>
      </c>
      <c r="H1253">
        <v>105.76</v>
      </c>
      <c r="I1253" s="1">
        <v>429</v>
      </c>
      <c r="J1253" s="16">
        <v>87656.614937840437</v>
      </c>
      <c r="K1253" s="5">
        <v>0.27404403320022785</v>
      </c>
      <c r="L1253" s="10">
        <v>430113.73200000002</v>
      </c>
    </row>
    <row r="1254" spans="1:12" x14ac:dyDescent="0.25">
      <c r="A1254">
        <v>1253</v>
      </c>
      <c r="B1254" s="3">
        <v>0.23956413803022442</v>
      </c>
      <c r="C1254" s="3">
        <v>7.0359723862388091E-2</v>
      </c>
      <c r="D1254" s="1">
        <v>71886.486536901459</v>
      </c>
      <c r="E1254" s="1">
        <v>3059582</v>
      </c>
      <c r="F1254" s="1">
        <v>19366025</v>
      </c>
      <c r="G1254" s="16">
        <v>12095.857268453468</v>
      </c>
      <c r="H1254">
        <v>94.11</v>
      </c>
      <c r="I1254" s="1">
        <v>321.14999999999998</v>
      </c>
      <c r="J1254" s="16">
        <v>83982.343805354933</v>
      </c>
      <c r="K1254" s="5">
        <v>0.23380714545613637</v>
      </c>
      <c r="L1254" s="10">
        <v>221755.6311</v>
      </c>
    </row>
    <row r="1255" spans="1:12" x14ac:dyDescent="0.25">
      <c r="A1255">
        <v>1254</v>
      </c>
      <c r="B1255" s="3">
        <v>0.21479715127292648</v>
      </c>
      <c r="C1255" s="3">
        <v>4.6830491274001018E-2</v>
      </c>
      <c r="D1255" s="1">
        <v>97414.87478174956</v>
      </c>
      <c r="E1255" s="1">
        <v>4796232</v>
      </c>
      <c r="F1255" s="1">
        <v>22449319</v>
      </c>
      <c r="G1255" s="16">
        <v>15373.422475035693</v>
      </c>
      <c r="H1255">
        <v>125.61</v>
      </c>
      <c r="I1255" s="1">
        <v>552.23</v>
      </c>
      <c r="J1255" s="16">
        <v>112788.29725678526</v>
      </c>
      <c r="K1255" s="5">
        <v>0.10296488032154236</v>
      </c>
      <c r="L1255" s="10">
        <v>197812.7972</v>
      </c>
    </row>
    <row r="1256" spans="1:12" x14ac:dyDescent="0.25">
      <c r="A1256">
        <v>1255</v>
      </c>
      <c r="B1256" s="3">
        <v>0.1915609235033246</v>
      </c>
      <c r="C1256" s="3">
        <v>5.6685446403959297E-2</v>
      </c>
      <c r="D1256" s="1">
        <v>145727.79708055605</v>
      </c>
      <c r="E1256" s="1">
        <v>6384932</v>
      </c>
      <c r="F1256" s="1">
        <v>23429119</v>
      </c>
      <c r="G1256" s="16">
        <v>14596.377479095474</v>
      </c>
      <c r="H1256">
        <v>78.739999999999995</v>
      </c>
      <c r="I1256" s="1">
        <v>265.13</v>
      </c>
      <c r="J1256" s="16">
        <v>160324.17455965152</v>
      </c>
      <c r="K1256" s="5">
        <v>5.4888911152595352E-2</v>
      </c>
      <c r="L1256" s="10">
        <v>127710.1007</v>
      </c>
    </row>
    <row r="1257" spans="1:12" x14ac:dyDescent="0.25">
      <c r="A1257">
        <v>1256</v>
      </c>
      <c r="B1257" s="3">
        <v>0.10002691672881626</v>
      </c>
      <c r="C1257" s="3">
        <v>7.7259898950039152E-2</v>
      </c>
      <c r="D1257" s="1">
        <v>280572.63932194235</v>
      </c>
      <c r="E1257" s="1">
        <v>8004420</v>
      </c>
      <c r="F1257" s="1">
        <v>39622905</v>
      </c>
      <c r="G1257" s="16">
        <v>21162.174136286936</v>
      </c>
      <c r="H1257">
        <v>59.83</v>
      </c>
      <c r="I1257" s="1">
        <v>204.05</v>
      </c>
      <c r="J1257" s="16">
        <v>301734.8134582293</v>
      </c>
      <c r="K1257" s="5">
        <v>0.19068027567374449</v>
      </c>
      <c r="L1257" s="10">
        <v>480548.5624</v>
      </c>
    </row>
    <row r="1258" spans="1:12" x14ac:dyDescent="0.25">
      <c r="A1258">
        <v>1257</v>
      </c>
      <c r="B1258" s="3">
        <v>0.10688067760202882</v>
      </c>
      <c r="C1258" s="3">
        <v>7.4349736389235213E-2</v>
      </c>
      <c r="D1258" s="1">
        <v>104404.38834791788</v>
      </c>
      <c r="E1258" s="1">
        <v>2742792</v>
      </c>
      <c r="F1258" s="1">
        <v>16622441</v>
      </c>
      <c r="G1258" s="16">
        <v>68711.212463051925</v>
      </c>
      <c r="H1258">
        <v>255.42</v>
      </c>
      <c r="I1258" s="1">
        <v>800.51</v>
      </c>
      <c r="J1258" s="16">
        <v>173115.6008109698</v>
      </c>
      <c r="K1258" s="5">
        <v>0.25920425394543978</v>
      </c>
      <c r="L1258" s="10">
        <v>415974.19420000003</v>
      </c>
    </row>
    <row r="1259" spans="1:12" x14ac:dyDescent="0.25">
      <c r="A1259">
        <v>1258</v>
      </c>
      <c r="B1259" s="3">
        <v>0.24256490705799286</v>
      </c>
      <c r="C1259" s="3">
        <v>3.7512799211173876E-2</v>
      </c>
      <c r="D1259" s="1">
        <v>124438.26838192625</v>
      </c>
      <c r="E1259" s="1">
        <v>7075800</v>
      </c>
      <c r="F1259" s="1">
        <v>24958925</v>
      </c>
      <c r="G1259" s="16">
        <v>19838.12109912595</v>
      </c>
      <c r="H1259">
        <v>208.29</v>
      </c>
      <c r="I1259" s="1">
        <v>615.41</v>
      </c>
      <c r="J1259" s="16">
        <v>144276.3894810522</v>
      </c>
      <c r="K1259" s="5">
        <v>0.30465191957513021</v>
      </c>
      <c r="L1259" s="10">
        <v>946024.4669</v>
      </c>
    </row>
    <row r="1260" spans="1:12" x14ac:dyDescent="0.25">
      <c r="A1260">
        <v>1259</v>
      </c>
      <c r="B1260" s="3">
        <v>0.21249851737129283</v>
      </c>
      <c r="C1260" s="3">
        <v>4.5907378130150354E-2</v>
      </c>
      <c r="D1260" s="1">
        <v>91622.303093502735</v>
      </c>
      <c r="E1260" s="1">
        <v>4458594</v>
      </c>
      <c r="F1260" s="1">
        <v>22738105</v>
      </c>
      <c r="G1260" s="16">
        <v>10674.192699902544</v>
      </c>
      <c r="H1260">
        <v>67.34</v>
      </c>
      <c r="I1260" s="1">
        <v>225.56</v>
      </c>
      <c r="J1260" s="16">
        <v>102296.49579340528</v>
      </c>
      <c r="K1260" s="5">
        <v>0.17830724673329174</v>
      </c>
      <c r="L1260" s="10">
        <v>349065.56349999999</v>
      </c>
    </row>
    <row r="1261" spans="1:12" x14ac:dyDescent="0.25">
      <c r="A1261">
        <v>1260</v>
      </c>
      <c r="B1261" s="3">
        <v>0.1336928170522414</v>
      </c>
      <c r="C1261" s="3">
        <v>2.26970852166977E-2</v>
      </c>
      <c r="D1261" s="1">
        <v>193103.00621222265</v>
      </c>
      <c r="E1261" s="1">
        <v>6416594</v>
      </c>
      <c r="F1261" s="1">
        <v>22886454</v>
      </c>
      <c r="G1261" s="16">
        <v>30221.495675096507</v>
      </c>
      <c r="H1261">
        <v>107.64</v>
      </c>
      <c r="I1261" s="1">
        <v>289.78000000000003</v>
      </c>
      <c r="J1261" s="16">
        <v>223324.50188731914</v>
      </c>
      <c r="K1261" s="5">
        <v>4.3162848609241591E-2</v>
      </c>
      <c r="L1261" s="10">
        <v>416904.8737</v>
      </c>
    </row>
    <row r="1262" spans="1:12" x14ac:dyDescent="0.25">
      <c r="A1262">
        <v>1261</v>
      </c>
      <c r="B1262" s="3">
        <v>0.23606088071132558</v>
      </c>
      <c r="C1262" s="3">
        <v>2.9804320483613034E-2</v>
      </c>
      <c r="D1262" s="1">
        <v>73691.693217763241</v>
      </c>
      <c r="E1262" s="1">
        <v>3093467</v>
      </c>
      <c r="F1262" s="1">
        <v>20275245</v>
      </c>
      <c r="G1262" s="16">
        <v>12893.931118550729</v>
      </c>
      <c r="H1262">
        <v>97.65</v>
      </c>
      <c r="I1262" s="1">
        <v>380.09000000000003</v>
      </c>
      <c r="J1262" s="16">
        <v>86585.624336313966</v>
      </c>
      <c r="K1262" s="5">
        <v>0.27709906531992007</v>
      </c>
      <c r="L1262" s="10">
        <v>739917.28700000001</v>
      </c>
    </row>
    <row r="1263" spans="1:12" x14ac:dyDescent="0.25">
      <c r="A1263">
        <v>1262</v>
      </c>
      <c r="B1263" s="3">
        <v>0.23156818779650248</v>
      </c>
      <c r="C1263" s="3">
        <v>2.2253129408136559E-2</v>
      </c>
      <c r="D1263" s="1">
        <v>54191.068596522899</v>
      </c>
      <c r="E1263" s="1">
        <v>1717593</v>
      </c>
      <c r="F1263" s="1">
        <v>10432373</v>
      </c>
      <c r="G1263" s="16">
        <v>19885.717674496278</v>
      </c>
      <c r="H1263">
        <v>189</v>
      </c>
      <c r="I1263" s="1">
        <v>504.58</v>
      </c>
      <c r="J1263" s="16">
        <v>74076.786271019169</v>
      </c>
      <c r="K1263" s="5">
        <v>2.7914940456230219E-2</v>
      </c>
      <c r="L1263" s="10">
        <v>94046.184399999998</v>
      </c>
    </row>
    <row r="1264" spans="1:12" x14ac:dyDescent="0.25">
      <c r="A1264">
        <v>1263</v>
      </c>
      <c r="B1264" s="3">
        <v>0.19190470332737602</v>
      </c>
      <c r="C1264" s="3">
        <v>7.3266641571697086E-2</v>
      </c>
      <c r="D1264" s="1">
        <v>124349.08287005746</v>
      </c>
      <c r="E1264" s="1">
        <v>4410195</v>
      </c>
      <c r="F1264" s="1">
        <v>18924601</v>
      </c>
      <c r="G1264" s="16">
        <v>13915.87700439642</v>
      </c>
      <c r="H1264">
        <v>92.98</v>
      </c>
      <c r="I1264" s="1">
        <v>396.13</v>
      </c>
      <c r="J1264" s="16">
        <v>138264.9598744539</v>
      </c>
      <c r="K1264" s="5">
        <v>7.4931496109404305E-2</v>
      </c>
      <c r="L1264" s="10">
        <v>108267.6446</v>
      </c>
    </row>
    <row r="1265" spans="1:12" x14ac:dyDescent="0.25">
      <c r="A1265">
        <v>1264</v>
      </c>
      <c r="B1265" s="3">
        <v>0.21488776426704684</v>
      </c>
      <c r="C1265" s="3">
        <v>2.4425675211608849E-2</v>
      </c>
      <c r="D1265" s="1">
        <v>191369.88063508461</v>
      </c>
      <c r="E1265" s="1">
        <v>9426471</v>
      </c>
      <c r="F1265" s="1">
        <v>40463441</v>
      </c>
      <c r="G1265" s="16">
        <v>14520.66005862067</v>
      </c>
      <c r="H1265">
        <v>93.34</v>
      </c>
      <c r="I1265" s="1">
        <v>353.87</v>
      </c>
      <c r="J1265" s="16">
        <v>205890.54069370529</v>
      </c>
      <c r="K1265" s="5">
        <v>9.4239990097144927E-2</v>
      </c>
      <c r="L1265" s="10">
        <v>714534.83019999997</v>
      </c>
    </row>
    <row r="1266" spans="1:12" x14ac:dyDescent="0.25">
      <c r="A1266">
        <v>1265</v>
      </c>
      <c r="B1266" s="3">
        <v>0.20620583524589969</v>
      </c>
      <c r="C1266" s="3">
        <v>5.5399994300906127E-2</v>
      </c>
      <c r="D1266" s="1">
        <v>296987.36352898221</v>
      </c>
      <c r="E1266" s="1">
        <v>13999397</v>
      </c>
      <c r="F1266" s="1">
        <v>42428757</v>
      </c>
      <c r="G1266" s="16">
        <v>23963.916387185003</v>
      </c>
      <c r="H1266">
        <v>181.49</v>
      </c>
      <c r="I1266" s="1">
        <v>525.99</v>
      </c>
      <c r="J1266" s="16">
        <v>320951.2799161672</v>
      </c>
      <c r="K1266" s="5">
        <v>0.20800753646309991</v>
      </c>
      <c r="L1266" s="10">
        <v>844685.46200000006</v>
      </c>
    </row>
    <row r="1267" spans="1:12" x14ac:dyDescent="0.25">
      <c r="A1267">
        <v>1266</v>
      </c>
      <c r="B1267" s="3">
        <v>0.13547007146897938</v>
      </c>
      <c r="C1267" s="3">
        <v>6.0863143538631009E-2</v>
      </c>
      <c r="D1267" s="1">
        <v>270136.69831146143</v>
      </c>
      <c r="E1267" s="1">
        <v>9050358</v>
      </c>
      <c r="F1267" s="1">
        <v>27796506</v>
      </c>
      <c r="G1267" s="16">
        <v>42177.003755488826</v>
      </c>
      <c r="H1267">
        <v>175.71</v>
      </c>
      <c r="I1267" s="1">
        <v>477.86</v>
      </c>
      <c r="J1267" s="16">
        <v>312313.70206695027</v>
      </c>
      <c r="K1267" s="5">
        <v>0.15976939231267989</v>
      </c>
      <c r="L1267" s="10">
        <v>539645.16949999996</v>
      </c>
    </row>
    <row r="1268" spans="1:12" x14ac:dyDescent="0.25">
      <c r="A1268">
        <v>1267</v>
      </c>
      <c r="B1268" s="3">
        <v>0.24416261934037217</v>
      </c>
      <c r="C1268" s="3">
        <v>2.2509283640773418E-2</v>
      </c>
      <c r="D1268" s="1">
        <v>234988.62835847764</v>
      </c>
      <c r="E1268" s="1">
        <v>17828221</v>
      </c>
      <c r="F1268" s="1">
        <v>65654145</v>
      </c>
      <c r="G1268" s="16">
        <v>7112.7689181771775</v>
      </c>
      <c r="H1268">
        <v>57.41</v>
      </c>
      <c r="I1268" s="1">
        <v>193.98</v>
      </c>
      <c r="J1268" s="16">
        <v>242101.39727665481</v>
      </c>
      <c r="K1268" s="5">
        <v>0.12269158378312443</v>
      </c>
      <c r="L1268" s="10">
        <v>1161636.1669000001</v>
      </c>
    </row>
    <row r="1269" spans="1:12" x14ac:dyDescent="0.25">
      <c r="A1269">
        <v>1268</v>
      </c>
      <c r="B1269" s="3">
        <v>0.1256466060485649</v>
      </c>
      <c r="C1269" s="3">
        <v>2.4498004737620642E-2</v>
      </c>
      <c r="D1269" s="1">
        <v>168295.21958218931</v>
      </c>
      <c r="E1269" s="1">
        <v>4712089</v>
      </c>
      <c r="F1269" s="1">
        <v>20645035</v>
      </c>
      <c r="G1269" s="16">
        <v>15948.658851923283</v>
      </c>
      <c r="H1269">
        <v>47</v>
      </c>
      <c r="I1269" s="1">
        <v>178.04000000000002</v>
      </c>
      <c r="J1269" s="16">
        <v>184243.87843411259</v>
      </c>
      <c r="K1269" s="5">
        <v>0.18042418932795645</v>
      </c>
      <c r="L1269" s="10">
        <v>1190928.8023000001</v>
      </c>
    </row>
    <row r="1270" spans="1:12" x14ac:dyDescent="0.25">
      <c r="A1270">
        <v>1269</v>
      </c>
      <c r="B1270" s="3">
        <v>0.16037373445225517</v>
      </c>
      <c r="C1270" s="3">
        <v>7.2692838955724565E-2</v>
      </c>
      <c r="D1270" s="1">
        <v>209245.95968015838</v>
      </c>
      <c r="E1270" s="1">
        <v>7879810</v>
      </c>
      <c r="F1270" s="1">
        <v>25145089</v>
      </c>
      <c r="G1270" s="16">
        <v>30385.869091924749</v>
      </c>
      <c r="H1270">
        <v>155.6</v>
      </c>
      <c r="I1270" s="1">
        <v>595.6</v>
      </c>
      <c r="J1270" s="16">
        <v>239631.82877208313</v>
      </c>
      <c r="K1270" s="5">
        <v>5.131740228004561E-2</v>
      </c>
      <c r="L1270" s="10">
        <v>120347.5533</v>
      </c>
    </row>
    <row r="1271" spans="1:12" x14ac:dyDescent="0.25">
      <c r="A1271">
        <v>1270</v>
      </c>
      <c r="B1271" s="3">
        <v>0.21728429510978486</v>
      </c>
      <c r="C1271" s="3">
        <v>5.1775265714308669E-2</v>
      </c>
      <c r="D1271" s="1">
        <v>207005.13771219237</v>
      </c>
      <c r="E1271" s="1">
        <v>13187536</v>
      </c>
      <c r="F1271" s="1">
        <v>61869094</v>
      </c>
      <c r="G1271" s="16">
        <v>12955.477486178483</v>
      </c>
      <c r="H1271">
        <v>84.73</v>
      </c>
      <c r="I1271" s="1">
        <v>258.37</v>
      </c>
      <c r="J1271" s="16">
        <v>219960.61519837086</v>
      </c>
      <c r="K1271" s="5">
        <v>0.13338114935181608</v>
      </c>
      <c r="L1271" s="10">
        <v>444566.84169999999</v>
      </c>
    </row>
    <row r="1272" spans="1:12" x14ac:dyDescent="0.25">
      <c r="A1272">
        <v>1271</v>
      </c>
      <c r="B1272" s="3">
        <v>0.23192073287726528</v>
      </c>
      <c r="C1272" s="3">
        <v>2.8109049948956643E-2</v>
      </c>
      <c r="D1272" s="1">
        <v>135119.95399987363</v>
      </c>
      <c r="E1272" s="1">
        <v>5580900</v>
      </c>
      <c r="F1272" s="1">
        <v>19773105</v>
      </c>
      <c r="G1272" s="16">
        <v>10476.464634888776</v>
      </c>
      <c r="H1272">
        <v>76.790000000000006</v>
      </c>
      <c r="I1272" s="1">
        <v>355.50000000000006</v>
      </c>
      <c r="J1272" s="16">
        <v>145596.41863476241</v>
      </c>
      <c r="K1272" s="5">
        <v>0.17729720728296391</v>
      </c>
      <c r="L1272" s="10">
        <v>753620.79960000003</v>
      </c>
    </row>
    <row r="1273" spans="1:12" x14ac:dyDescent="0.25">
      <c r="A1273">
        <v>1272</v>
      </c>
      <c r="B1273" s="3">
        <v>0.1876467602871921</v>
      </c>
      <c r="C1273" s="3">
        <v>5.459649796201714E-2</v>
      </c>
      <c r="D1273" s="1">
        <v>90887.283064797157</v>
      </c>
      <c r="E1273" s="1">
        <v>3905944</v>
      </c>
      <c r="F1273" s="1">
        <v>23916610</v>
      </c>
      <c r="G1273" s="16">
        <v>49876.09731379454</v>
      </c>
      <c r="H1273">
        <v>395.42</v>
      </c>
      <c r="I1273" s="1">
        <v>1136.8800000000001</v>
      </c>
      <c r="J1273" s="16">
        <v>140763.38037859171</v>
      </c>
      <c r="K1273" s="5">
        <v>0.17468237352927732</v>
      </c>
      <c r="L1273" s="10">
        <v>379695.3273</v>
      </c>
    </row>
    <row r="1274" spans="1:12" x14ac:dyDescent="0.25">
      <c r="A1274">
        <v>1273</v>
      </c>
      <c r="B1274" s="3">
        <v>0.21336954516584858</v>
      </c>
      <c r="C1274" s="3">
        <v>3.0526525640846337E-2</v>
      </c>
      <c r="D1274" s="1">
        <v>316637.9118904699</v>
      </c>
      <c r="E1274" s="1">
        <v>19674873</v>
      </c>
      <c r="F1274" s="1">
        <v>84894229</v>
      </c>
      <c r="G1274" s="16">
        <v>49812.722545357996</v>
      </c>
      <c r="H1274">
        <v>511.35</v>
      </c>
      <c r="I1274" s="1">
        <v>1291.3499999999999</v>
      </c>
      <c r="J1274" s="16">
        <v>366450.6344358279</v>
      </c>
      <c r="K1274" s="5">
        <v>0.19587475212945854</v>
      </c>
      <c r="L1274" s="10">
        <v>2023430.8217</v>
      </c>
    </row>
    <row r="1275" spans="1:12" x14ac:dyDescent="0.25">
      <c r="A1275">
        <v>1274</v>
      </c>
      <c r="B1275" s="3">
        <v>0.20574138346713783</v>
      </c>
      <c r="C1275" s="3">
        <v>3.600240718291553E-2</v>
      </c>
      <c r="D1275" s="1">
        <v>139650.62097425884</v>
      </c>
      <c r="E1275" s="1">
        <v>5216269</v>
      </c>
      <c r="F1275" s="1">
        <v>20164232</v>
      </c>
      <c r="G1275" s="16">
        <v>10769.830855044374</v>
      </c>
      <c r="H1275">
        <v>64.41</v>
      </c>
      <c r="I1275" s="1">
        <v>224.92999999999998</v>
      </c>
      <c r="J1275" s="16">
        <v>150420.4518293032</v>
      </c>
      <c r="K1275" s="5">
        <v>0.18470629516364856</v>
      </c>
      <c r="L1275" s="10">
        <v>620469.64910000004</v>
      </c>
    </row>
    <row r="1276" spans="1:12" x14ac:dyDescent="0.25">
      <c r="A1276">
        <v>1275</v>
      </c>
      <c r="B1276" s="3">
        <v>0.19838229173921371</v>
      </c>
      <c r="C1276" s="3">
        <v>3.3407945557131384E-2</v>
      </c>
      <c r="D1276" s="1">
        <v>286959.39348006598</v>
      </c>
      <c r="E1276" s="1">
        <v>13006314</v>
      </c>
      <c r="F1276" s="1">
        <v>39778287</v>
      </c>
      <c r="G1276" s="16">
        <v>32635.543174303868</v>
      </c>
      <c r="H1276">
        <v>230.58</v>
      </c>
      <c r="I1276" s="1">
        <v>654.25</v>
      </c>
      <c r="J1276" s="16">
        <v>319594.93665436987</v>
      </c>
      <c r="K1276" s="5">
        <v>0.27114845172637669</v>
      </c>
      <c r="L1276" s="10">
        <v>2048680.5367000001</v>
      </c>
    </row>
    <row r="1277" spans="1:12" x14ac:dyDescent="0.25">
      <c r="A1277">
        <v>1276</v>
      </c>
      <c r="B1277" s="3">
        <v>0.20629692727118731</v>
      </c>
      <c r="C1277" s="3">
        <v>5.347155075435775E-2</v>
      </c>
      <c r="D1277" s="1">
        <v>127869.33071990724</v>
      </c>
      <c r="E1277" s="1">
        <v>6030271</v>
      </c>
      <c r="F1277" s="1">
        <v>24194146</v>
      </c>
      <c r="G1277" s="16">
        <v>34095.507291229616</v>
      </c>
      <c r="H1277">
        <v>258.27</v>
      </c>
      <c r="I1277" s="1">
        <v>753.3</v>
      </c>
      <c r="J1277" s="16">
        <v>161964.83801113686</v>
      </c>
      <c r="K1277" s="5">
        <v>8.6408291646920793E-2</v>
      </c>
      <c r="L1277" s="10">
        <v>181561.7401</v>
      </c>
    </row>
    <row r="1278" spans="1:12" x14ac:dyDescent="0.25">
      <c r="A1278">
        <v>1277</v>
      </c>
      <c r="B1278" s="3">
        <v>0.11244271092331126</v>
      </c>
      <c r="C1278" s="3">
        <v>5.8278314307441681E-2</v>
      </c>
      <c r="D1278" s="1">
        <v>277800.27509922261</v>
      </c>
      <c r="E1278" s="1">
        <v>8378184</v>
      </c>
      <c r="F1278" s="1">
        <v>34912994</v>
      </c>
      <c r="G1278" s="16">
        <v>51628.956591093811</v>
      </c>
      <c r="H1278">
        <v>179.05</v>
      </c>
      <c r="I1278" s="1">
        <v>540.71</v>
      </c>
      <c r="J1278" s="16">
        <v>329429.2316903164</v>
      </c>
      <c r="K1278" s="5">
        <v>0.10211572217162053</v>
      </c>
      <c r="L1278" s="10">
        <v>447020.40870000003</v>
      </c>
    </row>
    <row r="1279" spans="1:12" x14ac:dyDescent="0.25">
      <c r="A1279">
        <v>1278</v>
      </c>
      <c r="B1279" s="3">
        <v>0.13430344858013329</v>
      </c>
      <c r="C1279" s="3">
        <v>4.2697278545210798E-2</v>
      </c>
      <c r="D1279" s="1">
        <v>179447.17687582315</v>
      </c>
      <c r="E1279" s="1">
        <v>5979671</v>
      </c>
      <c r="F1279" s="1">
        <v>28033588</v>
      </c>
      <c r="G1279" s="16">
        <v>19834.330535948004</v>
      </c>
      <c r="H1279">
        <v>70.930000000000007</v>
      </c>
      <c r="I1279" s="1">
        <v>357.95</v>
      </c>
      <c r="J1279" s="16">
        <v>199281.50741177116</v>
      </c>
      <c r="K1279" s="5">
        <v>0.10301469097774549</v>
      </c>
      <c r="L1279" s="10">
        <v>380622.0134</v>
      </c>
    </row>
    <row r="1280" spans="1:12" x14ac:dyDescent="0.25">
      <c r="A1280">
        <v>1279</v>
      </c>
      <c r="B1280" s="3">
        <v>0.16589022221058575</v>
      </c>
      <c r="C1280" s="3">
        <v>5.7146742196032135E-2</v>
      </c>
      <c r="D1280" s="1">
        <v>214893.31662963508</v>
      </c>
      <c r="E1280" s="1">
        <v>8308694</v>
      </c>
      <c r="F1280" s="1">
        <v>34367448</v>
      </c>
      <c r="G1280" s="16">
        <v>27016.422257190152</v>
      </c>
      <c r="H1280">
        <v>120.65</v>
      </c>
      <c r="I1280" s="1">
        <v>339.37</v>
      </c>
      <c r="J1280" s="16">
        <v>241909.73888682525</v>
      </c>
      <c r="K1280" s="5">
        <v>0.20495630799484749</v>
      </c>
      <c r="L1280" s="10">
        <v>650086.04189999995</v>
      </c>
    </row>
    <row r="1281" spans="1:12" x14ac:dyDescent="0.25">
      <c r="A1281">
        <v>1280</v>
      </c>
      <c r="B1281" s="3">
        <v>0.1836150203561131</v>
      </c>
      <c r="C1281" s="3">
        <v>6.6036921588581821E-2</v>
      </c>
      <c r="D1281" s="1">
        <v>128327.11280040053</v>
      </c>
      <c r="E1281" s="1">
        <v>5406812</v>
      </c>
      <c r="F1281" s="1">
        <v>23638165</v>
      </c>
      <c r="G1281" s="16">
        <v>13825.000408897866</v>
      </c>
      <c r="H1281">
        <v>70.14</v>
      </c>
      <c r="I1281" s="1">
        <v>308.44</v>
      </c>
      <c r="J1281" s="16">
        <v>142152.1132092984</v>
      </c>
      <c r="K1281" s="5">
        <v>1.6063845832828223E-2</v>
      </c>
      <c r="L1281" s="10">
        <v>60230.8724</v>
      </c>
    </row>
    <row r="1282" spans="1:12" x14ac:dyDescent="0.25">
      <c r="A1282">
        <v>1281</v>
      </c>
      <c r="B1282" s="3">
        <v>0.16769975391481257</v>
      </c>
      <c r="C1282" s="3">
        <v>6.5486349771564811E-2</v>
      </c>
      <c r="D1282" s="1">
        <v>295616.57601608848</v>
      </c>
      <c r="E1282" s="1">
        <v>11529536</v>
      </c>
      <c r="F1282" s="1">
        <v>41994754</v>
      </c>
      <c r="G1282" s="16">
        <v>26040.731622754796</v>
      </c>
      <c r="H1282">
        <v>117.84</v>
      </c>
      <c r="I1282" s="1">
        <v>367.96000000000004</v>
      </c>
      <c r="J1282" s="16">
        <v>321657.30763884325</v>
      </c>
      <c r="K1282" s="5">
        <v>0.10744912990391592</v>
      </c>
      <c r="L1282" s="10">
        <v>347694.59330000001</v>
      </c>
    </row>
    <row r="1283" spans="1:12" x14ac:dyDescent="0.25">
      <c r="A1283">
        <v>1282</v>
      </c>
      <c r="B1283" s="3">
        <v>0.16254597409174332</v>
      </c>
      <c r="C1283" s="3">
        <v>7.0757682222417143E-2</v>
      </c>
      <c r="D1283" s="1">
        <v>237638.94316656495</v>
      </c>
      <c r="E1283" s="1">
        <v>10797314</v>
      </c>
      <c r="F1283" s="1">
        <v>49543867</v>
      </c>
      <c r="G1283" s="16">
        <v>40860.450784554407</v>
      </c>
      <c r="H1283">
        <v>213.11</v>
      </c>
      <c r="I1283" s="1">
        <v>741.9</v>
      </c>
      <c r="J1283" s="16">
        <v>278499.39395111933</v>
      </c>
      <c r="K1283" s="5">
        <v>-5.0054314844667144E-3</v>
      </c>
      <c r="L1283" s="10">
        <v>35272.000599999999</v>
      </c>
    </row>
    <row r="1284" spans="1:12" x14ac:dyDescent="0.25">
      <c r="A1284">
        <v>1283</v>
      </c>
      <c r="B1284" s="3">
        <v>0.23425114523575047</v>
      </c>
      <c r="C1284" s="3">
        <v>4.8982574832234296E-2</v>
      </c>
      <c r="D1284" s="1">
        <v>34414.452241017236</v>
      </c>
      <c r="E1284" s="1">
        <v>1434446</v>
      </c>
      <c r="F1284" s="1">
        <v>13469729</v>
      </c>
      <c r="G1284" s="16">
        <v>15321.066237080682</v>
      </c>
      <c r="H1284">
        <v>114.31</v>
      </c>
      <c r="I1284" s="1">
        <v>336.77</v>
      </c>
      <c r="J1284" s="16">
        <v>49735.518478097918</v>
      </c>
      <c r="K1284" s="5">
        <v>1.1803942835286171E-2</v>
      </c>
      <c r="L1284" s="10">
        <v>30462.0975</v>
      </c>
    </row>
    <row r="1285" spans="1:12" x14ac:dyDescent="0.25">
      <c r="A1285">
        <v>1284</v>
      </c>
      <c r="B1285" s="3">
        <v>0.15371791361415951</v>
      </c>
      <c r="C1285" s="3">
        <v>3.2937741403413393E-2</v>
      </c>
      <c r="D1285" s="1">
        <v>134761.42271436736</v>
      </c>
      <c r="E1285" s="1">
        <v>4161240</v>
      </c>
      <c r="F1285" s="1">
        <v>18430611</v>
      </c>
      <c r="G1285" s="16">
        <v>50845.522350798332</v>
      </c>
      <c r="H1285">
        <v>291.07</v>
      </c>
      <c r="I1285" s="1">
        <v>909.56999999999994</v>
      </c>
      <c r="J1285" s="16">
        <v>185606.9450651657</v>
      </c>
      <c r="K1285" s="5">
        <v>6.244502582438799E-2</v>
      </c>
      <c r="L1285" s="10">
        <v>293587.78090000001</v>
      </c>
    </row>
    <row r="1286" spans="1:12" x14ac:dyDescent="0.25">
      <c r="A1286">
        <v>1285</v>
      </c>
      <c r="B1286" s="3">
        <v>0.13908456114493403</v>
      </c>
      <c r="C1286" s="3">
        <v>6.2832185170630134E-2</v>
      </c>
      <c r="D1286" s="1">
        <v>63421.872187366163</v>
      </c>
      <c r="E1286" s="1">
        <v>1860204</v>
      </c>
      <c r="F1286" s="1">
        <v>14663629</v>
      </c>
      <c r="G1286" s="16">
        <v>43844.206519975916</v>
      </c>
      <c r="H1286">
        <v>188.2</v>
      </c>
      <c r="I1286" s="1">
        <v>590.73</v>
      </c>
      <c r="J1286" s="16">
        <v>107266.07870734208</v>
      </c>
      <c r="K1286" s="5">
        <v>4.8813471086914875E-3</v>
      </c>
      <c r="L1286" s="10">
        <v>14522.797399999999</v>
      </c>
    </row>
    <row r="1287" spans="1:12" x14ac:dyDescent="0.25">
      <c r="A1287">
        <v>1286</v>
      </c>
      <c r="B1287" s="3">
        <v>0.23205839225767513</v>
      </c>
      <c r="C1287" s="3">
        <v>3.0647105733418271E-2</v>
      </c>
      <c r="D1287" s="1">
        <v>60358.098073585432</v>
      </c>
      <c r="E1287" s="1">
        <v>2494327</v>
      </c>
      <c r="F1287" s="1">
        <v>14811709</v>
      </c>
      <c r="G1287" s="16">
        <v>10944.728793389551</v>
      </c>
      <c r="H1287">
        <v>80.23</v>
      </c>
      <c r="I1287" s="1">
        <v>306.69</v>
      </c>
      <c r="J1287" s="16">
        <v>71302.826866974981</v>
      </c>
      <c r="K1287" s="5">
        <v>0.3187297084466163</v>
      </c>
      <c r="L1287" s="10">
        <v>647155.43519999995</v>
      </c>
    </row>
    <row r="1288" spans="1:12" x14ac:dyDescent="0.25">
      <c r="A1288">
        <v>1287</v>
      </c>
      <c r="B1288" s="3">
        <v>0.24503401239976816</v>
      </c>
      <c r="C1288" s="3">
        <v>6.6858941534397004E-2</v>
      </c>
      <c r="D1288" s="1">
        <v>50983.642715042937</v>
      </c>
      <c r="E1288" s="1">
        <v>2217439</v>
      </c>
      <c r="F1288" s="1">
        <v>16411297</v>
      </c>
      <c r="G1288" s="16">
        <v>15713.531153484766</v>
      </c>
      <c r="H1288">
        <v>168.93</v>
      </c>
      <c r="I1288" s="1">
        <v>559.57999999999993</v>
      </c>
      <c r="J1288" s="16">
        <v>66697.173868527709</v>
      </c>
      <c r="K1288" s="5">
        <v>0.10257128493425161</v>
      </c>
      <c r="L1288" s="10">
        <v>92550.438399999999</v>
      </c>
    </row>
    <row r="1289" spans="1:12" x14ac:dyDescent="0.25">
      <c r="A1289">
        <v>1288</v>
      </c>
      <c r="B1289" s="3">
        <v>0.17240906204830281</v>
      </c>
      <c r="C1289" s="3">
        <v>7.1171509123325094E-2</v>
      </c>
      <c r="D1289" s="1">
        <v>67321.437622328711</v>
      </c>
      <c r="E1289" s="1">
        <v>1839608</v>
      </c>
      <c r="F1289" s="1">
        <v>10732396</v>
      </c>
      <c r="G1289" s="16">
        <v>46954.087292955686</v>
      </c>
      <c r="H1289">
        <v>265.67</v>
      </c>
      <c r="I1289" s="1">
        <v>744.59999999999991</v>
      </c>
      <c r="J1289" s="16">
        <v>114275.52491528439</v>
      </c>
      <c r="K1289" s="5">
        <v>0.11174475801653233</v>
      </c>
      <c r="L1289" s="10">
        <v>127844.88250000001</v>
      </c>
    </row>
    <row r="1290" spans="1:12" x14ac:dyDescent="0.25">
      <c r="A1290">
        <v>1289</v>
      </c>
      <c r="B1290" s="3">
        <v>0.2487785616364275</v>
      </c>
      <c r="C1290" s="3">
        <v>2.153095629007069E-2</v>
      </c>
      <c r="D1290" s="1">
        <v>159414.44511792602</v>
      </c>
      <c r="E1290" s="1">
        <v>9368245</v>
      </c>
      <c r="F1290" s="1">
        <v>35919221</v>
      </c>
      <c r="G1290" s="16">
        <v>8032.3635633743188</v>
      </c>
      <c r="H1290">
        <v>67.17</v>
      </c>
      <c r="I1290" s="1">
        <v>326.04000000000002</v>
      </c>
      <c r="J1290" s="16">
        <v>167446.80868130035</v>
      </c>
      <c r="K1290" s="5">
        <v>0.10846406561566541</v>
      </c>
      <c r="L1290" s="10">
        <v>766347.31909999996</v>
      </c>
    </row>
    <row r="1291" spans="1:12" x14ac:dyDescent="0.25">
      <c r="A1291">
        <v>1290</v>
      </c>
      <c r="B1291" s="3">
        <v>0.19789966769961112</v>
      </c>
      <c r="C1291" s="3">
        <v>2.6258450086833626E-2</v>
      </c>
      <c r="D1291" s="1">
        <v>83490.907180505659</v>
      </c>
      <c r="E1291" s="1">
        <v>3028000</v>
      </c>
      <c r="F1291" s="1">
        <v>19844283</v>
      </c>
      <c r="G1291" s="16">
        <v>26051.255574932242</v>
      </c>
      <c r="H1291">
        <v>183.44</v>
      </c>
      <c r="I1291" s="1">
        <v>504.04</v>
      </c>
      <c r="J1291" s="16">
        <v>109542.16275543789</v>
      </c>
      <c r="K1291" s="5">
        <v>8.3781850714285469E-3</v>
      </c>
      <c r="L1291" s="10">
        <v>47820.116499999996</v>
      </c>
    </row>
    <row r="1292" spans="1:12" x14ac:dyDescent="0.25">
      <c r="A1292">
        <v>1291</v>
      </c>
      <c r="B1292" s="3">
        <v>0.12896023784492003</v>
      </c>
      <c r="C1292" s="3">
        <v>5.1663165638984446E-2</v>
      </c>
      <c r="D1292" s="1">
        <v>429010.67202408554</v>
      </c>
      <c r="E1292" s="1">
        <v>16013309</v>
      </c>
      <c r="F1292" s="1">
        <v>60863079</v>
      </c>
      <c r="G1292" s="16">
        <v>33132.032012478019</v>
      </c>
      <c r="H1292">
        <v>131.24</v>
      </c>
      <c r="I1292" s="1">
        <v>498.87</v>
      </c>
      <c r="J1292" s="16">
        <v>462142.70403656358</v>
      </c>
      <c r="K1292" s="5">
        <v>0.25094212173597613</v>
      </c>
      <c r="L1292" s="10">
        <v>1680142.1274000001</v>
      </c>
    </row>
    <row r="1293" spans="1:12" x14ac:dyDescent="0.25">
      <c r="A1293">
        <v>1292</v>
      </c>
      <c r="B1293" s="3">
        <v>0.19242314624413404</v>
      </c>
      <c r="C1293" s="3">
        <v>3.1033868571546497E-2</v>
      </c>
      <c r="D1293" s="1">
        <v>167917.18452515188</v>
      </c>
      <c r="E1293" s="1">
        <v>7388594</v>
      </c>
      <c r="F1293" s="1">
        <v>28324603</v>
      </c>
      <c r="G1293" s="16">
        <v>12028.533543032197</v>
      </c>
      <c r="H1293">
        <v>65.180000000000007</v>
      </c>
      <c r="I1293" s="1">
        <v>285.75</v>
      </c>
      <c r="J1293" s="16">
        <v>179945.71806818407</v>
      </c>
      <c r="K1293" s="5">
        <v>9.3144497721410521E-2</v>
      </c>
      <c r="L1293" s="10">
        <v>446592.7697</v>
      </c>
    </row>
    <row r="1294" spans="1:12" x14ac:dyDescent="0.25">
      <c r="A1294">
        <v>1293</v>
      </c>
      <c r="B1294" s="3">
        <v>0.1112564350296653</v>
      </c>
      <c r="C1294" s="3">
        <v>6.9846993389302017E-2</v>
      </c>
      <c r="D1294" s="1">
        <v>293837.06912411627</v>
      </c>
      <c r="E1294" s="1">
        <v>8814620</v>
      </c>
      <c r="F1294" s="1">
        <v>35316495</v>
      </c>
      <c r="G1294" s="16">
        <v>85918.371149802333</v>
      </c>
      <c r="H1294">
        <v>332.6</v>
      </c>
      <c r="I1294" s="1">
        <v>874.17000000000007</v>
      </c>
      <c r="J1294" s="16">
        <v>379755.44027391862</v>
      </c>
      <c r="K1294" s="5">
        <v>8.0571303288742263E-2</v>
      </c>
      <c r="L1294" s="10">
        <v>294404.47749999998</v>
      </c>
    </row>
    <row r="1295" spans="1:12" x14ac:dyDescent="0.25">
      <c r="A1295">
        <v>1294</v>
      </c>
      <c r="B1295" s="3">
        <v>0.24712454297444678</v>
      </c>
      <c r="C1295" s="3">
        <v>4.1080725377320895E-2</v>
      </c>
      <c r="D1295" s="1">
        <v>84528.830638660744</v>
      </c>
      <c r="E1295" s="1">
        <v>4923967</v>
      </c>
      <c r="F1295" s="1">
        <v>27460249</v>
      </c>
      <c r="G1295" s="16">
        <v>27740.998534816667</v>
      </c>
      <c r="H1295">
        <v>404.39</v>
      </c>
      <c r="I1295" s="1">
        <v>1111.4000000000001</v>
      </c>
      <c r="J1295" s="16">
        <v>112269.82917347741</v>
      </c>
      <c r="K1295" s="5">
        <v>0.23064493374975231</v>
      </c>
      <c r="L1295" s="10">
        <v>533285.86120000004</v>
      </c>
    </row>
    <row r="1296" spans="1:12" x14ac:dyDescent="0.25">
      <c r="A1296">
        <v>1295</v>
      </c>
      <c r="B1296" s="3">
        <v>0.12203249696407094</v>
      </c>
      <c r="C1296" s="3">
        <v>5.6816831174799784E-2</v>
      </c>
      <c r="D1296" s="1">
        <v>479957.94175659539</v>
      </c>
      <c r="E1296" s="1">
        <v>17219213</v>
      </c>
      <c r="F1296" s="1">
        <v>60286060</v>
      </c>
      <c r="G1296" s="16">
        <v>44151.751121462461</v>
      </c>
      <c r="H1296">
        <v>165.02</v>
      </c>
      <c r="I1296" s="1">
        <v>439.42999999999995</v>
      </c>
      <c r="J1296" s="16">
        <v>524109.69287805783</v>
      </c>
      <c r="K1296" s="5">
        <v>9.3980338443235126E-2</v>
      </c>
      <c r="L1296" s="10">
        <v>633730.90899999999</v>
      </c>
    </row>
    <row r="1297" spans="1:12" x14ac:dyDescent="0.25">
      <c r="A1297">
        <v>1296</v>
      </c>
      <c r="B1297" s="3">
        <v>0.15409604723379938</v>
      </c>
      <c r="C1297" s="3">
        <v>6.3063127027505481E-2</v>
      </c>
      <c r="D1297" s="1">
        <v>160710.20057298683</v>
      </c>
      <c r="E1297" s="1">
        <v>4969157</v>
      </c>
      <c r="F1297" s="1">
        <v>18019099</v>
      </c>
      <c r="G1297" s="16">
        <v>27316.140369015389</v>
      </c>
      <c r="H1297">
        <v>132.55000000000001</v>
      </c>
      <c r="I1297" s="1">
        <v>484.14000000000004</v>
      </c>
      <c r="J1297" s="16">
        <v>188026.34094200222</v>
      </c>
      <c r="K1297" s="5">
        <v>-1.27111339197385E-3</v>
      </c>
      <c r="L1297" s="10">
        <v>21091.5052</v>
      </c>
    </row>
    <row r="1298" spans="1:12" x14ac:dyDescent="0.25">
      <c r="A1298">
        <v>1297</v>
      </c>
      <c r="B1298" s="3">
        <v>0.2170807191483507</v>
      </c>
      <c r="C1298" s="3">
        <v>7.328526109700792E-2</v>
      </c>
      <c r="D1298" s="1">
        <v>406422.46965795249</v>
      </c>
      <c r="E1298" s="1">
        <v>25858030</v>
      </c>
      <c r="F1298" s="1">
        <v>78935565</v>
      </c>
      <c r="G1298" s="16">
        <v>10034.506358153421</v>
      </c>
      <c r="H1298">
        <v>65.569999999999993</v>
      </c>
      <c r="I1298" s="1">
        <v>221.39999999999998</v>
      </c>
      <c r="J1298" s="16">
        <v>416456.97601610591</v>
      </c>
      <c r="K1298" s="5">
        <v>0.22937975593228624</v>
      </c>
      <c r="L1298" s="10">
        <v>853233.14150000003</v>
      </c>
    </row>
    <row r="1299" spans="1:12" x14ac:dyDescent="0.25">
      <c r="A1299">
        <v>1298</v>
      </c>
      <c r="B1299" s="3">
        <v>0.1454670861955589</v>
      </c>
      <c r="C1299" s="3">
        <v>3.969816312806039E-2</v>
      </c>
      <c r="D1299" s="1">
        <v>172409.93553059237</v>
      </c>
      <c r="E1299" s="1">
        <v>6051312</v>
      </c>
      <c r="F1299" s="1">
        <v>22820166</v>
      </c>
      <c r="G1299" s="16">
        <v>26512.834329915244</v>
      </c>
      <c r="H1299">
        <v>102.32</v>
      </c>
      <c r="I1299" s="1">
        <v>359.67</v>
      </c>
      <c r="J1299" s="16">
        <v>198922.7698605076</v>
      </c>
      <c r="K1299" s="5">
        <v>5.6498593355719204E-2</v>
      </c>
      <c r="L1299" s="10">
        <v>234759.05910000001</v>
      </c>
    </row>
    <row r="1300" spans="1:12" x14ac:dyDescent="0.25">
      <c r="A1300">
        <v>1299</v>
      </c>
      <c r="B1300" s="3">
        <v>0.14222290222823816</v>
      </c>
      <c r="C1300" s="3">
        <v>5.6358709950517227E-2</v>
      </c>
      <c r="D1300" s="1">
        <v>147390.14999499291</v>
      </c>
      <c r="E1300" s="1">
        <v>5095348</v>
      </c>
      <c r="F1300" s="1">
        <v>24555999</v>
      </c>
      <c r="G1300" s="16">
        <v>57258.46217026042</v>
      </c>
      <c r="H1300">
        <v>252.39</v>
      </c>
      <c r="I1300" s="1">
        <v>693.86</v>
      </c>
      <c r="J1300" s="16">
        <v>204648.61216525332</v>
      </c>
      <c r="K1300" s="5">
        <v>0.11234215126605487</v>
      </c>
      <c r="L1300" s="10">
        <v>299360.91639999999</v>
      </c>
    </row>
    <row r="1301" spans="1:12" x14ac:dyDescent="0.25">
      <c r="A1301">
        <v>1300</v>
      </c>
      <c r="B1301" s="3">
        <v>0.14204418188144435</v>
      </c>
      <c r="C1301" s="3">
        <v>5.3150827411262272E-2</v>
      </c>
      <c r="D1301" s="1">
        <v>71936.710055152129</v>
      </c>
      <c r="E1301" s="1">
        <v>1829038</v>
      </c>
      <c r="F1301" s="1">
        <v>9091385</v>
      </c>
      <c r="G1301" s="16">
        <v>72597.224216589195</v>
      </c>
      <c r="H1301">
        <v>372.73</v>
      </c>
      <c r="I1301" s="1">
        <v>862.83</v>
      </c>
      <c r="J1301" s="16">
        <v>144533.93427174131</v>
      </c>
      <c r="K1301" s="5">
        <v>0.23887689454784747</v>
      </c>
      <c r="L1301" s="10">
        <v>457119.59840000002</v>
      </c>
    </row>
    <row r="1302" spans="1:12" x14ac:dyDescent="0.25">
      <c r="A1302">
        <v>1301</v>
      </c>
      <c r="B1302" s="3">
        <v>0.19893601790839024</v>
      </c>
      <c r="C1302" s="3">
        <v>2.7784517984258426E-2</v>
      </c>
      <c r="D1302" s="1">
        <v>113285.06600738743</v>
      </c>
      <c r="E1302" s="1">
        <v>5148812</v>
      </c>
      <c r="F1302" s="1">
        <v>22495123</v>
      </c>
      <c r="G1302" s="16">
        <v>16062.810496737522</v>
      </c>
      <c r="H1302">
        <v>91.44</v>
      </c>
      <c r="I1302" s="1">
        <v>312.47000000000003</v>
      </c>
      <c r="J1302" s="16">
        <v>129347.87650412496</v>
      </c>
      <c r="K1302" s="5">
        <v>0.25321873652699378</v>
      </c>
      <c r="L1302" s="10">
        <v>1016335.0776</v>
      </c>
    </row>
    <row r="1303" spans="1:12" x14ac:dyDescent="0.25">
      <c r="A1303">
        <v>1302</v>
      </c>
      <c r="B1303" s="3">
        <v>0.15541304659309607</v>
      </c>
      <c r="C1303" s="3">
        <v>2.54468629783745E-2</v>
      </c>
      <c r="D1303" s="1">
        <v>314806.57990599121</v>
      </c>
      <c r="E1303" s="1">
        <v>11578944</v>
      </c>
      <c r="F1303" s="1">
        <v>39524004</v>
      </c>
      <c r="G1303" s="16">
        <v>28314.784209443744</v>
      </c>
      <c r="H1303">
        <v>117.42</v>
      </c>
      <c r="I1303" s="1">
        <v>323.32</v>
      </c>
      <c r="J1303" s="16">
        <v>343121.36411543493</v>
      </c>
      <c r="K1303" s="5">
        <v>0.11463863166020141</v>
      </c>
      <c r="L1303" s="10">
        <v>1314941.5647</v>
      </c>
    </row>
    <row r="1304" spans="1:12" x14ac:dyDescent="0.25">
      <c r="A1304">
        <v>1303</v>
      </c>
      <c r="B1304" s="3">
        <v>0.14690214623727704</v>
      </c>
      <c r="C1304" s="3">
        <v>5.1244687357861363E-2</v>
      </c>
      <c r="D1304" s="1">
        <v>145095.62478069653</v>
      </c>
      <c r="E1304" s="1">
        <v>5126983</v>
      </c>
      <c r="F1304" s="1">
        <v>33752040</v>
      </c>
      <c r="G1304" s="16">
        <v>36581.565166193337</v>
      </c>
      <c r="H1304">
        <v>167.65</v>
      </c>
      <c r="I1304" s="1">
        <v>618.29</v>
      </c>
      <c r="J1304" s="16">
        <v>181677.18994688988</v>
      </c>
      <c r="K1304" s="5">
        <v>1.3365343855765637E-2</v>
      </c>
      <c r="L1304" s="10">
        <v>37659.599999999999</v>
      </c>
    </row>
    <row r="1305" spans="1:12" x14ac:dyDescent="0.25">
      <c r="A1305">
        <v>1304</v>
      </c>
      <c r="B1305" s="3">
        <v>0.10329039091005038</v>
      </c>
      <c r="C1305" s="3">
        <v>4.069172391853812E-2</v>
      </c>
      <c r="D1305" s="1">
        <v>222077.81169569664</v>
      </c>
      <c r="E1305" s="1">
        <v>6428364</v>
      </c>
      <c r="F1305" s="1">
        <v>25639686</v>
      </c>
      <c r="G1305" s="16">
        <v>41808.372518616517</v>
      </c>
      <c r="H1305">
        <v>134.96</v>
      </c>
      <c r="I1305" s="1">
        <v>507.47</v>
      </c>
      <c r="J1305" s="16">
        <v>263886.18421431317</v>
      </c>
      <c r="K1305" s="5">
        <v>2.6451427473081393E-2</v>
      </c>
      <c r="L1305" s="10">
        <v>133476.67980000001</v>
      </c>
    </row>
    <row r="1306" spans="1:12" x14ac:dyDescent="0.25">
      <c r="A1306">
        <v>1305</v>
      </c>
      <c r="B1306" s="3">
        <v>0.11090060049916858</v>
      </c>
      <c r="C1306" s="3">
        <v>7.155746457163388E-2</v>
      </c>
      <c r="D1306" s="1">
        <v>417564.55941209529</v>
      </c>
      <c r="E1306" s="1">
        <v>14066134</v>
      </c>
      <c r="F1306" s="1">
        <v>45930173</v>
      </c>
      <c r="G1306" s="16">
        <v>52806.765297304155</v>
      </c>
      <c r="H1306">
        <v>160.65</v>
      </c>
      <c r="I1306" s="1">
        <v>374.73</v>
      </c>
      <c r="J1306" s="16">
        <v>470371.32470939943</v>
      </c>
      <c r="K1306" s="5">
        <v>0.17761282425576277</v>
      </c>
      <c r="L1306" s="10">
        <v>759731.14969999995</v>
      </c>
    </row>
    <row r="1307" spans="1:12" x14ac:dyDescent="0.25">
      <c r="A1307">
        <v>1306</v>
      </c>
      <c r="B1307" s="3">
        <v>0.21472801336436179</v>
      </c>
      <c r="C1307" s="3">
        <v>5.4680206160192535E-2</v>
      </c>
      <c r="D1307" s="1">
        <v>112077.41866971912</v>
      </c>
      <c r="E1307" s="1">
        <v>5516207</v>
      </c>
      <c r="F1307" s="1">
        <v>23751721</v>
      </c>
      <c r="G1307" s="16">
        <v>32506.279515464732</v>
      </c>
      <c r="H1307">
        <v>265.83</v>
      </c>
      <c r="I1307" s="1">
        <v>702.09999999999991</v>
      </c>
      <c r="J1307" s="16">
        <v>144583.69818518386</v>
      </c>
      <c r="K1307" s="5">
        <v>0.15750462053689904</v>
      </c>
      <c r="L1307" s="10">
        <v>315575.78330000001</v>
      </c>
    </row>
    <row r="1308" spans="1:12" x14ac:dyDescent="0.25">
      <c r="A1308">
        <v>1307</v>
      </c>
      <c r="B1308" s="3">
        <v>0.10730957486037931</v>
      </c>
      <c r="C1308" s="3">
        <v>4.8116583894577208E-2</v>
      </c>
      <c r="D1308" s="1">
        <v>186067.17559185321</v>
      </c>
      <c r="E1308" s="1">
        <v>5483642</v>
      </c>
      <c r="F1308" s="1">
        <v>23821966</v>
      </c>
      <c r="G1308" s="16">
        <v>16737.933094491847</v>
      </c>
      <c r="H1308">
        <v>44.31</v>
      </c>
      <c r="I1308" s="1">
        <v>153.63</v>
      </c>
      <c r="J1308" s="16">
        <v>202805.10868634505</v>
      </c>
      <c r="K1308" s="5">
        <v>0.1285323978651296</v>
      </c>
      <c r="L1308" s="10">
        <v>383969.109</v>
      </c>
    </row>
    <row r="1309" spans="1:12" x14ac:dyDescent="0.25">
      <c r="A1309">
        <v>1308</v>
      </c>
      <c r="B1309" s="3">
        <v>0.16821202538646984</v>
      </c>
      <c r="C1309" s="3">
        <v>3.4901340792581385E-2</v>
      </c>
      <c r="D1309" s="1">
        <v>269546.77519431722</v>
      </c>
      <c r="E1309" s="1">
        <v>10538688</v>
      </c>
      <c r="F1309" s="1">
        <v>34599191</v>
      </c>
      <c r="G1309" s="16">
        <v>13195.79150216462</v>
      </c>
      <c r="H1309">
        <v>59.93</v>
      </c>
      <c r="I1309" s="1">
        <v>234.63</v>
      </c>
      <c r="J1309" s="16">
        <v>282742.56669648184</v>
      </c>
      <c r="K1309" s="5">
        <v>0.13460357121590666</v>
      </c>
      <c r="L1309" s="10">
        <v>888353.03500000003</v>
      </c>
    </row>
    <row r="1310" spans="1:12" x14ac:dyDescent="0.25">
      <c r="A1310">
        <v>1309</v>
      </c>
      <c r="B1310" s="3">
        <v>0.15280409956890517</v>
      </c>
      <c r="C1310" s="3">
        <v>6.9761358030754686E-2</v>
      </c>
      <c r="D1310" s="1">
        <v>184431.37281441709</v>
      </c>
      <c r="E1310" s="1">
        <v>6700424</v>
      </c>
      <c r="F1310" s="1">
        <v>33737585</v>
      </c>
      <c r="G1310" s="16">
        <v>35299.884142049472</v>
      </c>
      <c r="H1310">
        <v>169.28</v>
      </c>
      <c r="I1310" s="1">
        <v>519.72</v>
      </c>
      <c r="J1310" s="16">
        <v>219731.25695646656</v>
      </c>
      <c r="K1310" s="5">
        <v>0.18182189353970199</v>
      </c>
      <c r="L1310" s="10">
        <v>422340.96380000003</v>
      </c>
    </row>
    <row r="1311" spans="1:12" x14ac:dyDescent="0.25">
      <c r="A1311">
        <v>1310</v>
      </c>
      <c r="B1311" s="3">
        <v>0.17656673572117107</v>
      </c>
      <c r="C1311" s="3">
        <v>4.0546070996987774E-2</v>
      </c>
      <c r="D1311" s="1">
        <v>131467.91681256416</v>
      </c>
      <c r="E1311" s="1">
        <v>5351905</v>
      </c>
      <c r="F1311" s="1">
        <v>25048461</v>
      </c>
      <c r="G1311" s="16">
        <v>22351.28819881285</v>
      </c>
      <c r="H1311">
        <v>107.84</v>
      </c>
      <c r="I1311" s="1">
        <v>374.65999999999997</v>
      </c>
      <c r="J1311" s="16">
        <v>153819.20501137699</v>
      </c>
      <c r="K1311" s="5">
        <v>-3.3930320020241017E-2</v>
      </c>
      <c r="L1311" s="10">
        <v>-66517.923999999999</v>
      </c>
    </row>
    <row r="1312" spans="1:12" x14ac:dyDescent="0.25">
      <c r="A1312">
        <v>1311</v>
      </c>
      <c r="B1312" s="3">
        <v>0.20900820872645301</v>
      </c>
      <c r="C1312" s="3">
        <v>3.8485636861134348E-2</v>
      </c>
      <c r="D1312" s="1">
        <v>236378.3418490371</v>
      </c>
      <c r="E1312" s="1">
        <v>14287312</v>
      </c>
      <c r="F1312" s="1">
        <v>62990127</v>
      </c>
      <c r="G1312" s="16">
        <v>16437.954988765337</v>
      </c>
      <c r="H1312">
        <v>127.66</v>
      </c>
      <c r="I1312" s="1">
        <v>465.45000000000005</v>
      </c>
      <c r="J1312" s="16">
        <v>252816.29683780242</v>
      </c>
      <c r="K1312" s="5">
        <v>5.5561730983071572E-2</v>
      </c>
      <c r="L1312" s="10">
        <v>329917.8149</v>
      </c>
    </row>
    <row r="1313" spans="1:12" x14ac:dyDescent="0.25">
      <c r="A1313">
        <v>1312</v>
      </c>
      <c r="B1313" s="3">
        <v>0.11298849725359296</v>
      </c>
      <c r="C1313" s="3">
        <v>4.7703149154148569E-2</v>
      </c>
      <c r="D1313" s="1">
        <v>258918.73477400938</v>
      </c>
      <c r="E1313" s="1">
        <v>7827967</v>
      </c>
      <c r="F1313" s="1">
        <v>41929471</v>
      </c>
      <c r="G1313" s="16">
        <v>40868.541317236435</v>
      </c>
      <c r="H1313">
        <v>142.31</v>
      </c>
      <c r="I1313" s="1">
        <v>425.03000000000003</v>
      </c>
      <c r="J1313" s="16">
        <v>299787.27609124582</v>
      </c>
      <c r="K1313" s="5">
        <v>0.13373372859331781</v>
      </c>
      <c r="L1313" s="10">
        <v>721831.69530000002</v>
      </c>
    </row>
    <row r="1314" spans="1:12" x14ac:dyDescent="0.25">
      <c r="A1314">
        <v>1313</v>
      </c>
      <c r="B1314" s="3">
        <v>0.21184296636323791</v>
      </c>
      <c r="C1314" s="3">
        <v>4.4859189582777681E-2</v>
      </c>
      <c r="D1314" s="1">
        <v>69112.577152581885</v>
      </c>
      <c r="E1314" s="1">
        <v>2641935</v>
      </c>
      <c r="F1314" s="1">
        <v>18454207</v>
      </c>
      <c r="G1314" s="16">
        <v>53325.346940000934</v>
      </c>
      <c r="H1314">
        <v>539.30999999999995</v>
      </c>
      <c r="I1314" s="1">
        <v>1230.1299999999999</v>
      </c>
      <c r="J1314" s="16">
        <v>122437.92409258282</v>
      </c>
      <c r="K1314" s="5">
        <v>-2.5794368628498376E-2</v>
      </c>
      <c r="L1314" s="10">
        <v>-46906.0602</v>
      </c>
    </row>
    <row r="1315" spans="1:12" x14ac:dyDescent="0.25">
      <c r="A1315">
        <v>1314</v>
      </c>
      <c r="B1315" s="3">
        <v>0.10598959127122393</v>
      </c>
      <c r="C1315" s="3">
        <v>4.6943007451079127E-2</v>
      </c>
      <c r="D1315" s="1">
        <v>255195.6258563025</v>
      </c>
      <c r="E1315" s="1">
        <v>7476634</v>
      </c>
      <c r="F1315" s="1">
        <v>40741157</v>
      </c>
      <c r="G1315" s="16">
        <v>38594.400998121433</v>
      </c>
      <c r="H1315">
        <v>127.41</v>
      </c>
      <c r="I1315" s="1">
        <v>426.96000000000004</v>
      </c>
      <c r="J1315" s="16">
        <v>293790.02685442392</v>
      </c>
      <c r="K1315" s="5">
        <v>9.0607058216204059E-2</v>
      </c>
      <c r="L1315" s="10">
        <v>464279.76679999998</v>
      </c>
    </row>
    <row r="1316" spans="1:12" x14ac:dyDescent="0.25">
      <c r="A1316">
        <v>1315</v>
      </c>
      <c r="B1316" s="3">
        <v>0.10986387907537347</v>
      </c>
      <c r="C1316" s="3">
        <v>6.7858601667242863E-2</v>
      </c>
      <c r="D1316" s="1">
        <v>493837.55971779762</v>
      </c>
      <c r="E1316" s="1">
        <v>16538841</v>
      </c>
      <c r="F1316" s="1">
        <v>73579082</v>
      </c>
      <c r="G1316" s="16">
        <v>44807.90040938781</v>
      </c>
      <c r="H1316">
        <v>152.26</v>
      </c>
      <c r="I1316" s="1">
        <v>450.71</v>
      </c>
      <c r="J1316" s="16">
        <v>538645.46012718545</v>
      </c>
      <c r="K1316" s="5">
        <v>7.3075296870667078E-2</v>
      </c>
      <c r="L1316" s="10">
        <v>389002.05</v>
      </c>
    </row>
    <row r="1317" spans="1:12" x14ac:dyDescent="0.25">
      <c r="A1317">
        <v>1316</v>
      </c>
      <c r="B1317" s="3">
        <v>0.22381200869792828</v>
      </c>
      <c r="C1317" s="3">
        <v>2.4683945025581255E-2</v>
      </c>
      <c r="D1317" s="1">
        <v>182273.57888805438</v>
      </c>
      <c r="E1317" s="1">
        <v>9398495</v>
      </c>
      <c r="F1317" s="1">
        <v>33530864</v>
      </c>
      <c r="G1317" s="16">
        <v>15448.5615579605</v>
      </c>
      <c r="H1317">
        <v>106.21</v>
      </c>
      <c r="I1317" s="1">
        <v>307.77</v>
      </c>
      <c r="J1317" s="16">
        <v>197722.14044601488</v>
      </c>
      <c r="K1317" s="5">
        <v>0.13006091537887315</v>
      </c>
      <c r="L1317" s="10">
        <v>910926.95589999994</v>
      </c>
    </row>
    <row r="1318" spans="1:12" x14ac:dyDescent="0.25">
      <c r="A1318">
        <v>1317</v>
      </c>
      <c r="B1318" s="3">
        <v>0.21154355721962187</v>
      </c>
      <c r="C1318" s="3">
        <v>2.7341080549091193E-2</v>
      </c>
      <c r="D1318" s="1">
        <v>189001.00191291061</v>
      </c>
      <c r="E1318" s="1">
        <v>9152846</v>
      </c>
      <c r="F1318" s="1">
        <v>29499406</v>
      </c>
      <c r="G1318" s="16">
        <v>9015.7087104328766</v>
      </c>
      <c r="H1318">
        <v>56.38</v>
      </c>
      <c r="I1318" s="1">
        <v>201.66</v>
      </c>
      <c r="J1318" s="16">
        <v>198016.71062334348</v>
      </c>
      <c r="K1318" s="5">
        <v>0.20044584714778771</v>
      </c>
      <c r="L1318" s="10">
        <v>1233547.9261</v>
      </c>
    </row>
    <row r="1319" spans="1:12" x14ac:dyDescent="0.25">
      <c r="A1319">
        <v>1318</v>
      </c>
      <c r="B1319" s="3">
        <v>0.19302442372316331</v>
      </c>
      <c r="C1319" s="3">
        <v>2.6776534982724774E-2</v>
      </c>
      <c r="D1319" s="1">
        <v>83786.319920835493</v>
      </c>
      <c r="E1319" s="1">
        <v>2983973</v>
      </c>
      <c r="F1319" s="1">
        <v>17743506</v>
      </c>
      <c r="G1319" s="16">
        <v>20165.079227656817</v>
      </c>
      <c r="H1319">
        <v>135.99</v>
      </c>
      <c r="I1319" s="1">
        <v>462.01</v>
      </c>
      <c r="J1319" s="16">
        <v>103951.39914849232</v>
      </c>
      <c r="K1319" s="5">
        <v>2.7207918589905816E-2</v>
      </c>
      <c r="L1319" s="10">
        <v>114786.872</v>
      </c>
    </row>
    <row r="1320" spans="1:12" x14ac:dyDescent="0.25">
      <c r="A1320">
        <v>1319</v>
      </c>
      <c r="B1320" s="3">
        <v>0.20475128619747368</v>
      </c>
      <c r="C1320" s="3">
        <v>7.9450750092986036E-2</v>
      </c>
      <c r="D1320" s="1">
        <v>252985.5333816529</v>
      </c>
      <c r="E1320" s="1">
        <v>14886203</v>
      </c>
      <c r="F1320" s="1">
        <v>49318487</v>
      </c>
      <c r="G1320" s="16">
        <v>37312.256800359202</v>
      </c>
      <c r="H1320">
        <v>350.97</v>
      </c>
      <c r="I1320" s="1">
        <v>978.05</v>
      </c>
      <c r="J1320" s="16">
        <v>290297.79018201213</v>
      </c>
      <c r="K1320" s="5">
        <v>1.822985283674854E-2</v>
      </c>
      <c r="L1320" s="10">
        <v>55134.148000000001</v>
      </c>
    </row>
    <row r="1321" spans="1:12" x14ac:dyDescent="0.25">
      <c r="A1321">
        <v>1320</v>
      </c>
      <c r="B1321" s="3">
        <v>0.16030693423686665</v>
      </c>
      <c r="C1321" s="3">
        <v>2.7058363312989709E-2</v>
      </c>
      <c r="D1321" s="1">
        <v>239675.52330480251</v>
      </c>
      <c r="E1321" s="1">
        <v>10745431</v>
      </c>
      <c r="F1321" s="1">
        <v>47180702</v>
      </c>
      <c r="G1321" s="16">
        <v>26540.80319012313</v>
      </c>
      <c r="H1321">
        <v>113.87</v>
      </c>
      <c r="I1321" s="1">
        <v>359.98</v>
      </c>
      <c r="J1321" s="16">
        <v>266216.32649492566</v>
      </c>
      <c r="K1321" s="5">
        <v>4.9756508405548711E-2</v>
      </c>
      <c r="L1321" s="10">
        <v>452866.39510000002</v>
      </c>
    </row>
    <row r="1322" spans="1:12" x14ac:dyDescent="0.25">
      <c r="A1322">
        <v>1321</v>
      </c>
      <c r="B1322" s="3">
        <v>0.21980424793991982</v>
      </c>
      <c r="C1322" s="3">
        <v>2.9925718378587811E-2</v>
      </c>
      <c r="D1322" s="1">
        <v>91181.99349964752</v>
      </c>
      <c r="E1322" s="1">
        <v>3593365</v>
      </c>
      <c r="F1322" s="1">
        <v>19192635</v>
      </c>
      <c r="G1322" s="16">
        <v>9559.4074929558901</v>
      </c>
      <c r="H1322">
        <v>63.77</v>
      </c>
      <c r="I1322" s="1">
        <v>289.66000000000003</v>
      </c>
      <c r="J1322" s="16">
        <v>100741.40099260341</v>
      </c>
      <c r="K1322" s="5">
        <v>1.954802339115734E-3</v>
      </c>
      <c r="L1322" s="10">
        <v>25742.0926</v>
      </c>
    </row>
    <row r="1323" spans="1:12" x14ac:dyDescent="0.25">
      <c r="A1323">
        <v>1322</v>
      </c>
      <c r="B1323" s="3">
        <v>0.15608827767608099</v>
      </c>
      <c r="C1323" s="3">
        <v>4.3469583848744914E-2</v>
      </c>
      <c r="D1323" s="1">
        <v>79985.298881588358</v>
      </c>
      <c r="E1323" s="1">
        <v>2490705</v>
      </c>
      <c r="F1323" s="1">
        <v>14569878</v>
      </c>
      <c r="G1323" s="16">
        <v>45749.851264334451</v>
      </c>
      <c r="H1323">
        <v>225.76</v>
      </c>
      <c r="I1323" s="1">
        <v>595.70000000000005</v>
      </c>
      <c r="J1323" s="16">
        <v>125735.15014592282</v>
      </c>
      <c r="K1323" s="5">
        <v>6.0680655729131602E-2</v>
      </c>
      <c r="L1323" s="10">
        <v>156384.7365</v>
      </c>
    </row>
    <row r="1324" spans="1:12" x14ac:dyDescent="0.25">
      <c r="A1324">
        <v>1323</v>
      </c>
      <c r="B1324" s="3">
        <v>0.11222804866228317</v>
      </c>
      <c r="C1324" s="3">
        <v>6.4193595943506904E-2</v>
      </c>
      <c r="D1324" s="1">
        <v>190368.0358422194</v>
      </c>
      <c r="E1324" s="1">
        <v>5735761</v>
      </c>
      <c r="F1324" s="1">
        <v>24316813</v>
      </c>
      <c r="G1324" s="16">
        <v>48779.59710738009</v>
      </c>
      <c r="H1324">
        <v>168.91</v>
      </c>
      <c r="I1324" s="1">
        <v>563.9</v>
      </c>
      <c r="J1324" s="16">
        <v>239147.63294959947</v>
      </c>
      <c r="K1324" s="5">
        <v>0.19174540265115947</v>
      </c>
      <c r="L1324" s="10">
        <v>475354.04960000003</v>
      </c>
    </row>
    <row r="1325" spans="1:12" x14ac:dyDescent="0.25">
      <c r="A1325">
        <v>1324</v>
      </c>
      <c r="B1325" s="3">
        <v>0.10369767933318515</v>
      </c>
      <c r="C1325" s="3">
        <v>6.5008752964105285E-2</v>
      </c>
      <c r="D1325" s="1">
        <v>386603.54229960975</v>
      </c>
      <c r="E1325" s="1">
        <v>11211159</v>
      </c>
      <c r="F1325" s="1">
        <v>42714155</v>
      </c>
      <c r="G1325" s="16">
        <v>24609.636995064167</v>
      </c>
      <c r="H1325">
        <v>71.47</v>
      </c>
      <c r="I1325" s="1">
        <v>326.83999999999997</v>
      </c>
      <c r="J1325" s="16">
        <v>411213.1792946739</v>
      </c>
      <c r="K1325" s="5">
        <v>8.2543711430209846E-2</v>
      </c>
      <c r="L1325" s="10">
        <v>370733.17479999998</v>
      </c>
    </row>
    <row r="1326" spans="1:12" x14ac:dyDescent="0.25">
      <c r="A1326">
        <v>1325</v>
      </c>
      <c r="B1326" s="3">
        <v>0.16604052947325398</v>
      </c>
      <c r="C1326" s="3">
        <v>5.283948518855637E-2</v>
      </c>
      <c r="D1326" s="1">
        <v>63642.510467029439</v>
      </c>
      <c r="E1326" s="1">
        <v>2053599</v>
      </c>
      <c r="F1326" s="1">
        <v>14780863</v>
      </c>
      <c r="G1326" s="16">
        <v>23642.601290172683</v>
      </c>
      <c r="H1326">
        <v>126.68</v>
      </c>
      <c r="I1326" s="1">
        <v>462.47</v>
      </c>
      <c r="J1326" s="16">
        <v>87285.111757202118</v>
      </c>
      <c r="K1326" s="5">
        <v>0.10404340335225432</v>
      </c>
      <c r="L1326" s="10">
        <v>136279.9933</v>
      </c>
    </row>
    <row r="1327" spans="1:12" x14ac:dyDescent="0.25">
      <c r="A1327">
        <v>1326</v>
      </c>
      <c r="B1327" s="3">
        <v>0.2317842129644323</v>
      </c>
      <c r="C1327" s="3">
        <v>2.9882157810973899E-2</v>
      </c>
      <c r="D1327" s="1">
        <v>130772.44398105876</v>
      </c>
      <c r="E1327" s="1">
        <v>7027259</v>
      </c>
      <c r="F1327" s="1">
        <v>27824160</v>
      </c>
      <c r="G1327" s="16">
        <v>22579.330087250462</v>
      </c>
      <c r="H1327">
        <v>280.27999999999997</v>
      </c>
      <c r="I1327" s="1">
        <v>901.89</v>
      </c>
      <c r="J1327" s="16">
        <v>153351.77406830923</v>
      </c>
      <c r="K1327" s="5">
        <v>0.15601951061035235</v>
      </c>
      <c r="L1327" s="10">
        <v>681497.75269999995</v>
      </c>
    </row>
    <row r="1328" spans="1:12" x14ac:dyDescent="0.25">
      <c r="A1328">
        <v>1327</v>
      </c>
      <c r="B1328" s="3">
        <v>0.18021771820860591</v>
      </c>
      <c r="C1328" s="3">
        <v>5.3214743711559515E-2</v>
      </c>
      <c r="D1328" s="1">
        <v>116024.65648916618</v>
      </c>
      <c r="E1328" s="1">
        <v>4807940</v>
      </c>
      <c r="F1328" s="1">
        <v>27845236</v>
      </c>
      <c r="G1328" s="16">
        <v>19900.442113493667</v>
      </c>
      <c r="H1328">
        <v>98.74</v>
      </c>
      <c r="I1328" s="1">
        <v>347.4</v>
      </c>
      <c r="J1328" s="16">
        <v>135925.09860265985</v>
      </c>
      <c r="K1328" s="5">
        <v>2.5138503684669217E-3</v>
      </c>
      <c r="L1328" s="10">
        <v>8799.0022000000008</v>
      </c>
    </row>
    <row r="1329" spans="1:12" x14ac:dyDescent="0.25">
      <c r="A1329">
        <v>1328</v>
      </c>
      <c r="B1329" s="3">
        <v>0.1301910316592263</v>
      </c>
      <c r="C1329" s="3">
        <v>7.8134115442588484E-2</v>
      </c>
      <c r="D1329" s="1">
        <v>157115.23409678755</v>
      </c>
      <c r="E1329" s="1">
        <v>5137190</v>
      </c>
      <c r="F1329" s="1">
        <v>30064578</v>
      </c>
      <c r="G1329" s="16">
        <v>37153.103899025853</v>
      </c>
      <c r="H1329">
        <v>148.46</v>
      </c>
      <c r="I1329" s="1">
        <v>519.14</v>
      </c>
      <c r="J1329" s="16">
        <v>194268.3379958134</v>
      </c>
      <c r="K1329" s="5">
        <v>4.7575011224059584E-2</v>
      </c>
      <c r="L1329" s="10">
        <v>89274.681100000002</v>
      </c>
    </row>
    <row r="1330" spans="1:12" x14ac:dyDescent="0.25">
      <c r="A1330">
        <v>1329</v>
      </c>
      <c r="B1330" s="3">
        <v>0.17898886160472405</v>
      </c>
      <c r="C1330" s="3">
        <v>6.5075760706068256E-2</v>
      </c>
      <c r="D1330" s="1">
        <v>136661.35676410547</v>
      </c>
      <c r="E1330" s="1">
        <v>4621695</v>
      </c>
      <c r="F1330" s="1">
        <v>20093904</v>
      </c>
      <c r="G1330" s="16">
        <v>34888.753660955197</v>
      </c>
      <c r="H1330">
        <v>208.77</v>
      </c>
      <c r="I1330" s="1">
        <v>487.04999999999995</v>
      </c>
      <c r="J1330" s="16">
        <v>171550.11042506067</v>
      </c>
      <c r="K1330" s="5">
        <v>9.3730044565652246E-2</v>
      </c>
      <c r="L1330" s="10">
        <v>168709.02129999999</v>
      </c>
    </row>
    <row r="1331" spans="1:12" x14ac:dyDescent="0.25">
      <c r="A1331">
        <v>1330</v>
      </c>
      <c r="B1331" s="3">
        <v>0.18821191201980908</v>
      </c>
      <c r="C1331" s="3">
        <v>5.7118171062109646E-2</v>
      </c>
      <c r="D1331" s="1">
        <v>59963.235476526679</v>
      </c>
      <c r="E1331" s="1">
        <v>2584147</v>
      </c>
      <c r="F1331" s="1">
        <v>21907859</v>
      </c>
      <c r="G1331" s="16">
        <v>22239.587420830656</v>
      </c>
      <c r="H1331">
        <v>144.13999999999999</v>
      </c>
      <c r="I1331" s="1">
        <v>529.67999999999995</v>
      </c>
      <c r="J1331" s="16">
        <v>82202.822897357342</v>
      </c>
      <c r="K1331" s="5">
        <v>7.7597823895085377E-2</v>
      </c>
      <c r="L1331" s="10">
        <v>112817.451</v>
      </c>
    </row>
    <row r="1332" spans="1:12" x14ac:dyDescent="0.25">
      <c r="A1332">
        <v>1331</v>
      </c>
      <c r="B1332" s="3">
        <v>0.19180939793290686</v>
      </c>
      <c r="C1332" s="3">
        <v>6.1255400321758899E-2</v>
      </c>
      <c r="D1332" s="1">
        <v>76754.480469184957</v>
      </c>
      <c r="E1332" s="1">
        <v>2721231</v>
      </c>
      <c r="F1332" s="1">
        <v>16767026</v>
      </c>
      <c r="G1332" s="16">
        <v>11329.426392128962</v>
      </c>
      <c r="H1332">
        <v>61.19</v>
      </c>
      <c r="I1332" s="1">
        <v>216.88</v>
      </c>
      <c r="J1332" s="16">
        <v>88083.906861313924</v>
      </c>
      <c r="K1332" s="5">
        <v>0.27644696251782885</v>
      </c>
      <c r="L1332" s="10">
        <v>310786.4008</v>
      </c>
    </row>
    <row r="1333" spans="1:12" x14ac:dyDescent="0.25">
      <c r="A1333">
        <v>1332</v>
      </c>
      <c r="B1333" s="3">
        <v>0.14066985706729079</v>
      </c>
      <c r="C1333" s="3">
        <v>5.7231180110190918E-2</v>
      </c>
      <c r="D1333" s="1">
        <v>312199.17972137377</v>
      </c>
      <c r="E1333" s="1">
        <v>10715051</v>
      </c>
      <c r="F1333" s="1">
        <v>36739606</v>
      </c>
      <c r="G1333" s="16">
        <v>37554.771401976388</v>
      </c>
      <c r="H1333">
        <v>163.22999999999999</v>
      </c>
      <c r="I1333" s="1">
        <v>488.86</v>
      </c>
      <c r="J1333" s="16">
        <v>349753.95112335018</v>
      </c>
      <c r="K1333" s="5">
        <v>-9.9318814480204888E-3</v>
      </c>
      <c r="L1333" s="10">
        <v>-12877.6302</v>
      </c>
    </row>
    <row r="1334" spans="1:12" x14ac:dyDescent="0.25">
      <c r="A1334">
        <v>1333</v>
      </c>
      <c r="B1334" s="3">
        <v>0.19678751870341599</v>
      </c>
      <c r="C1334" s="3">
        <v>4.8094296633538189E-2</v>
      </c>
      <c r="D1334" s="1">
        <v>177898.51273981907</v>
      </c>
      <c r="E1334" s="1">
        <v>7999320</v>
      </c>
      <c r="F1334" s="1">
        <v>24487435</v>
      </c>
      <c r="G1334" s="16">
        <v>9489.6183532970063</v>
      </c>
      <c r="H1334">
        <v>53.14</v>
      </c>
      <c r="I1334" s="1">
        <v>229.03999999999996</v>
      </c>
      <c r="J1334" s="16">
        <v>187388.13109311607</v>
      </c>
      <c r="K1334" s="5">
        <v>-3.1145756583922886E-2</v>
      </c>
      <c r="L1334" s="10">
        <v>-76656.274300000005</v>
      </c>
    </row>
    <row r="1335" spans="1:12" x14ac:dyDescent="0.25">
      <c r="A1335">
        <v>1334</v>
      </c>
      <c r="B1335" s="3">
        <v>0.1527349705160492</v>
      </c>
      <c r="C1335" s="3">
        <v>7.6265657271506457E-2</v>
      </c>
      <c r="D1335" s="1">
        <v>127988.73320287657</v>
      </c>
      <c r="E1335" s="1">
        <v>3938370</v>
      </c>
      <c r="F1335" s="1">
        <v>15264471</v>
      </c>
      <c r="G1335" s="16">
        <v>34177.336579841001</v>
      </c>
      <c r="H1335">
        <v>193.73</v>
      </c>
      <c r="I1335" s="1">
        <v>778.23</v>
      </c>
      <c r="J1335" s="16">
        <v>162166.06978271756</v>
      </c>
      <c r="K1335" s="5">
        <v>9.6331357963780798E-2</v>
      </c>
      <c r="L1335" s="10">
        <v>154682.4559</v>
      </c>
    </row>
    <row r="1336" spans="1:12" x14ac:dyDescent="0.25">
      <c r="A1336">
        <v>1335</v>
      </c>
      <c r="B1336" s="3">
        <v>0.1241166572857883</v>
      </c>
      <c r="C1336" s="3">
        <v>4.2380352131034513E-2</v>
      </c>
      <c r="D1336" s="1">
        <v>147502.40000497457</v>
      </c>
      <c r="E1336" s="1">
        <v>4690473</v>
      </c>
      <c r="F1336" s="1">
        <v>24536630</v>
      </c>
      <c r="G1336" s="16">
        <v>61248.225625063802</v>
      </c>
      <c r="H1336">
        <v>265.70999999999998</v>
      </c>
      <c r="I1336" s="1">
        <v>877.06</v>
      </c>
      <c r="J1336" s="16">
        <v>208750.62563003838</v>
      </c>
      <c r="K1336" s="5">
        <v>0.1384693723020268</v>
      </c>
      <c r="L1336" s="10">
        <v>559677.3554</v>
      </c>
    </row>
    <row r="1337" spans="1:12" x14ac:dyDescent="0.25">
      <c r="A1337">
        <v>1336</v>
      </c>
      <c r="B1337" s="3">
        <v>0.17969704100655493</v>
      </c>
      <c r="C1337" s="3">
        <v>2.9782569393192841E-2</v>
      </c>
      <c r="D1337" s="1">
        <v>108918.84655605356</v>
      </c>
      <c r="E1337" s="1">
        <v>4502034</v>
      </c>
      <c r="F1337" s="1">
        <v>29397798</v>
      </c>
      <c r="G1337" s="16">
        <v>15835.391198176454</v>
      </c>
      <c r="H1337">
        <v>78.27</v>
      </c>
      <c r="I1337" s="1">
        <v>298.37</v>
      </c>
      <c r="J1337" s="16">
        <v>124754.23775423001</v>
      </c>
      <c r="K1337" s="5">
        <v>0.15377856564445164</v>
      </c>
      <c r="L1337" s="10">
        <v>595030.83660000004</v>
      </c>
    </row>
    <row r="1338" spans="1:12" x14ac:dyDescent="0.25">
      <c r="A1338">
        <v>1337</v>
      </c>
      <c r="B1338" s="3">
        <v>0.23164673214204165</v>
      </c>
      <c r="C1338" s="3">
        <v>6.1279477525239809E-2</v>
      </c>
      <c r="D1338" s="1">
        <v>187336.68731007408</v>
      </c>
      <c r="E1338" s="1">
        <v>13092466</v>
      </c>
      <c r="F1338" s="1">
        <v>57705914</v>
      </c>
      <c r="G1338" s="16">
        <v>28690.308488460349</v>
      </c>
      <c r="H1338">
        <v>355.65</v>
      </c>
      <c r="I1338" s="1">
        <v>1065.83</v>
      </c>
      <c r="J1338" s="16">
        <v>216026.99579853442</v>
      </c>
      <c r="K1338" s="5">
        <v>6.5201818828897751E-2</v>
      </c>
      <c r="L1338" s="10">
        <v>194365.79629999999</v>
      </c>
    </row>
    <row r="1339" spans="1:12" x14ac:dyDescent="0.25">
      <c r="A1339">
        <v>1338</v>
      </c>
      <c r="B1339" s="3">
        <v>0.18028683898647246</v>
      </c>
      <c r="C1339" s="3">
        <v>4.9587132119814532E-2</v>
      </c>
      <c r="D1339" s="1">
        <v>146431.58892234953</v>
      </c>
      <c r="E1339" s="1">
        <v>6070022</v>
      </c>
      <c r="F1339" s="1">
        <v>35360541</v>
      </c>
      <c r="G1339" s="16">
        <v>6867.0481586507913</v>
      </c>
      <c r="H1339">
        <v>27.88</v>
      </c>
      <c r="I1339" s="1">
        <v>110.67999999999999</v>
      </c>
      <c r="J1339" s="16">
        <v>153298.63708100031</v>
      </c>
      <c r="K1339" s="5">
        <v>4.1929904377387348E-2</v>
      </c>
      <c r="L1339" s="10">
        <v>122391.6017</v>
      </c>
    </row>
    <row r="1340" spans="1:12" x14ac:dyDescent="0.25">
      <c r="A1340">
        <v>1339</v>
      </c>
      <c r="B1340" s="3">
        <v>0.13795297056341749</v>
      </c>
      <c r="C1340" s="3">
        <v>3.746485036962701E-2</v>
      </c>
      <c r="D1340" s="1">
        <v>441251.66928914667</v>
      </c>
      <c r="E1340" s="1">
        <v>17347365</v>
      </c>
      <c r="F1340" s="1">
        <v>42987301</v>
      </c>
      <c r="G1340" s="16">
        <v>23151.215173045795</v>
      </c>
      <c r="H1340">
        <v>84.94</v>
      </c>
      <c r="I1340" s="1">
        <v>294.33000000000004</v>
      </c>
      <c r="J1340" s="16">
        <v>464402.88446219248</v>
      </c>
      <c r="K1340" s="5">
        <v>4.009366659291061E-2</v>
      </c>
      <c r="L1340" s="10">
        <v>379185.03980000003</v>
      </c>
    </row>
    <row r="1341" spans="1:12" x14ac:dyDescent="0.25">
      <c r="A1341">
        <v>1340</v>
      </c>
      <c r="B1341" s="3">
        <v>0.12144966611939016</v>
      </c>
      <c r="C1341" s="3">
        <v>5.567847570688278E-2</v>
      </c>
      <c r="D1341" s="1">
        <v>220786.71811508786</v>
      </c>
      <c r="E1341" s="1">
        <v>7894824</v>
      </c>
      <c r="F1341" s="1">
        <v>46553020</v>
      </c>
      <c r="G1341" s="16">
        <v>26938.862763016503</v>
      </c>
      <c r="H1341">
        <v>88.12</v>
      </c>
      <c r="I1341" s="1">
        <v>363.15</v>
      </c>
      <c r="J1341" s="16">
        <v>247725.58087810437</v>
      </c>
      <c r="K1341" s="5">
        <v>0.19046408465562559</v>
      </c>
      <c r="L1341" s="10">
        <v>645996.75679999997</v>
      </c>
    </row>
    <row r="1342" spans="1:12" x14ac:dyDescent="0.25">
      <c r="A1342">
        <v>1341</v>
      </c>
      <c r="B1342" s="3">
        <v>0.24563519190833524</v>
      </c>
      <c r="C1342" s="3">
        <v>5.2112845930000512E-2</v>
      </c>
      <c r="D1342" s="1">
        <v>56280.522150018573</v>
      </c>
      <c r="E1342" s="1">
        <v>2453674</v>
      </c>
      <c r="F1342" s="1">
        <v>18123005</v>
      </c>
      <c r="G1342" s="16">
        <v>25880.595014506576</v>
      </c>
      <c r="H1342">
        <v>371.32</v>
      </c>
      <c r="I1342" s="1">
        <v>931.56</v>
      </c>
      <c r="J1342" s="16">
        <v>82161.117164525145</v>
      </c>
      <c r="K1342" s="5">
        <v>9.7555763728736811E-2</v>
      </c>
      <c r="L1342" s="10">
        <v>140053.14670000001</v>
      </c>
    </row>
    <row r="1343" spans="1:12" x14ac:dyDescent="0.25">
      <c r="A1343">
        <v>1342</v>
      </c>
      <c r="B1343" s="3">
        <v>0.24073442903730721</v>
      </c>
      <c r="C1343" s="3">
        <v>5.1018609688936858E-2</v>
      </c>
      <c r="D1343" s="1">
        <v>85854.782898207966</v>
      </c>
      <c r="E1343" s="1">
        <v>3671014</v>
      </c>
      <c r="F1343" s="1">
        <v>19184563</v>
      </c>
      <c r="G1343" s="16">
        <v>9994.4954258814596</v>
      </c>
      <c r="H1343">
        <v>103.36</v>
      </c>
      <c r="I1343" s="1">
        <v>431.73</v>
      </c>
      <c r="J1343" s="16">
        <v>95849.27832408942</v>
      </c>
      <c r="K1343" s="5">
        <v>0.16135140511483342</v>
      </c>
      <c r="L1343" s="10">
        <v>218289.8749</v>
      </c>
    </row>
    <row r="1344" spans="1:12" x14ac:dyDescent="0.25">
      <c r="A1344">
        <v>1343</v>
      </c>
      <c r="B1344" s="3">
        <v>0.11557991855840083</v>
      </c>
      <c r="C1344" s="3">
        <v>6.184527854995947E-2</v>
      </c>
      <c r="D1344" s="1">
        <v>431919.52488830051</v>
      </c>
      <c r="E1344" s="1">
        <v>14938716</v>
      </c>
      <c r="F1344" s="1">
        <v>48655077</v>
      </c>
      <c r="G1344" s="16">
        <v>26616.229590875701</v>
      </c>
      <c r="H1344">
        <v>83.71</v>
      </c>
      <c r="I1344" s="1">
        <v>253.52999999999997</v>
      </c>
      <c r="J1344" s="16">
        <v>458535.75447917619</v>
      </c>
      <c r="K1344" s="5">
        <v>0.22077017818839401</v>
      </c>
      <c r="L1344" s="10">
        <v>1096807.2714</v>
      </c>
    </row>
    <row r="1345" spans="1:12" x14ac:dyDescent="0.25">
      <c r="A1345">
        <v>1344</v>
      </c>
      <c r="B1345" s="3">
        <v>0.197529838236707</v>
      </c>
      <c r="C1345" s="3">
        <v>6.3447850637901135E-2</v>
      </c>
      <c r="D1345" s="1">
        <v>175149.96873260551</v>
      </c>
      <c r="E1345" s="1">
        <v>7904909</v>
      </c>
      <c r="F1345" s="1">
        <v>31974185</v>
      </c>
      <c r="G1345" s="16">
        <v>13958.594311813995</v>
      </c>
      <c r="H1345">
        <v>97.89</v>
      </c>
      <c r="I1345" s="1">
        <v>403.51</v>
      </c>
      <c r="J1345" s="16">
        <v>189108.56304441951</v>
      </c>
      <c r="K1345" s="5">
        <v>2.8010099513208403E-2</v>
      </c>
      <c r="L1345" s="10">
        <v>74134.003800000006</v>
      </c>
    </row>
    <row r="1346" spans="1:12" x14ac:dyDescent="0.25">
      <c r="A1346">
        <v>1345</v>
      </c>
      <c r="B1346" s="3">
        <v>0.16483375989624544</v>
      </c>
      <c r="C1346" s="3">
        <v>2.5364848677990458E-2</v>
      </c>
      <c r="D1346" s="1">
        <v>124207.33366921128</v>
      </c>
      <c r="E1346" s="1">
        <v>4778130</v>
      </c>
      <c r="F1346" s="1">
        <v>31352763</v>
      </c>
      <c r="G1346" s="16">
        <v>22340.400615195995</v>
      </c>
      <c r="H1346">
        <v>99.06</v>
      </c>
      <c r="I1346" s="1">
        <v>312.97000000000003</v>
      </c>
      <c r="J1346" s="16">
        <v>146547.73428440728</v>
      </c>
      <c r="K1346" s="5">
        <v>6.3746498074484903E-2</v>
      </c>
      <c r="L1346" s="10">
        <v>334599.0012</v>
      </c>
    </row>
    <row r="1347" spans="1:12" x14ac:dyDescent="0.25">
      <c r="A1347">
        <v>1346</v>
      </c>
      <c r="B1347" s="3">
        <v>0.11081785939728944</v>
      </c>
      <c r="C1347" s="3">
        <v>5.8836405622474275E-2</v>
      </c>
      <c r="D1347" s="1">
        <v>66964.565752138224</v>
      </c>
      <c r="E1347" s="1">
        <v>1782690</v>
      </c>
      <c r="F1347" s="1">
        <v>12829596</v>
      </c>
      <c r="G1347" s="16">
        <v>33302.416258807338</v>
      </c>
      <c r="H1347">
        <v>101.31</v>
      </c>
      <c r="I1347" s="1">
        <v>279.49</v>
      </c>
      <c r="J1347" s="16">
        <v>100266.98201094556</v>
      </c>
      <c r="K1347" s="5">
        <v>9.3451039132002547E-2</v>
      </c>
      <c r="L1347" s="10">
        <v>127681.0454</v>
      </c>
    </row>
    <row r="1348" spans="1:12" x14ac:dyDescent="0.25">
      <c r="A1348">
        <v>1347</v>
      </c>
      <c r="B1348" s="3">
        <v>0.13143123129473577</v>
      </c>
      <c r="C1348" s="3">
        <v>6.6249101162442953E-2</v>
      </c>
      <c r="D1348" s="1">
        <v>100956.27250259013</v>
      </c>
      <c r="E1348" s="1">
        <v>3319856</v>
      </c>
      <c r="F1348" s="1">
        <v>22286216</v>
      </c>
      <c r="G1348" s="16">
        <v>84137.903752350598</v>
      </c>
      <c r="H1348">
        <v>390.83</v>
      </c>
      <c r="I1348" s="1">
        <v>1099.24</v>
      </c>
      <c r="J1348" s="16">
        <v>185094.17625494074</v>
      </c>
      <c r="K1348" s="5">
        <v>-8.3582543837677534E-2</v>
      </c>
      <c r="L1348" s="10">
        <v>-133892.0619</v>
      </c>
    </row>
    <row r="1349" spans="1:12" x14ac:dyDescent="0.25">
      <c r="A1349">
        <v>1348</v>
      </c>
      <c r="B1349" s="3">
        <v>0.18850399457702921</v>
      </c>
      <c r="C1349" s="3">
        <v>2.194795169509622E-2</v>
      </c>
      <c r="D1349" s="1">
        <v>156534.61418789651</v>
      </c>
      <c r="E1349" s="1">
        <v>6755659</v>
      </c>
      <c r="F1349" s="1">
        <v>33538905</v>
      </c>
      <c r="G1349" s="16">
        <v>52618.855270632572</v>
      </c>
      <c r="H1349">
        <v>420.25</v>
      </c>
      <c r="I1349" s="1">
        <v>973.06999999999994</v>
      </c>
      <c r="J1349" s="16">
        <v>209153.46945852909</v>
      </c>
      <c r="K1349" s="5">
        <v>1.4317139820532412E-2</v>
      </c>
      <c r="L1349" s="10">
        <v>195176.42449999999</v>
      </c>
    </row>
    <row r="1350" spans="1:12" x14ac:dyDescent="0.25">
      <c r="A1350">
        <v>1349</v>
      </c>
      <c r="B1350" s="3">
        <v>0.1986618789495323</v>
      </c>
      <c r="C1350" s="3">
        <v>2.0443813379272899E-2</v>
      </c>
      <c r="D1350" s="1">
        <v>112891.25192569387</v>
      </c>
      <c r="E1350" s="1">
        <v>4105971</v>
      </c>
      <c r="F1350" s="1">
        <v>18977265</v>
      </c>
      <c r="G1350" s="16">
        <v>51899.003480271043</v>
      </c>
      <c r="H1350">
        <v>459.37</v>
      </c>
      <c r="I1350" s="1">
        <v>1187.21</v>
      </c>
      <c r="J1350" s="16">
        <v>164790.25540596491</v>
      </c>
      <c r="K1350" s="5">
        <v>2.6269242300756591E-2</v>
      </c>
      <c r="L1350" s="10">
        <v>204498.685</v>
      </c>
    </row>
    <row r="1351" spans="1:12" x14ac:dyDescent="0.25">
      <c r="A1351">
        <v>1350</v>
      </c>
      <c r="B1351" s="3">
        <v>0.21124083627898385</v>
      </c>
      <c r="C1351" s="3">
        <v>5.3468522787326556E-2</v>
      </c>
      <c r="D1351" s="1">
        <v>111376.38295280933</v>
      </c>
      <c r="E1351" s="1">
        <v>5385393</v>
      </c>
      <c r="F1351" s="1">
        <v>24393026</v>
      </c>
      <c r="G1351" s="16">
        <v>12194.601157672085</v>
      </c>
      <c r="H1351">
        <v>76.209999999999994</v>
      </c>
      <c r="I1351" s="1">
        <v>256.89</v>
      </c>
      <c r="J1351" s="16">
        <v>123570.98411048143</v>
      </c>
      <c r="K1351" s="5">
        <v>-8.8013953117231938E-2</v>
      </c>
      <c r="L1351" s="10">
        <v>-149071.44390000001</v>
      </c>
    </row>
    <row r="1352" spans="1:12" x14ac:dyDescent="0.25">
      <c r="A1352">
        <v>1351</v>
      </c>
      <c r="B1352" s="3">
        <v>0.24773264075580204</v>
      </c>
      <c r="C1352" s="3">
        <v>4.3354812709752499E-2</v>
      </c>
      <c r="D1352" s="1">
        <v>129050.75463574602</v>
      </c>
      <c r="E1352" s="1">
        <v>7541788</v>
      </c>
      <c r="F1352" s="1">
        <v>30031633</v>
      </c>
      <c r="G1352" s="16">
        <v>17402.062413194879</v>
      </c>
      <c r="H1352">
        <v>191.85</v>
      </c>
      <c r="I1352" s="1">
        <v>621.88</v>
      </c>
      <c r="J1352" s="16">
        <v>146452.81704894089</v>
      </c>
      <c r="K1352" s="5">
        <v>0.16207114997140304</v>
      </c>
      <c r="L1352" s="10">
        <v>433754.67959999997</v>
      </c>
    </row>
    <row r="1353" spans="1:12" x14ac:dyDescent="0.25">
      <c r="A1353">
        <v>1352</v>
      </c>
      <c r="B1353" s="3">
        <v>0.19822238376957074</v>
      </c>
      <c r="C1353" s="3">
        <v>2.7348924092657205E-2</v>
      </c>
      <c r="D1353" s="1">
        <v>431389.03777948162</v>
      </c>
      <c r="E1353" s="1">
        <v>24367040</v>
      </c>
      <c r="F1353" s="1">
        <v>71305405</v>
      </c>
      <c r="G1353" s="16">
        <v>55970.23542534314</v>
      </c>
      <c r="H1353">
        <v>493.67</v>
      </c>
      <c r="I1353" s="1">
        <v>1235.3300000000002</v>
      </c>
      <c r="J1353" s="16">
        <v>487359.27320482477</v>
      </c>
      <c r="K1353" s="5">
        <v>6.7644944580061067E-2</v>
      </c>
      <c r="L1353" s="10">
        <v>1082634.3247</v>
      </c>
    </row>
    <row r="1354" spans="1:12" x14ac:dyDescent="0.25">
      <c r="A1354">
        <v>1353</v>
      </c>
      <c r="B1354" s="3">
        <v>0.20199600276083701</v>
      </c>
      <c r="C1354" s="3">
        <v>4.4797049618273785E-2</v>
      </c>
      <c r="D1354" s="1">
        <v>245233.74523588421</v>
      </c>
      <c r="E1354" s="1">
        <v>11317815</v>
      </c>
      <c r="F1354" s="1">
        <v>41279539</v>
      </c>
      <c r="G1354" s="16">
        <v>15266.936774694523</v>
      </c>
      <c r="H1354">
        <v>89.01</v>
      </c>
      <c r="I1354" s="1">
        <v>311.03000000000003</v>
      </c>
      <c r="J1354" s="16">
        <v>260500.68201057875</v>
      </c>
      <c r="K1354" s="5">
        <v>0.25862395797120163</v>
      </c>
      <c r="L1354" s="10">
        <v>1133126.895</v>
      </c>
    </row>
    <row r="1355" spans="1:12" x14ac:dyDescent="0.25">
      <c r="A1355">
        <v>1354</v>
      </c>
      <c r="B1355" s="3">
        <v>0.22832147592352359</v>
      </c>
      <c r="C1355" s="3">
        <v>4.7162485420485609E-2</v>
      </c>
      <c r="D1355" s="1">
        <v>39944.942514971073</v>
      </c>
      <c r="E1355" s="1">
        <v>1626881</v>
      </c>
      <c r="F1355" s="1">
        <v>11911211</v>
      </c>
      <c r="G1355" s="16">
        <v>9853.9521694293853</v>
      </c>
      <c r="H1355">
        <v>70.209999999999994</v>
      </c>
      <c r="I1355" s="1">
        <v>303.54999999999995</v>
      </c>
      <c r="J1355" s="16">
        <v>49798.89468440046</v>
      </c>
      <c r="K1355" s="5">
        <v>0.12398854899808587</v>
      </c>
      <c r="L1355" s="10">
        <v>120655.35860000001</v>
      </c>
    </row>
    <row r="1356" spans="1:12" x14ac:dyDescent="0.25">
      <c r="A1356">
        <v>1355</v>
      </c>
      <c r="B1356" s="3">
        <v>0.10047048993831274</v>
      </c>
      <c r="C1356" s="3">
        <v>4.496312926623619E-2</v>
      </c>
      <c r="D1356" s="1">
        <v>73480.164762803397</v>
      </c>
      <c r="E1356" s="1">
        <v>1889413</v>
      </c>
      <c r="F1356" s="1">
        <v>11644995</v>
      </c>
      <c r="G1356" s="16">
        <v>56498.19754979253</v>
      </c>
      <c r="H1356">
        <v>178.42</v>
      </c>
      <c r="I1356" s="1">
        <v>612.33999999999992</v>
      </c>
      <c r="J1356" s="16">
        <v>129978.36231259593</v>
      </c>
      <c r="K1356" s="5">
        <v>5.6346371678329184E-2</v>
      </c>
      <c r="L1356" s="10">
        <v>142982.2409</v>
      </c>
    </row>
    <row r="1357" spans="1:12" x14ac:dyDescent="0.25">
      <c r="A1357">
        <v>1356</v>
      </c>
      <c r="B1357" s="3">
        <v>0.1358752950815974</v>
      </c>
      <c r="C1357" s="3">
        <v>5.2620793167320531E-2</v>
      </c>
      <c r="D1357" s="1">
        <v>184854.92716008521</v>
      </c>
      <c r="E1357" s="1">
        <v>6204813</v>
      </c>
      <c r="F1357" s="1">
        <v>28485893</v>
      </c>
      <c r="G1357" s="16">
        <v>33118.698278247903</v>
      </c>
      <c r="H1357">
        <v>119.98</v>
      </c>
      <c r="I1357" s="1">
        <v>309.3</v>
      </c>
      <c r="J1357" s="16">
        <v>217973.62543833311</v>
      </c>
      <c r="K1357" s="5">
        <v>-1.4392466967886888E-2</v>
      </c>
      <c r="L1357" s="10">
        <v>-17778.680400000001</v>
      </c>
    </row>
    <row r="1358" spans="1:12" x14ac:dyDescent="0.25">
      <c r="A1358">
        <v>1357</v>
      </c>
      <c r="B1358" s="3">
        <v>0.23403577319391186</v>
      </c>
      <c r="C1358" s="3">
        <v>4.5525747462954437E-2</v>
      </c>
      <c r="D1358" s="1">
        <v>78052.258438572753</v>
      </c>
      <c r="E1358" s="1">
        <v>4243790</v>
      </c>
      <c r="F1358" s="1">
        <v>25879312</v>
      </c>
      <c r="G1358" s="16">
        <v>26715.403299809244</v>
      </c>
      <c r="H1358">
        <v>259.88</v>
      </c>
      <c r="I1358" s="1">
        <v>721.87</v>
      </c>
      <c r="J1358" s="16">
        <v>104767.661738382</v>
      </c>
      <c r="K1358" s="5">
        <v>0.12400456568205553</v>
      </c>
      <c r="L1358" s="10">
        <v>233266.18210000001</v>
      </c>
    </row>
    <row r="1359" spans="1:12" x14ac:dyDescent="0.25">
      <c r="A1359">
        <v>1358</v>
      </c>
      <c r="B1359" s="3">
        <v>0.24543193367675739</v>
      </c>
      <c r="C1359" s="3">
        <v>4.8727815710621486E-2</v>
      </c>
      <c r="D1359" s="1">
        <v>108329.76570307232</v>
      </c>
      <c r="E1359" s="1">
        <v>6253987</v>
      </c>
      <c r="F1359" s="1">
        <v>23343236</v>
      </c>
      <c r="G1359" s="16">
        <v>10619.942683077341</v>
      </c>
      <c r="H1359">
        <v>86.45</v>
      </c>
      <c r="I1359" s="1">
        <v>353.23999999999995</v>
      </c>
      <c r="J1359" s="16">
        <v>118949.70838614966</v>
      </c>
      <c r="K1359" s="5">
        <v>1.902991361467371E-2</v>
      </c>
      <c r="L1359" s="10">
        <v>58343.485099999998</v>
      </c>
    </row>
    <row r="1360" spans="1:12" x14ac:dyDescent="0.25">
      <c r="A1360">
        <v>1359</v>
      </c>
      <c r="B1360" s="3">
        <v>0.14975752764355124</v>
      </c>
      <c r="C1360" s="3">
        <v>5.2577879803537564E-2</v>
      </c>
      <c r="D1360" s="1">
        <v>184616.5356781075</v>
      </c>
      <c r="E1360" s="1">
        <v>6611539</v>
      </c>
      <c r="F1360" s="1">
        <v>25673941</v>
      </c>
      <c r="G1360" s="16">
        <v>28189.209709919378</v>
      </c>
      <c r="H1360">
        <v>132.19999999999999</v>
      </c>
      <c r="I1360" s="1">
        <v>402.42</v>
      </c>
      <c r="J1360" s="16">
        <v>212805.74538802687</v>
      </c>
      <c r="K1360" s="5">
        <v>4.1296594659522082E-2</v>
      </c>
      <c r="L1360" s="10">
        <v>125517.8717</v>
      </c>
    </row>
    <row r="1361" spans="1:12" x14ac:dyDescent="0.25">
      <c r="A1361">
        <v>1360</v>
      </c>
      <c r="B1361" s="3">
        <v>0.21183157587444323</v>
      </c>
      <c r="C1361" s="3">
        <v>3.3960732075494188E-2</v>
      </c>
      <c r="D1361" s="1">
        <v>83868.253174219411</v>
      </c>
      <c r="E1361" s="1">
        <v>4067465</v>
      </c>
      <c r="F1361" s="1">
        <v>21734428</v>
      </c>
      <c r="G1361" s="16">
        <v>37746.817351427191</v>
      </c>
      <c r="H1361">
        <v>381.66</v>
      </c>
      <c r="I1361" s="1">
        <v>1045.1100000000001</v>
      </c>
      <c r="J1361" s="16">
        <v>121615.0705256466</v>
      </c>
      <c r="K1361" s="5">
        <v>2.5550856236313518E-2</v>
      </c>
      <c r="L1361" s="10">
        <v>93264.374899999995</v>
      </c>
    </row>
    <row r="1362" spans="1:12" x14ac:dyDescent="0.25">
      <c r="A1362">
        <v>1361</v>
      </c>
      <c r="B1362" s="3">
        <v>0.21235006903185105</v>
      </c>
      <c r="C1362" s="3">
        <v>2.7104274295630906E-2</v>
      </c>
      <c r="D1362" s="1">
        <v>141054.73126381825</v>
      </c>
      <c r="E1362" s="1">
        <v>5402449</v>
      </c>
      <c r="F1362" s="1">
        <v>20901204</v>
      </c>
      <c r="G1362" s="16">
        <v>13069.114548460593</v>
      </c>
      <c r="H1362">
        <v>82.45</v>
      </c>
      <c r="I1362" s="1">
        <v>349.93</v>
      </c>
      <c r="J1362" s="16">
        <v>154123.84581227883</v>
      </c>
      <c r="K1362" s="5">
        <v>4.9548900767178314E-2</v>
      </c>
      <c r="L1362" s="10">
        <v>250741.36009999999</v>
      </c>
    </row>
    <row r="1363" spans="1:12" x14ac:dyDescent="0.25">
      <c r="A1363">
        <v>1362</v>
      </c>
      <c r="B1363" s="3">
        <v>0.21977777524740122</v>
      </c>
      <c r="C1363" s="3">
        <v>3.2315788659257549E-2</v>
      </c>
      <c r="D1363" s="1">
        <v>205426.90104610551</v>
      </c>
      <c r="E1363" s="1">
        <v>10374982</v>
      </c>
      <c r="F1363" s="1">
        <v>40804657</v>
      </c>
      <c r="G1363" s="16">
        <v>16137.577277853659</v>
      </c>
      <c r="H1363">
        <v>138.13999999999999</v>
      </c>
      <c r="I1363" s="1">
        <v>427.09</v>
      </c>
      <c r="J1363" s="16">
        <v>221564.47832395916</v>
      </c>
      <c r="K1363" s="5">
        <v>0.14535861826133775</v>
      </c>
      <c r="L1363" s="10">
        <v>834758.14060000004</v>
      </c>
    </row>
    <row r="1364" spans="1:12" x14ac:dyDescent="0.25">
      <c r="A1364">
        <v>1363</v>
      </c>
      <c r="B1364" s="3">
        <v>0.11401875119010087</v>
      </c>
      <c r="C1364" s="3">
        <v>5.4614428090404024E-2</v>
      </c>
      <c r="D1364" s="1">
        <v>140322.97209007162</v>
      </c>
      <c r="E1364" s="1">
        <v>3776226</v>
      </c>
      <c r="F1364" s="1">
        <v>18599951</v>
      </c>
      <c r="G1364" s="16">
        <v>51520.52131677424</v>
      </c>
      <c r="H1364">
        <v>180.82</v>
      </c>
      <c r="I1364" s="1">
        <v>510.72999999999996</v>
      </c>
      <c r="J1364" s="16">
        <v>191843.49340684587</v>
      </c>
      <c r="K1364" s="5">
        <v>9.4226819843407514E-2</v>
      </c>
      <c r="L1364" s="10">
        <v>268348.10570000001</v>
      </c>
    </row>
    <row r="1365" spans="1:12" x14ac:dyDescent="0.25">
      <c r="A1365">
        <v>1364</v>
      </c>
      <c r="B1365" s="3">
        <v>0.10901494311990931</v>
      </c>
      <c r="C1365" s="3">
        <v>5.962069514886166E-2</v>
      </c>
      <c r="D1365" s="1">
        <v>144438.55333589023</v>
      </c>
      <c r="E1365" s="1">
        <v>3821860</v>
      </c>
      <c r="F1365" s="1">
        <v>20381952</v>
      </c>
      <c r="G1365" s="16">
        <v>87289.727599218881</v>
      </c>
      <c r="H1365">
        <v>294.87</v>
      </c>
      <c r="I1365" s="1">
        <v>710.56999999999994</v>
      </c>
      <c r="J1365" s="16">
        <v>231728.28093510913</v>
      </c>
      <c r="K1365" s="5">
        <v>8.9252503558997262E-2</v>
      </c>
      <c r="L1365" s="10">
        <v>250351.46580000001</v>
      </c>
    </row>
    <row r="1366" spans="1:12" x14ac:dyDescent="0.25">
      <c r="A1366">
        <v>1365</v>
      </c>
      <c r="B1366" s="3">
        <v>0.1127360541537398</v>
      </c>
      <c r="C1366" s="3">
        <v>7.5300166243887814E-2</v>
      </c>
      <c r="D1366" s="1">
        <v>119608.99903043314</v>
      </c>
      <c r="E1366" s="1">
        <v>3204852</v>
      </c>
      <c r="F1366" s="1">
        <v>16805152</v>
      </c>
      <c r="G1366" s="16">
        <v>67984.35227101401</v>
      </c>
      <c r="H1366">
        <v>236.47</v>
      </c>
      <c r="I1366" s="1">
        <v>661.29</v>
      </c>
      <c r="J1366" s="16">
        <v>187593.35130144714</v>
      </c>
      <c r="K1366" s="5">
        <v>2.9400996641608175E-2</v>
      </c>
      <c r="L1366" s="10">
        <v>81040.076400000005</v>
      </c>
    </row>
    <row r="1367" spans="1:12" x14ac:dyDescent="0.25">
      <c r="A1367">
        <v>1366</v>
      </c>
      <c r="B1367" s="3">
        <v>0.22914279266224449</v>
      </c>
      <c r="C1367" s="3">
        <v>7.2103134790263923E-2</v>
      </c>
      <c r="D1367" s="1">
        <v>351953.49755666166</v>
      </c>
      <c r="E1367" s="1">
        <v>31393832</v>
      </c>
      <c r="F1367" s="1">
        <v>94657077</v>
      </c>
      <c r="G1367" s="16">
        <v>6509.7480982325296</v>
      </c>
      <c r="H1367">
        <v>46.69</v>
      </c>
      <c r="I1367" s="1">
        <v>200.84</v>
      </c>
      <c r="J1367" s="16">
        <v>358463.24565489421</v>
      </c>
      <c r="K1367" s="5">
        <v>0.19862683493156644</v>
      </c>
      <c r="L1367" s="10">
        <v>675359.75430000003</v>
      </c>
    </row>
    <row r="1368" spans="1:12" x14ac:dyDescent="0.25">
      <c r="A1368">
        <v>1367</v>
      </c>
      <c r="B1368" s="3">
        <v>0.19322747579036087</v>
      </c>
      <c r="C1368" s="3">
        <v>2.2724033792836336E-2</v>
      </c>
      <c r="D1368" s="1">
        <v>262845.82942632813</v>
      </c>
      <c r="E1368" s="1">
        <v>14392899</v>
      </c>
      <c r="F1368" s="1">
        <v>71382568</v>
      </c>
      <c r="G1368" s="16">
        <v>22383.393133876507</v>
      </c>
      <c r="H1368">
        <v>122.11</v>
      </c>
      <c r="I1368" s="1">
        <v>373.78999999999996</v>
      </c>
      <c r="J1368" s="16">
        <v>285229.22256020462</v>
      </c>
      <c r="K1368" s="5">
        <v>0.28149747535152603</v>
      </c>
      <c r="L1368" s="10">
        <v>3128971.3771000002</v>
      </c>
    </row>
    <row r="1369" spans="1:12" x14ac:dyDescent="0.25">
      <c r="A1369">
        <v>1368</v>
      </c>
      <c r="B1369" s="3">
        <v>0.2062017868069104</v>
      </c>
      <c r="C1369" s="3">
        <v>3.1376838119664935E-2</v>
      </c>
      <c r="D1369" s="1">
        <v>178696.58099226054</v>
      </c>
      <c r="E1369" s="1">
        <v>8423229</v>
      </c>
      <c r="F1369" s="1">
        <v>33573283</v>
      </c>
      <c r="G1369" s="16">
        <v>15238.800794902754</v>
      </c>
      <c r="H1369">
        <v>115.36</v>
      </c>
      <c r="I1369" s="1">
        <v>421.35</v>
      </c>
      <c r="J1369" s="16">
        <v>193935.38178716329</v>
      </c>
      <c r="K1369" s="5">
        <v>0.11452631155474577</v>
      </c>
      <c r="L1369" s="10">
        <v>618746.74719999998</v>
      </c>
    </row>
    <row r="1370" spans="1:12" x14ac:dyDescent="0.25">
      <c r="A1370">
        <v>1369</v>
      </c>
      <c r="B1370" s="3">
        <v>0.13532738855216769</v>
      </c>
      <c r="C1370" s="3">
        <v>6.8356777762570806E-2</v>
      </c>
      <c r="D1370" s="1">
        <v>129165.06784565606</v>
      </c>
      <c r="E1370" s="1">
        <v>3739322</v>
      </c>
      <c r="F1370" s="1">
        <v>19295743</v>
      </c>
      <c r="G1370" s="16">
        <v>51428.785402626963</v>
      </c>
      <c r="H1370">
        <v>214.14</v>
      </c>
      <c r="I1370" s="1">
        <v>598.86</v>
      </c>
      <c r="J1370" s="16">
        <v>180593.85324828303</v>
      </c>
      <c r="K1370" s="5">
        <v>0.11141750809039595</v>
      </c>
      <c r="L1370" s="10">
        <v>210081.27309999999</v>
      </c>
    </row>
    <row r="1371" spans="1:12" x14ac:dyDescent="0.25">
      <c r="A1371">
        <v>1370</v>
      </c>
      <c r="B1371" s="3">
        <v>0.10618614323171505</v>
      </c>
      <c r="C1371" s="3">
        <v>7.0262958394492342E-2</v>
      </c>
      <c r="D1371" s="1">
        <v>139841.26121949122</v>
      </c>
      <c r="E1371" s="1">
        <v>4100618</v>
      </c>
      <c r="F1371" s="1">
        <v>24266985</v>
      </c>
      <c r="G1371" s="16">
        <v>13674.874519591034</v>
      </c>
      <c r="H1371">
        <v>36.090000000000003</v>
      </c>
      <c r="I1371" s="1">
        <v>130.43</v>
      </c>
      <c r="J1371" s="16">
        <v>153516.13573908227</v>
      </c>
      <c r="K1371" s="5">
        <v>-2.7015174670606476E-2</v>
      </c>
      <c r="L1371" s="10">
        <v>-18069.726500000001</v>
      </c>
    </row>
    <row r="1372" spans="1:12" x14ac:dyDescent="0.25">
      <c r="A1372">
        <v>1371</v>
      </c>
      <c r="B1372" s="3">
        <v>0.22036203662146359</v>
      </c>
      <c r="C1372" s="3">
        <v>3.2680387799249415E-2</v>
      </c>
      <c r="D1372" s="1">
        <v>199505.73010310312</v>
      </c>
      <c r="E1372" s="1">
        <v>10106163</v>
      </c>
      <c r="F1372" s="1">
        <v>32987270</v>
      </c>
      <c r="G1372" s="16">
        <v>22382.599738665318</v>
      </c>
      <c r="H1372">
        <v>192.4</v>
      </c>
      <c r="I1372" s="1">
        <v>516.96</v>
      </c>
      <c r="J1372" s="16">
        <v>221888.32984176843</v>
      </c>
      <c r="K1372" s="5">
        <v>-6.5646101297764277E-3</v>
      </c>
      <c r="L1372" s="10">
        <v>-10541.4534</v>
      </c>
    </row>
    <row r="1373" spans="1:12" x14ac:dyDescent="0.25">
      <c r="A1373">
        <v>1372</v>
      </c>
      <c r="B1373" s="3">
        <v>0.11180864245435869</v>
      </c>
      <c r="C1373" s="3">
        <v>4.5607776297921794E-2</v>
      </c>
      <c r="D1373" s="1">
        <v>146868.51637161558</v>
      </c>
      <c r="E1373" s="1">
        <v>3922941</v>
      </c>
      <c r="F1373" s="1">
        <v>18394772</v>
      </c>
      <c r="G1373" s="16">
        <v>32321.747499249206</v>
      </c>
      <c r="H1373">
        <v>99.16</v>
      </c>
      <c r="I1373" s="1">
        <v>328.95</v>
      </c>
      <c r="J1373" s="16">
        <v>179190.26387086479</v>
      </c>
      <c r="K1373" s="5">
        <v>7.7003170445203981E-2</v>
      </c>
      <c r="L1373" s="10">
        <v>239588.2665</v>
      </c>
    </row>
    <row r="1374" spans="1:12" x14ac:dyDescent="0.25">
      <c r="A1374">
        <v>1373</v>
      </c>
      <c r="B1374" s="3">
        <v>0.16906262371934694</v>
      </c>
      <c r="C1374" s="3">
        <v>3.5438255724830475E-2</v>
      </c>
      <c r="D1374" s="1">
        <v>140020.81233691046</v>
      </c>
      <c r="E1374" s="1">
        <v>4567622</v>
      </c>
      <c r="F1374" s="1">
        <v>18107776</v>
      </c>
      <c r="G1374" s="16">
        <v>22676.891286879574</v>
      </c>
      <c r="H1374">
        <v>124.78</v>
      </c>
      <c r="I1374" s="1">
        <v>431.96000000000004</v>
      </c>
      <c r="J1374" s="16">
        <v>162697.70362379003</v>
      </c>
      <c r="K1374" s="5">
        <v>-1.248344466707775E-4</v>
      </c>
      <c r="L1374" s="10">
        <v>13740.7937</v>
      </c>
    </row>
    <row r="1375" spans="1:12" x14ac:dyDescent="0.25">
      <c r="A1375">
        <v>1374</v>
      </c>
      <c r="B1375" s="3">
        <v>0.10788990525080666</v>
      </c>
      <c r="C1375" s="3">
        <v>3.6016383775314055E-2</v>
      </c>
      <c r="D1375" s="1">
        <v>477160.22395933745</v>
      </c>
      <c r="E1375" s="1">
        <v>15804267</v>
      </c>
      <c r="F1375" s="1">
        <v>55988168</v>
      </c>
      <c r="G1375" s="16">
        <v>65186.796733952164</v>
      </c>
      <c r="H1375">
        <v>218.15</v>
      </c>
      <c r="I1375" s="1">
        <v>610.21</v>
      </c>
      <c r="J1375" s="16">
        <v>542347.02069328958</v>
      </c>
      <c r="K1375" s="5">
        <v>0.14521248643126936</v>
      </c>
      <c r="L1375" s="10">
        <v>1799996.5412000001</v>
      </c>
    </row>
    <row r="1376" spans="1:12" x14ac:dyDescent="0.25">
      <c r="A1376">
        <v>1375</v>
      </c>
      <c r="B1376" s="3">
        <v>0.12647944594564453</v>
      </c>
      <c r="C1376" s="3">
        <v>7.4145777744495184E-2</v>
      </c>
      <c r="D1376" s="1">
        <v>93108.338801276172</v>
      </c>
      <c r="E1376" s="1">
        <v>2614399</v>
      </c>
      <c r="F1376" s="1">
        <v>15991636</v>
      </c>
      <c r="G1376" s="16">
        <v>63581.662465504087</v>
      </c>
      <c r="H1376">
        <v>246.43</v>
      </c>
      <c r="I1376" s="1">
        <v>655.36</v>
      </c>
      <c r="J1376" s="16">
        <v>156690.00126678025</v>
      </c>
      <c r="K1376" s="5">
        <v>0.13540289208903683</v>
      </c>
      <c r="L1376" s="10">
        <v>198155.27900000001</v>
      </c>
    </row>
    <row r="1377" spans="1:12" x14ac:dyDescent="0.25">
      <c r="A1377">
        <v>1376</v>
      </c>
      <c r="B1377" s="3">
        <v>0.1851445735730845</v>
      </c>
      <c r="C1377" s="3">
        <v>7.4213823047330235E-2</v>
      </c>
      <c r="D1377" s="1">
        <v>61347.229518397726</v>
      </c>
      <c r="E1377" s="1">
        <v>1729168</v>
      </c>
      <c r="F1377" s="1">
        <v>9940916</v>
      </c>
      <c r="G1377" s="16">
        <v>43251.279632562349</v>
      </c>
      <c r="H1377">
        <v>272.81</v>
      </c>
      <c r="I1377" s="1">
        <v>680.37</v>
      </c>
      <c r="J1377" s="16">
        <v>104598.50915096008</v>
      </c>
      <c r="K1377" s="5">
        <v>-5.2347513775943551E-2</v>
      </c>
      <c r="L1377" s="10">
        <v>-21993.645199999999</v>
      </c>
    </row>
    <row r="1378" spans="1:12" x14ac:dyDescent="0.25">
      <c r="A1378">
        <v>1377</v>
      </c>
      <c r="B1378" s="3">
        <v>0.11838386058096589</v>
      </c>
      <c r="C1378" s="3">
        <v>4.5824321664095641E-2</v>
      </c>
      <c r="D1378" s="1">
        <v>113501.60152416282</v>
      </c>
      <c r="E1378" s="1">
        <v>3100030</v>
      </c>
      <c r="F1378" s="1">
        <v>15225974</v>
      </c>
      <c r="G1378" s="16">
        <v>29759.165384378644</v>
      </c>
      <c r="H1378">
        <v>95.25</v>
      </c>
      <c r="I1378" s="1">
        <v>319.99</v>
      </c>
      <c r="J1378" s="16">
        <v>143260.76690854147</v>
      </c>
      <c r="K1378" s="5">
        <v>0.12043297632660595</v>
      </c>
      <c r="L1378" s="10">
        <v>309900.27519999997</v>
      </c>
    </row>
    <row r="1379" spans="1:12" x14ac:dyDescent="0.25">
      <c r="A1379">
        <v>1378</v>
      </c>
      <c r="B1379" s="3">
        <v>0.23359334847690247</v>
      </c>
      <c r="C1379" s="3">
        <v>6.9365923308110075E-2</v>
      </c>
      <c r="D1379" s="1">
        <v>105759.01933026705</v>
      </c>
      <c r="E1379" s="1">
        <v>5736982</v>
      </c>
      <c r="F1379" s="1">
        <v>26206446</v>
      </c>
      <c r="G1379" s="16">
        <v>12258.907884991675</v>
      </c>
      <c r="H1379">
        <v>90.92</v>
      </c>
      <c r="I1379" s="1">
        <v>337.2</v>
      </c>
      <c r="J1379" s="16">
        <v>118017.92721525872</v>
      </c>
      <c r="K1379" s="5">
        <v>0.16632033811140123</v>
      </c>
      <c r="L1379" s="10">
        <v>204188.77100000001</v>
      </c>
    </row>
    <row r="1380" spans="1:12" x14ac:dyDescent="0.25">
      <c r="A1380">
        <v>1379</v>
      </c>
      <c r="B1380" s="3">
        <v>0.1055141035364445</v>
      </c>
      <c r="C1380" s="3">
        <v>4.7220239697894587E-2</v>
      </c>
      <c r="D1380" s="1">
        <v>121645.95084695758</v>
      </c>
      <c r="E1380" s="1">
        <v>3181117</v>
      </c>
      <c r="F1380" s="1">
        <v>19766730</v>
      </c>
      <c r="G1380" s="16">
        <v>59252.65164677117</v>
      </c>
      <c r="H1380">
        <v>194.59</v>
      </c>
      <c r="I1380" s="1">
        <v>727.7</v>
      </c>
      <c r="J1380" s="16">
        <v>180898.60249372874</v>
      </c>
      <c r="K1380" s="5">
        <v>0.24918208588954335</v>
      </c>
      <c r="L1380" s="10">
        <v>737925.255</v>
      </c>
    </row>
    <row r="1381" spans="1:12" x14ac:dyDescent="0.25">
      <c r="A1381">
        <v>1380</v>
      </c>
      <c r="B1381" s="3">
        <v>0.13950245352365517</v>
      </c>
      <c r="C1381" s="3">
        <v>2.6633021027553369E-2</v>
      </c>
      <c r="D1381" s="1">
        <v>47276.576561880502</v>
      </c>
      <c r="E1381" s="1">
        <v>1194949</v>
      </c>
      <c r="F1381" s="1">
        <v>9494089</v>
      </c>
      <c r="G1381" s="16">
        <v>25258.766357784316</v>
      </c>
      <c r="H1381">
        <v>93.65</v>
      </c>
      <c r="I1381" s="1">
        <v>265.95</v>
      </c>
      <c r="J1381" s="16">
        <v>72535.342919664821</v>
      </c>
      <c r="K1381" s="5">
        <v>4.3867019049620287E-2</v>
      </c>
      <c r="L1381" s="10">
        <v>131443.84450000001</v>
      </c>
    </row>
    <row r="1382" spans="1:12" x14ac:dyDescent="0.25">
      <c r="A1382">
        <v>1381</v>
      </c>
      <c r="B1382" s="3">
        <v>0.18245186118710738</v>
      </c>
      <c r="C1382" s="3">
        <v>6.1310793498768223E-2</v>
      </c>
      <c r="D1382" s="1">
        <v>114362.9526199987</v>
      </c>
      <c r="E1382" s="1">
        <v>4791101</v>
      </c>
      <c r="F1382" s="1">
        <v>26203102</v>
      </c>
      <c r="G1382" s="16">
        <v>34581.947952511357</v>
      </c>
      <c r="H1382">
        <v>213.38</v>
      </c>
      <c r="I1382" s="1">
        <v>664.93000000000006</v>
      </c>
      <c r="J1382" s="16">
        <v>148944.90057251006</v>
      </c>
      <c r="K1382" s="5">
        <v>0.19561907331240078</v>
      </c>
      <c r="L1382" s="10">
        <v>347784.19530000002</v>
      </c>
    </row>
    <row r="1383" spans="1:12" x14ac:dyDescent="0.25">
      <c r="A1383">
        <v>1382</v>
      </c>
      <c r="B1383" s="3">
        <v>0.15111156183843413</v>
      </c>
      <c r="C1383" s="3">
        <v>3.0847341662658855E-2</v>
      </c>
      <c r="D1383" s="1">
        <v>205426.80133314629</v>
      </c>
      <c r="E1383" s="1">
        <v>7403843</v>
      </c>
      <c r="F1383" s="1">
        <v>32304984</v>
      </c>
      <c r="G1383" s="16">
        <v>51361.356553681093</v>
      </c>
      <c r="H1383">
        <v>243.14</v>
      </c>
      <c r="I1383" s="1">
        <v>621.6</v>
      </c>
      <c r="J1383" s="16">
        <v>256788.15788682736</v>
      </c>
      <c r="K1383" s="5">
        <v>0.12597004208492607</v>
      </c>
      <c r="L1383" s="10">
        <v>875427.63320000004</v>
      </c>
    </row>
    <row r="1384" spans="1:12" x14ac:dyDescent="0.25">
      <c r="A1384">
        <v>1383</v>
      </c>
      <c r="B1384" s="3">
        <v>0.13541293548640435</v>
      </c>
      <c r="C1384" s="3">
        <v>4.5545389764210978E-2</v>
      </c>
      <c r="D1384" s="1">
        <v>130172.22700253918</v>
      </c>
      <c r="E1384" s="1">
        <v>4359995</v>
      </c>
      <c r="F1384" s="1">
        <v>22995672</v>
      </c>
      <c r="G1384" s="16">
        <v>43844.340455655823</v>
      </c>
      <c r="H1384">
        <v>182.93</v>
      </c>
      <c r="I1384" s="1">
        <v>629.02</v>
      </c>
      <c r="J1384" s="16">
        <v>174016.567458195</v>
      </c>
      <c r="K1384" s="5">
        <v>3.983614077198222E-2</v>
      </c>
      <c r="L1384" s="10">
        <v>146334.47659999999</v>
      </c>
    </row>
    <row r="1385" spans="1:12" x14ac:dyDescent="0.25">
      <c r="A1385">
        <v>1384</v>
      </c>
      <c r="B1385" s="3">
        <v>0.15028953226713959</v>
      </c>
      <c r="C1385" s="3">
        <v>7.9036678791131035E-2</v>
      </c>
      <c r="D1385" s="1">
        <v>339285.3893918512</v>
      </c>
      <c r="E1385" s="1">
        <v>14335505</v>
      </c>
      <c r="F1385" s="1">
        <v>48523829</v>
      </c>
      <c r="G1385" s="16">
        <v>11287.289044984762</v>
      </c>
      <c r="H1385">
        <v>45.09</v>
      </c>
      <c r="I1385" s="1">
        <v>226.07000000000002</v>
      </c>
      <c r="J1385" s="16">
        <v>350572.67843683599</v>
      </c>
      <c r="K1385" s="5">
        <v>-2.4391224729260863E-2</v>
      </c>
      <c r="L1385" s="10">
        <v>-77798.467199999999</v>
      </c>
    </row>
    <row r="1386" spans="1:12" x14ac:dyDescent="0.25">
      <c r="A1386">
        <v>1385</v>
      </c>
      <c r="B1386" s="3">
        <v>0.20539225511852316</v>
      </c>
      <c r="C1386" s="3">
        <v>3.3314430400487885E-2</v>
      </c>
      <c r="D1386" s="1">
        <v>94833.029399474268</v>
      </c>
      <c r="E1386" s="1">
        <v>3537559</v>
      </c>
      <c r="F1386" s="1">
        <v>14365721</v>
      </c>
      <c r="G1386" s="16">
        <v>7869.9109081022461</v>
      </c>
      <c r="H1386">
        <v>47.14</v>
      </c>
      <c r="I1386" s="1">
        <v>204.75</v>
      </c>
      <c r="J1386" s="16">
        <v>102702.94030757651</v>
      </c>
      <c r="K1386" s="5">
        <v>0.13889860564437581</v>
      </c>
      <c r="L1386" s="10">
        <v>348158.42389999999</v>
      </c>
    </row>
    <row r="1387" spans="1:12" x14ac:dyDescent="0.25">
      <c r="A1387">
        <v>1386</v>
      </c>
      <c r="B1387" s="3">
        <v>0.174305458618781</v>
      </c>
      <c r="C1387" s="3">
        <v>6.89867372369216E-2</v>
      </c>
      <c r="D1387" s="1">
        <v>46022.765484835625</v>
      </c>
      <c r="E1387" s="1">
        <v>1530090</v>
      </c>
      <c r="F1387" s="1">
        <v>12292312</v>
      </c>
      <c r="G1387" s="16">
        <v>13874.078807329633</v>
      </c>
      <c r="H1387">
        <v>65.78</v>
      </c>
      <c r="I1387" s="1">
        <v>239.81000000000003</v>
      </c>
      <c r="J1387" s="16">
        <v>59896.84429216526</v>
      </c>
      <c r="K1387" s="5">
        <v>0.20537477361312456</v>
      </c>
      <c r="L1387" s="10">
        <v>139879.11350000001</v>
      </c>
    </row>
    <row r="1388" spans="1:12" x14ac:dyDescent="0.25">
      <c r="A1388">
        <v>1387</v>
      </c>
      <c r="B1388" s="3">
        <v>0.23561777686169305</v>
      </c>
      <c r="C1388" s="3">
        <v>3.0067716475005897E-2</v>
      </c>
      <c r="D1388" s="1">
        <v>62187.788697447337</v>
      </c>
      <c r="E1388" s="1">
        <v>2606007</v>
      </c>
      <c r="F1388" s="1">
        <v>15463296</v>
      </c>
      <c r="G1388" s="16">
        <v>16729.404310054353</v>
      </c>
      <c r="H1388">
        <v>165.21</v>
      </c>
      <c r="I1388" s="1">
        <v>450.6</v>
      </c>
      <c r="J1388" s="16">
        <v>78917.193007501686</v>
      </c>
      <c r="K1388" s="5">
        <v>9.3137305306456572E-2</v>
      </c>
      <c r="L1388" s="10">
        <v>208994.59909999999</v>
      </c>
    </row>
    <row r="1389" spans="1:12" x14ac:dyDescent="0.25">
      <c r="A1389">
        <v>1388</v>
      </c>
      <c r="B1389" s="3">
        <v>0.23641363427517192</v>
      </c>
      <c r="C1389" s="3">
        <v>5.3211285321911217E-2</v>
      </c>
      <c r="D1389" s="1">
        <v>116578.19952262312</v>
      </c>
      <c r="E1389" s="1">
        <v>6417818</v>
      </c>
      <c r="F1389" s="1">
        <v>34645435</v>
      </c>
      <c r="G1389" s="16">
        <v>18696.617224991274</v>
      </c>
      <c r="H1389">
        <v>186.05</v>
      </c>
      <c r="I1389" s="1">
        <v>524.04999999999995</v>
      </c>
      <c r="J1389" s="16">
        <v>135274.81674761439</v>
      </c>
      <c r="K1389" s="5">
        <v>0.10785648763869878</v>
      </c>
      <c r="L1389" s="10">
        <v>222036.92490000001</v>
      </c>
    </row>
    <row r="1390" spans="1:12" x14ac:dyDescent="0.25">
      <c r="A1390">
        <v>1389</v>
      </c>
      <c r="B1390" s="3">
        <v>0.22002124495717923</v>
      </c>
      <c r="C1390" s="3">
        <v>7.5635164897553217E-2</v>
      </c>
      <c r="D1390" s="1">
        <v>47066.182351225587</v>
      </c>
      <c r="E1390" s="1">
        <v>1856369</v>
      </c>
      <c r="F1390" s="1">
        <v>10834866</v>
      </c>
      <c r="G1390" s="16">
        <v>17474.811875100018</v>
      </c>
      <c r="H1390">
        <v>149.74</v>
      </c>
      <c r="I1390" s="1">
        <v>429.46000000000004</v>
      </c>
      <c r="J1390" s="16">
        <v>64540.994226325609</v>
      </c>
      <c r="K1390" s="5">
        <v>1.3834059774341899E-2</v>
      </c>
      <c r="L1390" s="10">
        <v>26371.822</v>
      </c>
    </row>
    <row r="1391" spans="1:12" x14ac:dyDescent="0.25">
      <c r="A1391">
        <v>1390</v>
      </c>
      <c r="B1391" s="3">
        <v>0.15738616145918358</v>
      </c>
      <c r="C1391" s="3">
        <v>4.9753095413469256E-2</v>
      </c>
      <c r="D1391" s="1">
        <v>106178.24898683699</v>
      </c>
      <c r="E1391" s="1">
        <v>3942068</v>
      </c>
      <c r="F1391" s="1">
        <v>23436778</v>
      </c>
      <c r="G1391" s="16">
        <v>28005.223707714482</v>
      </c>
      <c r="H1391">
        <v>139.59</v>
      </c>
      <c r="I1391" s="1">
        <v>417.83000000000004</v>
      </c>
      <c r="J1391" s="16">
        <v>134183.47269455146</v>
      </c>
      <c r="K1391" s="5">
        <v>2.4200660975970355E-2</v>
      </c>
      <c r="L1391" s="10">
        <v>85958.849100000007</v>
      </c>
    </row>
    <row r="1392" spans="1:12" x14ac:dyDescent="0.25">
      <c r="A1392">
        <v>1391</v>
      </c>
      <c r="B1392" s="3">
        <v>0.21369649389110926</v>
      </c>
      <c r="C1392" s="3">
        <v>2.9332893561351582E-2</v>
      </c>
      <c r="D1392" s="1">
        <v>130225.50351111486</v>
      </c>
      <c r="E1392" s="1">
        <v>6375846</v>
      </c>
      <c r="F1392" s="1">
        <v>29046551</v>
      </c>
      <c r="G1392" s="16">
        <v>24602.814422000534</v>
      </c>
      <c r="H1392">
        <v>199.64</v>
      </c>
      <c r="I1392" s="1">
        <v>573.54</v>
      </c>
      <c r="J1392" s="16">
        <v>154828.31793311541</v>
      </c>
      <c r="K1392" s="5">
        <v>0.27498325061621193</v>
      </c>
      <c r="L1392" s="10">
        <v>1227982.5532</v>
      </c>
    </row>
    <row r="1393" spans="1:12" x14ac:dyDescent="0.25">
      <c r="A1393">
        <v>1392</v>
      </c>
      <c r="B1393" s="3">
        <v>0.10849819100198188</v>
      </c>
      <c r="C1393" s="3">
        <v>5.8494884253004739E-2</v>
      </c>
      <c r="D1393" s="1">
        <v>468233.11340315721</v>
      </c>
      <c r="E1393" s="1">
        <v>15561597</v>
      </c>
      <c r="F1393" s="1">
        <v>46095644</v>
      </c>
      <c r="G1393" s="16">
        <v>43596.438788404012</v>
      </c>
      <c r="H1393">
        <v>146.56</v>
      </c>
      <c r="I1393" s="1">
        <v>600.79</v>
      </c>
      <c r="J1393" s="16">
        <v>511829.5521915612</v>
      </c>
      <c r="K1393" s="5">
        <v>0.13569191779118309</v>
      </c>
      <c r="L1393" s="10">
        <v>823166.07929999998</v>
      </c>
    </row>
    <row r="1394" spans="1:12" x14ac:dyDescent="0.25">
      <c r="A1394">
        <v>1393</v>
      </c>
      <c r="B1394" s="3">
        <v>0.22586008138492575</v>
      </c>
      <c r="C1394" s="3">
        <v>5.6895798364325179E-2</v>
      </c>
      <c r="D1394" s="1">
        <v>99001.103925193456</v>
      </c>
      <c r="E1394" s="1">
        <v>3993788</v>
      </c>
      <c r="F1394" s="1">
        <v>20637018</v>
      </c>
      <c r="G1394" s="16">
        <v>25801.547592573712</v>
      </c>
      <c r="H1394">
        <v>301.14</v>
      </c>
      <c r="I1394" s="1">
        <v>772.84999999999991</v>
      </c>
      <c r="J1394" s="16">
        <v>124802.65151776717</v>
      </c>
      <c r="K1394" s="5">
        <v>0.25409969203651023</v>
      </c>
      <c r="L1394" s="10">
        <v>434522.57419999997</v>
      </c>
    </row>
    <row r="1395" spans="1:12" x14ac:dyDescent="0.25">
      <c r="A1395">
        <v>1394</v>
      </c>
      <c r="B1395" s="3">
        <v>0.17219644832843706</v>
      </c>
      <c r="C1395" s="3">
        <v>4.4525246635114604E-2</v>
      </c>
      <c r="D1395" s="1">
        <v>143412.51212610895</v>
      </c>
      <c r="E1395" s="1">
        <v>4731603</v>
      </c>
      <c r="F1395" s="1">
        <v>20510249</v>
      </c>
      <c r="G1395" s="16">
        <v>50209.576162528807</v>
      </c>
      <c r="H1395">
        <v>342.42</v>
      </c>
      <c r="I1395" s="1">
        <v>857.11000000000013</v>
      </c>
      <c r="J1395" s="16">
        <v>193622.08828863775</v>
      </c>
      <c r="K1395" s="5">
        <v>9.1210898070762547E-2</v>
      </c>
      <c r="L1395" s="10">
        <v>297430.33649999998</v>
      </c>
    </row>
    <row r="1396" spans="1:12" x14ac:dyDescent="0.25">
      <c r="A1396">
        <v>1395</v>
      </c>
      <c r="B1396" s="3">
        <v>0.18983631834721665</v>
      </c>
      <c r="C1396" s="3">
        <v>5.7791095182144245E-2</v>
      </c>
      <c r="D1396" s="1">
        <v>104043.18813089245</v>
      </c>
      <c r="E1396" s="1">
        <v>3661840</v>
      </c>
      <c r="F1396" s="1">
        <v>13904945</v>
      </c>
      <c r="G1396" s="16">
        <v>34956.375515402062</v>
      </c>
      <c r="H1396">
        <v>229.6</v>
      </c>
      <c r="I1396" s="1">
        <v>640.48</v>
      </c>
      <c r="J1396" s="16">
        <v>138999.56364629453</v>
      </c>
      <c r="K1396" s="5">
        <v>0.18475198514150676</v>
      </c>
      <c r="L1396" s="10">
        <v>316204.0834</v>
      </c>
    </row>
    <row r="1397" spans="1:12" x14ac:dyDescent="0.25">
      <c r="A1397">
        <v>1396</v>
      </c>
      <c r="B1397" s="3">
        <v>0.17513212084951871</v>
      </c>
      <c r="C1397" s="3">
        <v>7.422808194896971E-2</v>
      </c>
      <c r="D1397" s="1">
        <v>101147.086349045</v>
      </c>
      <c r="E1397" s="1">
        <v>4089014</v>
      </c>
      <c r="F1397" s="1">
        <v>24333167</v>
      </c>
      <c r="G1397" s="16">
        <v>51643.465499232174</v>
      </c>
      <c r="H1397">
        <v>362.64</v>
      </c>
      <c r="I1397" s="1">
        <v>954.03</v>
      </c>
      <c r="J1397" s="16">
        <v>152790.55184827716</v>
      </c>
      <c r="K1397" s="5">
        <v>0.30790483505725003</v>
      </c>
      <c r="L1397" s="10">
        <v>451842.28860000003</v>
      </c>
    </row>
    <row r="1398" spans="1:12" x14ac:dyDescent="0.25">
      <c r="A1398">
        <v>1397</v>
      </c>
      <c r="B1398" s="3">
        <v>0.10704176575352613</v>
      </c>
      <c r="C1398" s="3">
        <v>2.8264978653401027E-2</v>
      </c>
      <c r="D1398" s="1">
        <v>242501.58624150176</v>
      </c>
      <c r="E1398" s="1">
        <v>7138270</v>
      </c>
      <c r="F1398" s="1">
        <v>23303560</v>
      </c>
      <c r="G1398" s="16">
        <v>52885.733343649488</v>
      </c>
      <c r="H1398">
        <v>175.69</v>
      </c>
      <c r="I1398" s="1">
        <v>657.76</v>
      </c>
      <c r="J1398" s="16">
        <v>295387.31958515127</v>
      </c>
      <c r="K1398" s="5">
        <v>4.1833717854991556E-2</v>
      </c>
      <c r="L1398" s="10">
        <v>402021.21669999999</v>
      </c>
    </row>
    <row r="1399" spans="1:12" x14ac:dyDescent="0.25">
      <c r="A1399">
        <v>1398</v>
      </c>
      <c r="B1399" s="3">
        <v>0.18782535597472544</v>
      </c>
      <c r="C1399" s="3">
        <v>3.8471542305414122E-2</v>
      </c>
      <c r="D1399" s="1">
        <v>59187.226024259391</v>
      </c>
      <c r="E1399" s="1">
        <v>2067677</v>
      </c>
      <c r="F1399" s="1">
        <v>14695872</v>
      </c>
      <c r="G1399" s="16">
        <v>33771.033158928643</v>
      </c>
      <c r="H1399">
        <v>217.98</v>
      </c>
      <c r="I1399" s="1">
        <v>644.29</v>
      </c>
      <c r="J1399" s="16">
        <v>92958.259183188027</v>
      </c>
      <c r="K1399" s="5">
        <v>5.7156839354682666E-2</v>
      </c>
      <c r="L1399" s="10">
        <v>120145.7289</v>
      </c>
    </row>
    <row r="1400" spans="1:12" x14ac:dyDescent="0.25">
      <c r="A1400">
        <v>1399</v>
      </c>
      <c r="B1400" s="3">
        <v>0.11575797271347819</v>
      </c>
      <c r="C1400" s="3">
        <v>3.0828486256708691E-2</v>
      </c>
      <c r="D1400" s="1">
        <v>175772.94581727267</v>
      </c>
      <c r="E1400" s="1">
        <v>5381091</v>
      </c>
      <c r="F1400" s="1">
        <v>25248360</v>
      </c>
      <c r="G1400" s="16">
        <v>26925.332894656804</v>
      </c>
      <c r="H1400">
        <v>84.71</v>
      </c>
      <c r="I1400" s="1">
        <v>373.66999999999996</v>
      </c>
      <c r="J1400" s="16">
        <v>202698.27871192948</v>
      </c>
      <c r="K1400" s="5">
        <v>-7.3126630211083586E-3</v>
      </c>
      <c r="L1400" s="10">
        <v>19835.269100000001</v>
      </c>
    </row>
    <row r="1401" spans="1:12" x14ac:dyDescent="0.25">
      <c r="A1401">
        <v>1400</v>
      </c>
      <c r="B1401" s="3">
        <v>0.22046733213443523</v>
      </c>
      <c r="C1401" s="3">
        <v>2.9321336745325492E-2</v>
      </c>
      <c r="D1401" s="1">
        <v>42099.370907420009</v>
      </c>
      <c r="E1401" s="1">
        <v>1663320</v>
      </c>
      <c r="F1401" s="1">
        <v>13452957</v>
      </c>
      <c r="G1401" s="16">
        <v>11326.54354159524</v>
      </c>
      <c r="H1401">
        <v>59.19</v>
      </c>
      <c r="I1401" s="1">
        <v>188.41</v>
      </c>
      <c r="J1401" s="16">
        <v>53425.914449015247</v>
      </c>
      <c r="K1401" s="5">
        <v>0.19456601100301921</v>
      </c>
      <c r="L1401" s="10">
        <v>341877.40850000002</v>
      </c>
    </row>
    <row r="1402" spans="1:12" x14ac:dyDescent="0.25">
      <c r="A1402">
        <v>1401</v>
      </c>
      <c r="B1402" s="3">
        <v>0.11179210209369181</v>
      </c>
      <c r="C1402" s="3">
        <v>4.1384823153807759E-2</v>
      </c>
      <c r="D1402" s="1">
        <v>194203.46266902908</v>
      </c>
      <c r="E1402" s="1">
        <v>5839844</v>
      </c>
      <c r="F1402" s="1">
        <v>23144937</v>
      </c>
      <c r="G1402" s="16">
        <v>25187.468466622093</v>
      </c>
      <c r="H1402">
        <v>77.34</v>
      </c>
      <c r="I1402" s="1">
        <v>321.61</v>
      </c>
      <c r="J1402" s="16">
        <v>219390.93113565116</v>
      </c>
      <c r="K1402" s="5">
        <v>0.26139305564767645</v>
      </c>
      <c r="L1402" s="10">
        <v>1069071.2557999999</v>
      </c>
    </row>
    <row r="1403" spans="1:12" x14ac:dyDescent="0.25">
      <c r="A1403">
        <v>1402</v>
      </c>
      <c r="B1403" s="3">
        <v>0.187768791398084</v>
      </c>
      <c r="C1403" s="3">
        <v>6.3288330327473705E-2</v>
      </c>
      <c r="D1403" s="1">
        <v>64464.578448647182</v>
      </c>
      <c r="E1403" s="1">
        <v>2251566</v>
      </c>
      <c r="F1403" s="1">
        <v>16630166</v>
      </c>
      <c r="G1403" s="16">
        <v>18208.166476485178</v>
      </c>
      <c r="H1403">
        <v>117.37</v>
      </c>
      <c r="I1403" s="1">
        <v>492.07</v>
      </c>
      <c r="J1403" s="16">
        <v>82672.744925132356</v>
      </c>
      <c r="K1403" s="5">
        <v>3.5916686901718217E-2</v>
      </c>
      <c r="L1403" s="10">
        <v>36146.566099999996</v>
      </c>
    </row>
    <row r="1404" spans="1:12" x14ac:dyDescent="0.25">
      <c r="A1404">
        <v>1403</v>
      </c>
      <c r="B1404" s="3">
        <v>0.10505738149473325</v>
      </c>
      <c r="C1404" s="3">
        <v>4.8211554207224866E-2</v>
      </c>
      <c r="D1404" s="1">
        <v>223083.79832632947</v>
      </c>
      <c r="E1404" s="1">
        <v>6508634</v>
      </c>
      <c r="F1404" s="1">
        <v>28111517</v>
      </c>
      <c r="G1404" s="16">
        <v>19904.743830088752</v>
      </c>
      <c r="H1404">
        <v>52.12</v>
      </c>
      <c r="I1404" s="1">
        <v>177.55</v>
      </c>
      <c r="J1404" s="16">
        <v>242988.54215641823</v>
      </c>
      <c r="K1404" s="5">
        <v>0.26951954461536398</v>
      </c>
      <c r="L1404" s="10">
        <v>1016658.9756</v>
      </c>
    </row>
    <row r="1405" spans="1:12" x14ac:dyDescent="0.25">
      <c r="A1405">
        <v>1404</v>
      </c>
      <c r="B1405" s="3">
        <v>0.1771299382108367</v>
      </c>
      <c r="C1405" s="3">
        <v>2.3760536596766059E-2</v>
      </c>
      <c r="D1405" s="1">
        <v>432729.38515891635</v>
      </c>
      <c r="E1405" s="1">
        <v>26087460</v>
      </c>
      <c r="F1405" s="1">
        <v>91062988</v>
      </c>
      <c r="G1405" s="16">
        <v>22217.570823625181</v>
      </c>
      <c r="H1405">
        <v>130.62</v>
      </c>
      <c r="I1405" s="1">
        <v>384.61</v>
      </c>
      <c r="J1405" s="16">
        <v>454946.95598254155</v>
      </c>
      <c r="K1405" s="5">
        <v>3.6892388673899587E-2</v>
      </c>
      <c r="L1405" s="10">
        <v>606025.34499999997</v>
      </c>
    </row>
    <row r="1406" spans="1:12" x14ac:dyDescent="0.25">
      <c r="A1406">
        <v>1405</v>
      </c>
      <c r="B1406" s="3">
        <v>0.15872356876242374</v>
      </c>
      <c r="C1406" s="3">
        <v>7.8115490361810397E-2</v>
      </c>
      <c r="D1406" s="1">
        <v>144465.86494676693</v>
      </c>
      <c r="E1406" s="1">
        <v>5397757</v>
      </c>
      <c r="F1406" s="1">
        <v>23603372</v>
      </c>
      <c r="G1406" s="16">
        <v>15385.171882995714</v>
      </c>
      <c r="H1406">
        <v>65.34</v>
      </c>
      <c r="I1406" s="1">
        <v>218.87</v>
      </c>
      <c r="J1406" s="16">
        <v>159851.03682976266</v>
      </c>
      <c r="K1406" s="5">
        <v>0.14880048809653354</v>
      </c>
      <c r="L1406" s="10">
        <v>193856.70139999999</v>
      </c>
    </row>
    <row r="1407" spans="1:12" x14ac:dyDescent="0.25">
      <c r="A1407">
        <v>1406</v>
      </c>
      <c r="B1407" s="3">
        <v>0.10093881462752871</v>
      </c>
      <c r="C1407" s="3">
        <v>4.1742993687112262E-2</v>
      </c>
      <c r="D1407" s="1">
        <v>120366.96106437923</v>
      </c>
      <c r="E1407" s="1">
        <v>3099863</v>
      </c>
      <c r="F1407" s="1">
        <v>15415616</v>
      </c>
      <c r="G1407" s="16">
        <v>103163.97633707795</v>
      </c>
      <c r="H1407">
        <v>363.51</v>
      </c>
      <c r="I1407" s="1">
        <v>939.69</v>
      </c>
      <c r="J1407" s="16">
        <v>223530.93740145717</v>
      </c>
      <c r="K1407" s="5">
        <v>7.3518809785427436E-2</v>
      </c>
      <c r="L1407" s="10">
        <v>323227.12190000003</v>
      </c>
    </row>
    <row r="1408" spans="1:12" x14ac:dyDescent="0.25">
      <c r="A1408">
        <v>1407</v>
      </c>
      <c r="B1408" s="3">
        <v>0.23976591845983911</v>
      </c>
      <c r="C1408" s="3">
        <v>6.5942900599928522E-2</v>
      </c>
      <c r="D1408" s="1">
        <v>102255.9795796994</v>
      </c>
      <c r="E1408" s="1">
        <v>4355611</v>
      </c>
      <c r="F1408" s="1">
        <v>20371552</v>
      </c>
      <c r="G1408" s="16">
        <v>19633.729567998031</v>
      </c>
      <c r="H1408">
        <v>201.28</v>
      </c>
      <c r="I1408" s="1">
        <v>576.4</v>
      </c>
      <c r="J1408" s="16">
        <v>121889.70914769743</v>
      </c>
      <c r="K1408" s="5">
        <v>3.8424871760646628E-2</v>
      </c>
      <c r="L1408" s="10">
        <v>89510.312999999995</v>
      </c>
    </row>
    <row r="1409" spans="1:12" x14ac:dyDescent="0.25">
      <c r="A1409">
        <v>1408</v>
      </c>
      <c r="B1409" s="3">
        <v>0.15644239935694662</v>
      </c>
      <c r="C1409" s="3">
        <v>5.8240018896157916E-2</v>
      </c>
      <c r="D1409" s="1">
        <v>176609.46194740248</v>
      </c>
      <c r="E1409" s="1">
        <v>6527670</v>
      </c>
      <c r="F1409" s="1">
        <v>24619614</v>
      </c>
      <c r="G1409" s="16">
        <v>21029.664552898023</v>
      </c>
      <c r="H1409">
        <v>104.02</v>
      </c>
      <c r="I1409" s="1">
        <v>406.21999999999997</v>
      </c>
      <c r="J1409" s="16">
        <v>197639.12650030051</v>
      </c>
      <c r="K1409" s="5">
        <v>7.7973802614274848E-2</v>
      </c>
      <c r="L1409" s="10">
        <v>181277.8915</v>
      </c>
    </row>
    <row r="1410" spans="1:12" x14ac:dyDescent="0.25">
      <c r="A1410">
        <v>1409</v>
      </c>
      <c r="B1410" s="3">
        <v>0.11294468211911325</v>
      </c>
      <c r="C1410" s="3">
        <v>4.077154469468447E-2</v>
      </c>
      <c r="D1410" s="1">
        <v>222426.52245389923</v>
      </c>
      <c r="E1410" s="1">
        <v>6723350</v>
      </c>
      <c r="F1410" s="1">
        <v>27114924</v>
      </c>
      <c r="G1410" s="16">
        <v>57817.882898385047</v>
      </c>
      <c r="H1410">
        <v>200.99</v>
      </c>
      <c r="I1410" s="1">
        <v>601.86</v>
      </c>
      <c r="J1410" s="16">
        <v>280244.40535228426</v>
      </c>
      <c r="K1410" s="5">
        <v>0.2292038055530479</v>
      </c>
      <c r="L1410" s="10">
        <v>1260701.6036</v>
      </c>
    </row>
    <row r="1411" spans="1:12" x14ac:dyDescent="0.25">
      <c r="A1411">
        <v>1410</v>
      </c>
      <c r="B1411" s="3">
        <v>0.10338021490713445</v>
      </c>
      <c r="C1411" s="3">
        <v>4.3814691380901098E-2</v>
      </c>
      <c r="D1411" s="1">
        <v>238783.61131828395</v>
      </c>
      <c r="E1411" s="1">
        <v>6914717</v>
      </c>
      <c r="F1411" s="1">
        <v>37594228</v>
      </c>
      <c r="G1411" s="16">
        <v>30859.191041463084</v>
      </c>
      <c r="H1411">
        <v>89.46</v>
      </c>
      <c r="I1411" s="1">
        <v>318.83</v>
      </c>
      <c r="J1411" s="16">
        <v>269642.802359747</v>
      </c>
      <c r="K1411" s="5">
        <v>0.19010251208708578</v>
      </c>
      <c r="L1411" s="10">
        <v>926843.60439999995</v>
      </c>
    </row>
    <row r="1412" spans="1:12" x14ac:dyDescent="0.25">
      <c r="A1412">
        <v>1411</v>
      </c>
      <c r="B1412" s="3">
        <v>0.13411620399493887</v>
      </c>
      <c r="C1412" s="3">
        <v>4.4578423496681334E-2</v>
      </c>
      <c r="D1412" s="1">
        <v>68464.959160161496</v>
      </c>
      <c r="E1412" s="1">
        <v>1973753</v>
      </c>
      <c r="F1412" s="1">
        <v>16336698</v>
      </c>
      <c r="G1412" s="16">
        <v>22324.40856449171</v>
      </c>
      <c r="H1412">
        <v>92.12</v>
      </c>
      <c r="I1412" s="1">
        <v>394.83000000000004</v>
      </c>
      <c r="J1412" s="16">
        <v>90789.367724653202</v>
      </c>
      <c r="K1412" s="5">
        <v>0.21213022216113547</v>
      </c>
      <c r="L1412" s="10">
        <v>366514.46950000001</v>
      </c>
    </row>
    <row r="1413" spans="1:12" x14ac:dyDescent="0.25">
      <c r="A1413">
        <v>1412</v>
      </c>
      <c r="B1413" s="3">
        <v>0.1857202031838549</v>
      </c>
      <c r="C1413" s="3">
        <v>7.6677875629246564E-2</v>
      </c>
      <c r="D1413" s="1">
        <v>296759.22662824031</v>
      </c>
      <c r="E1413" s="1">
        <v>15514545</v>
      </c>
      <c r="F1413" s="1">
        <v>60897384</v>
      </c>
      <c r="G1413" s="16">
        <v>15137.088380656709</v>
      </c>
      <c r="H1413">
        <v>77.98</v>
      </c>
      <c r="I1413" s="1">
        <v>239.57</v>
      </c>
      <c r="J1413" s="16">
        <v>311896.31500889704</v>
      </c>
      <c r="K1413" s="5">
        <v>0.20934215240706275</v>
      </c>
      <c r="L1413" s="10">
        <v>582705.88679999998</v>
      </c>
    </row>
    <row r="1414" spans="1:12" x14ac:dyDescent="0.25">
      <c r="A1414">
        <v>1413</v>
      </c>
      <c r="B1414" s="3">
        <v>0.18356613600238847</v>
      </c>
      <c r="C1414" s="3">
        <v>5.4654097689451717E-2</v>
      </c>
      <c r="D1414" s="1">
        <v>112358.6948246846</v>
      </c>
      <c r="E1414" s="1">
        <v>4732885</v>
      </c>
      <c r="F1414" s="1">
        <v>31055428</v>
      </c>
      <c r="G1414" s="16">
        <v>9740.2924233315334</v>
      </c>
      <c r="H1414">
        <v>49.45</v>
      </c>
      <c r="I1414" s="1">
        <v>249.96999999999997</v>
      </c>
      <c r="J1414" s="16">
        <v>122098.98724801613</v>
      </c>
      <c r="K1414" s="5">
        <v>0.18492677769204974</v>
      </c>
      <c r="L1414" s="10">
        <v>321539.06329999998</v>
      </c>
    </row>
    <row r="1415" spans="1:12" x14ac:dyDescent="0.25">
      <c r="A1415">
        <v>1414</v>
      </c>
      <c r="B1415" s="3">
        <v>0.18885731325681426</v>
      </c>
      <c r="C1415" s="3">
        <v>3.2751589666969311E-2</v>
      </c>
      <c r="D1415" s="1">
        <v>267235.17198115884</v>
      </c>
      <c r="E1415" s="1">
        <v>11553334</v>
      </c>
      <c r="F1415" s="1">
        <v>38170913</v>
      </c>
      <c r="G1415" s="16">
        <v>43461.113302755664</v>
      </c>
      <c r="H1415">
        <v>349</v>
      </c>
      <c r="I1415" s="1">
        <v>966.57999999999993</v>
      </c>
      <c r="J1415" s="16">
        <v>310696.28528391453</v>
      </c>
      <c r="K1415" s="5">
        <v>0.17117773733442662</v>
      </c>
      <c r="L1415" s="10">
        <v>1336557.1666000001</v>
      </c>
    </row>
    <row r="1416" spans="1:12" x14ac:dyDescent="0.25">
      <c r="A1416">
        <v>1415</v>
      </c>
      <c r="B1416" s="3">
        <v>0.14814453457243693</v>
      </c>
      <c r="C1416" s="3">
        <v>7.3811672449972249E-2</v>
      </c>
      <c r="D1416" s="1">
        <v>368918.73578207899</v>
      </c>
      <c r="E1416" s="1">
        <v>13112019</v>
      </c>
      <c r="F1416" s="1">
        <v>42256915</v>
      </c>
      <c r="G1416" s="16">
        <v>13290.656942808258</v>
      </c>
      <c r="H1416">
        <v>52.32</v>
      </c>
      <c r="I1416" s="1">
        <v>220.42999999999998</v>
      </c>
      <c r="J1416" s="16">
        <v>382209.39272488724</v>
      </c>
      <c r="K1416" s="5">
        <v>0.1429377952557799</v>
      </c>
      <c r="L1416" s="10">
        <v>480056.66340000002</v>
      </c>
    </row>
    <row r="1417" spans="1:12" x14ac:dyDescent="0.25">
      <c r="A1417">
        <v>1416</v>
      </c>
      <c r="B1417" s="3">
        <v>0.10164137258887984</v>
      </c>
      <c r="C1417" s="3">
        <v>6.3632851145207822E-2</v>
      </c>
      <c r="D1417" s="1">
        <v>51855.785771848292</v>
      </c>
      <c r="E1417" s="1">
        <v>1202542</v>
      </c>
      <c r="F1417" s="1">
        <v>10329697</v>
      </c>
      <c r="G1417" s="16">
        <v>48227.282264980458</v>
      </c>
      <c r="H1417">
        <v>138.02000000000001</v>
      </c>
      <c r="I1417" s="1">
        <v>359.39</v>
      </c>
      <c r="J1417" s="16">
        <v>100083.06803682874</v>
      </c>
      <c r="K1417" s="5">
        <v>-7.6512183612122836E-2</v>
      </c>
      <c r="L1417" s="10">
        <v>-66471.108399999997</v>
      </c>
    </row>
    <row r="1418" spans="1:12" x14ac:dyDescent="0.25">
      <c r="A1418">
        <v>1417</v>
      </c>
      <c r="B1418" s="3">
        <v>0.17477620944584751</v>
      </c>
      <c r="C1418" s="3">
        <v>6.4383600199657748E-2</v>
      </c>
      <c r="D1418" s="1">
        <v>156599.80408618707</v>
      </c>
      <c r="E1418" s="1">
        <v>6319852</v>
      </c>
      <c r="F1418" s="1">
        <v>24065720</v>
      </c>
      <c r="G1418" s="16">
        <v>28322.039546176427</v>
      </c>
      <c r="H1418">
        <v>163.66999999999999</v>
      </c>
      <c r="I1418" s="1">
        <v>561.09</v>
      </c>
      <c r="J1418" s="16">
        <v>184921.84363236348</v>
      </c>
      <c r="K1418" s="5">
        <v>0.23914293309968465</v>
      </c>
      <c r="L1418" s="10">
        <v>482010.92469999997</v>
      </c>
    </row>
    <row r="1419" spans="1:12" x14ac:dyDescent="0.25">
      <c r="A1419">
        <v>1418</v>
      </c>
      <c r="B1419" s="3">
        <v>0.10841603721777082</v>
      </c>
      <c r="C1419" s="3">
        <v>6.3099773986510205E-2</v>
      </c>
      <c r="D1419" s="1">
        <v>428914.3717907095</v>
      </c>
      <c r="E1419" s="1">
        <v>14248271</v>
      </c>
      <c r="F1419" s="1">
        <v>53213955</v>
      </c>
      <c r="G1419" s="16">
        <v>33458.042497438117</v>
      </c>
      <c r="H1419">
        <v>100.26</v>
      </c>
      <c r="I1419" s="1">
        <v>331.58000000000004</v>
      </c>
      <c r="J1419" s="16">
        <v>462372.41428814759</v>
      </c>
      <c r="K1419" s="5">
        <v>0.18510237852575689</v>
      </c>
      <c r="L1419" s="10">
        <v>942431.39769999997</v>
      </c>
    </row>
    <row r="1420" spans="1:12" x14ac:dyDescent="0.25">
      <c r="A1420">
        <v>1419</v>
      </c>
      <c r="B1420" s="3">
        <v>0.11482194514564267</v>
      </c>
      <c r="C1420" s="3">
        <v>6.1653399092704675E-2</v>
      </c>
      <c r="D1420" s="1">
        <v>123154.18691860895</v>
      </c>
      <c r="E1420" s="1">
        <v>3323219</v>
      </c>
      <c r="F1420" s="1">
        <v>15720502</v>
      </c>
      <c r="G1420" s="16">
        <v>17139.09952438773</v>
      </c>
      <c r="H1420">
        <v>53.61</v>
      </c>
      <c r="I1420" s="1">
        <v>219.21999999999997</v>
      </c>
      <c r="J1420" s="16">
        <v>140293.28644299667</v>
      </c>
      <c r="K1420" s="5">
        <v>9.4582014951329882E-2</v>
      </c>
      <c r="L1420" s="10">
        <v>168181.6452</v>
      </c>
    </row>
    <row r="1421" spans="1:12" x14ac:dyDescent="0.25">
      <c r="A1421">
        <v>1420</v>
      </c>
      <c r="B1421" s="3">
        <v>0.21220757236696722</v>
      </c>
      <c r="C1421" s="3">
        <v>6.8558787476080116E-2</v>
      </c>
      <c r="D1421" s="1">
        <v>168004.7846294021</v>
      </c>
      <c r="E1421" s="1">
        <v>8163510</v>
      </c>
      <c r="F1421" s="1">
        <v>28265587</v>
      </c>
      <c r="G1421" s="16">
        <v>14876.97624753524</v>
      </c>
      <c r="H1421">
        <v>93.74</v>
      </c>
      <c r="I1421" s="1">
        <v>348.55</v>
      </c>
      <c r="J1421" s="16">
        <v>182881.76087693733</v>
      </c>
      <c r="K1421" s="5">
        <v>6.5811555504785305E-2</v>
      </c>
      <c r="L1421" s="10">
        <v>135699.99489999999</v>
      </c>
    </row>
    <row r="1422" spans="1:12" x14ac:dyDescent="0.25">
      <c r="A1422">
        <v>1421</v>
      </c>
      <c r="B1422" s="3">
        <v>0.24038485834985363</v>
      </c>
      <c r="C1422" s="3">
        <v>7.5196150712830909E-2</v>
      </c>
      <c r="D1422" s="1">
        <v>196701.59981856024</v>
      </c>
      <c r="E1422" s="1">
        <v>14556003</v>
      </c>
      <c r="F1422" s="1">
        <v>53832316</v>
      </c>
      <c r="G1422" s="16">
        <v>24097.763111603836</v>
      </c>
      <c r="H1422">
        <v>248.44</v>
      </c>
      <c r="I1422" s="1">
        <v>608.54999999999995</v>
      </c>
      <c r="J1422" s="16">
        <v>220799.36293016406</v>
      </c>
      <c r="K1422" s="5">
        <v>0.15586868868212597</v>
      </c>
      <c r="L1422" s="10">
        <v>282541.3383</v>
      </c>
    </row>
    <row r="1423" spans="1:12" x14ac:dyDescent="0.25">
      <c r="A1423">
        <v>1422</v>
      </c>
      <c r="B1423" s="3">
        <v>0.19612059415118205</v>
      </c>
      <c r="C1423" s="3">
        <v>4.8694716456482115E-2</v>
      </c>
      <c r="D1423" s="1">
        <v>166839.75817121801</v>
      </c>
      <c r="E1423" s="1">
        <v>7477202</v>
      </c>
      <c r="F1423" s="1">
        <v>29541633</v>
      </c>
      <c r="G1423" s="16">
        <v>16515.502348052305</v>
      </c>
      <c r="H1423">
        <v>92.17</v>
      </c>
      <c r="I1423" s="1">
        <v>366.03000000000003</v>
      </c>
      <c r="J1423" s="16">
        <v>183355.26051927032</v>
      </c>
      <c r="K1423" s="5">
        <v>0.27818327031764395</v>
      </c>
      <c r="L1423" s="10">
        <v>810520.56140000001</v>
      </c>
    </row>
    <row r="1424" spans="1:12" x14ac:dyDescent="0.25">
      <c r="A1424">
        <v>1423</v>
      </c>
      <c r="B1424" s="3">
        <v>0.11031188820314133</v>
      </c>
      <c r="C1424" s="3">
        <v>3.6354089693406949E-2</v>
      </c>
      <c r="D1424" s="1">
        <v>55732.527169461217</v>
      </c>
      <c r="E1424" s="1">
        <v>1317758</v>
      </c>
      <c r="F1424" s="1">
        <v>10085206</v>
      </c>
      <c r="G1424" s="16">
        <v>31720.220995219439</v>
      </c>
      <c r="H1424">
        <v>96.33</v>
      </c>
      <c r="I1424" s="1">
        <v>342.02</v>
      </c>
      <c r="J1424" s="16">
        <v>87452.748164680655</v>
      </c>
      <c r="K1424" s="5">
        <v>0.12032578396221208</v>
      </c>
      <c r="L1424" s="10">
        <v>269304.804</v>
      </c>
    </row>
    <row r="1425" spans="1:12" x14ac:dyDescent="0.25">
      <c r="A1425">
        <v>1424</v>
      </c>
      <c r="B1425" s="3">
        <v>0.12661729010112807</v>
      </c>
      <c r="C1425" s="3">
        <v>4.1676304397823091E-2</v>
      </c>
      <c r="D1425" s="1">
        <v>129631.68171342828</v>
      </c>
      <c r="E1425" s="1">
        <v>3641673</v>
      </c>
      <c r="F1425" s="1">
        <v>16558248</v>
      </c>
      <c r="G1425" s="16">
        <v>34356.747813367205</v>
      </c>
      <c r="H1425">
        <v>133.41999999999999</v>
      </c>
      <c r="I1425" s="1">
        <v>474.53999999999996</v>
      </c>
      <c r="J1425" s="16">
        <v>163988.42952679549</v>
      </c>
      <c r="K1425" s="5">
        <v>-3.6037418662392434E-2</v>
      </c>
      <c r="L1425" s="10">
        <v>-94446.043900000004</v>
      </c>
    </row>
    <row r="1426" spans="1:12" x14ac:dyDescent="0.25">
      <c r="A1426">
        <v>1425</v>
      </c>
      <c r="B1426" s="3">
        <v>0.10475913618664423</v>
      </c>
      <c r="C1426" s="3">
        <v>3.6921220751893864E-2</v>
      </c>
      <c r="D1426" s="1">
        <v>314281.08701585582</v>
      </c>
      <c r="E1426" s="1">
        <v>9157174</v>
      </c>
      <c r="F1426" s="1">
        <v>32127979</v>
      </c>
      <c r="G1426" s="16">
        <v>88227.183584281986</v>
      </c>
      <c r="H1426">
        <v>287.88</v>
      </c>
      <c r="I1426" s="1">
        <v>727.37</v>
      </c>
      <c r="J1426" s="16">
        <v>402508.27060013782</v>
      </c>
      <c r="K1426" s="5">
        <v>6.9711248497980396E-2</v>
      </c>
      <c r="L1426" s="10">
        <v>630444.8456</v>
      </c>
    </row>
    <row r="1427" spans="1:12" x14ac:dyDescent="0.25">
      <c r="A1427">
        <v>1426</v>
      </c>
      <c r="B1427" s="3">
        <v>0.17620226098624919</v>
      </c>
      <c r="C1427" s="3">
        <v>6.1562716737570036E-2</v>
      </c>
      <c r="D1427" s="1">
        <v>65661.81146575282</v>
      </c>
      <c r="E1427" s="1">
        <v>2198129</v>
      </c>
      <c r="F1427" s="1">
        <v>13258187</v>
      </c>
      <c r="G1427" s="16">
        <v>31165.310625515318</v>
      </c>
      <c r="H1427">
        <v>182.1</v>
      </c>
      <c r="I1427" s="1">
        <v>606.01</v>
      </c>
      <c r="J1427" s="16">
        <v>96827.122091268131</v>
      </c>
      <c r="K1427" s="5">
        <v>0.11120868565018771</v>
      </c>
      <c r="L1427" s="10">
        <v>152339.56520000001</v>
      </c>
    </row>
    <row r="1428" spans="1:12" x14ac:dyDescent="0.25">
      <c r="A1428">
        <v>1427</v>
      </c>
      <c r="B1428" s="3">
        <v>0.23478654193598059</v>
      </c>
      <c r="C1428" s="3">
        <v>7.0435423416493823E-2</v>
      </c>
      <c r="D1428" s="1">
        <v>110062.42142485546</v>
      </c>
      <c r="E1428" s="1">
        <v>7851066</v>
      </c>
      <c r="F1428" s="1">
        <v>51689385</v>
      </c>
      <c r="G1428" s="16">
        <v>11087.896967716064</v>
      </c>
      <c r="H1428">
        <v>83.1</v>
      </c>
      <c r="I1428" s="1">
        <v>298.65999999999997</v>
      </c>
      <c r="J1428" s="16">
        <v>121150.31839257153</v>
      </c>
      <c r="K1428" s="5">
        <v>0.16245625301094593</v>
      </c>
      <c r="L1428" s="10">
        <v>258058.03649999999</v>
      </c>
    </row>
    <row r="1429" spans="1:12" x14ac:dyDescent="0.25">
      <c r="A1429">
        <v>1428</v>
      </c>
      <c r="B1429" s="3">
        <v>0.17151810127760814</v>
      </c>
      <c r="C1429" s="3">
        <v>6.9605301602921082E-2</v>
      </c>
      <c r="D1429" s="1">
        <v>139130.76084862449</v>
      </c>
      <c r="E1429" s="1">
        <v>5527052</v>
      </c>
      <c r="F1429" s="1">
        <v>24302789</v>
      </c>
      <c r="G1429" s="16">
        <v>34044.793448952252</v>
      </c>
      <c r="H1429">
        <v>191.31</v>
      </c>
      <c r="I1429" s="1">
        <v>539.07999999999993</v>
      </c>
      <c r="J1429" s="16">
        <v>173175.55429757675</v>
      </c>
      <c r="K1429" s="5">
        <v>3.8363878519128355E-2</v>
      </c>
      <c r="L1429" s="10">
        <v>95269.990600000005</v>
      </c>
    </row>
    <row r="1430" spans="1:12" x14ac:dyDescent="0.25">
      <c r="A1430">
        <v>1429</v>
      </c>
      <c r="B1430" s="3">
        <v>0.22766886032043177</v>
      </c>
      <c r="C1430" s="3">
        <v>7.8940594410946099E-2</v>
      </c>
      <c r="D1430" s="1">
        <v>77070.406741147453</v>
      </c>
      <c r="E1430" s="1">
        <v>4053935</v>
      </c>
      <c r="F1430" s="1">
        <v>25710030</v>
      </c>
      <c r="G1430" s="16">
        <v>37589.926070501642</v>
      </c>
      <c r="H1430">
        <v>446.95</v>
      </c>
      <c r="I1430" s="1">
        <v>1206.7</v>
      </c>
      <c r="J1430" s="16">
        <v>114660.3328116491</v>
      </c>
      <c r="K1430" s="5">
        <v>-3.3097341239435196E-2</v>
      </c>
      <c r="L1430" s="10">
        <v>-10602.2858</v>
      </c>
    </row>
    <row r="1431" spans="1:12" x14ac:dyDescent="0.25">
      <c r="A1431">
        <v>1430</v>
      </c>
      <c r="B1431" s="3">
        <v>0.19261350198969712</v>
      </c>
      <c r="C1431" s="3">
        <v>5.4054461937860732E-2</v>
      </c>
      <c r="D1431" s="1">
        <v>67201.732840824494</v>
      </c>
      <c r="E1431" s="1">
        <v>2389673</v>
      </c>
      <c r="F1431" s="1">
        <v>12043618</v>
      </c>
      <c r="G1431" s="16">
        <v>7389.7636041945489</v>
      </c>
      <c r="H1431">
        <v>40.159999999999997</v>
      </c>
      <c r="I1431" s="1">
        <v>194.48999999999998</v>
      </c>
      <c r="J1431" s="16">
        <v>74591.496445019045</v>
      </c>
      <c r="K1431" s="5">
        <v>2.2053796479822835E-2</v>
      </c>
      <c r="L1431" s="10">
        <v>22961.9941</v>
      </c>
    </row>
    <row r="1432" spans="1:12" x14ac:dyDescent="0.25">
      <c r="A1432">
        <v>1431</v>
      </c>
      <c r="B1432" s="3">
        <v>0.16940641264098102</v>
      </c>
      <c r="C1432" s="3">
        <v>7.1975662285237746E-2</v>
      </c>
      <c r="D1432" s="1">
        <v>164198.32057261138</v>
      </c>
      <c r="E1432" s="1">
        <v>6456796</v>
      </c>
      <c r="F1432" s="1">
        <v>30941609</v>
      </c>
      <c r="G1432" s="16">
        <v>50656.0985264868</v>
      </c>
      <c r="H1432">
        <v>336.51</v>
      </c>
      <c r="I1432" s="1">
        <v>889.08999999999992</v>
      </c>
      <c r="J1432" s="16">
        <v>214854.41909909819</v>
      </c>
      <c r="K1432" s="5">
        <v>1.9455895439812219E-2</v>
      </c>
      <c r="L1432" s="10">
        <v>45545.971599999997</v>
      </c>
    </row>
    <row r="1433" spans="1:12" x14ac:dyDescent="0.25">
      <c r="A1433">
        <v>1432</v>
      </c>
      <c r="B1433" s="3">
        <v>0.11186262635638754</v>
      </c>
      <c r="C1433" s="3">
        <v>3.4397306164427266E-2</v>
      </c>
      <c r="D1433" s="1">
        <v>253585.72258230299</v>
      </c>
      <c r="E1433" s="1">
        <v>7627941</v>
      </c>
      <c r="F1433" s="1">
        <v>37597078</v>
      </c>
      <c r="G1433" s="16">
        <v>190858.94800708239</v>
      </c>
      <c r="H1433">
        <v>833.86</v>
      </c>
      <c r="I1433" s="1">
        <v>1781.67</v>
      </c>
      <c r="J1433" s="16">
        <v>444444.67058938538</v>
      </c>
      <c r="K1433" s="5">
        <v>6.5948587827915489E-2</v>
      </c>
      <c r="L1433" s="10">
        <v>681585.92850000004</v>
      </c>
    </row>
    <row r="1434" spans="1:12" x14ac:dyDescent="0.25">
      <c r="A1434">
        <v>1433</v>
      </c>
      <c r="B1434" s="3">
        <v>0.16236994501830954</v>
      </c>
      <c r="C1434" s="3">
        <v>5.6352562813713689E-2</v>
      </c>
      <c r="D1434" s="1">
        <v>100181.10037977963</v>
      </c>
      <c r="E1434" s="1">
        <v>3190300</v>
      </c>
      <c r="F1434" s="1">
        <v>14733137</v>
      </c>
      <c r="G1434" s="16">
        <v>43531.051668016291</v>
      </c>
      <c r="H1434">
        <v>226.36</v>
      </c>
      <c r="I1434" s="1">
        <v>713.16000000000008</v>
      </c>
      <c r="J1434" s="16">
        <v>143712.15204779591</v>
      </c>
      <c r="K1434" s="5">
        <v>0.20998169218212845</v>
      </c>
      <c r="L1434" s="10">
        <v>371671.20740000001</v>
      </c>
    </row>
    <row r="1435" spans="1:12" x14ac:dyDescent="0.25">
      <c r="A1435">
        <v>1434</v>
      </c>
      <c r="B1435" s="3">
        <v>0.22637548836257473</v>
      </c>
      <c r="C1435" s="3">
        <v>7.3389067923071802E-2</v>
      </c>
      <c r="D1435" s="1">
        <v>90421.02409770817</v>
      </c>
      <c r="E1435" s="1">
        <v>3654952</v>
      </c>
      <c r="F1435" s="1">
        <v>19922084</v>
      </c>
      <c r="G1435" s="16">
        <v>11624.096329857208</v>
      </c>
      <c r="H1435">
        <v>81.66</v>
      </c>
      <c r="I1435" s="1">
        <v>305.84000000000003</v>
      </c>
      <c r="J1435" s="16">
        <v>102045.12042756537</v>
      </c>
      <c r="K1435" s="5">
        <v>7.767286685411362E-2</v>
      </c>
      <c r="L1435" s="10">
        <v>88210.443299999999</v>
      </c>
    </row>
    <row r="1436" spans="1:12" x14ac:dyDescent="0.25">
      <c r="A1436">
        <v>1435</v>
      </c>
      <c r="B1436" s="3">
        <v>0.1331424440050068</v>
      </c>
      <c r="C1436" s="3">
        <v>6.2512404321363235E-2</v>
      </c>
      <c r="D1436" s="1">
        <v>470854.70801559242</v>
      </c>
      <c r="E1436" s="1">
        <v>18003280</v>
      </c>
      <c r="F1436" s="1">
        <v>80678549</v>
      </c>
      <c r="G1436" s="16">
        <v>23922.951527718658</v>
      </c>
      <c r="H1436">
        <v>97.71</v>
      </c>
      <c r="I1436" s="1">
        <v>421.52</v>
      </c>
      <c r="J1436" s="16">
        <v>494777.65954331111</v>
      </c>
      <c r="K1436" s="5">
        <v>0.19606788365594288</v>
      </c>
      <c r="L1436" s="10">
        <v>1094432.325</v>
      </c>
    </row>
    <row r="1437" spans="1:12" x14ac:dyDescent="0.25">
      <c r="A1437">
        <v>1436</v>
      </c>
      <c r="B1437" s="3">
        <v>0.2043611904340879</v>
      </c>
      <c r="C1437" s="3">
        <v>6.2271724922810967E-2</v>
      </c>
      <c r="D1437" s="1">
        <v>47316.088419623666</v>
      </c>
      <c r="E1437" s="1">
        <v>1758181</v>
      </c>
      <c r="F1437" s="1">
        <v>12329044</v>
      </c>
      <c r="G1437" s="16">
        <v>26333.343243443094</v>
      </c>
      <c r="H1437">
        <v>196.49</v>
      </c>
      <c r="I1437" s="1">
        <v>557.41000000000008</v>
      </c>
      <c r="J1437" s="16">
        <v>73649.43166306676</v>
      </c>
      <c r="K1437" s="5">
        <v>0.20857145948664657</v>
      </c>
      <c r="L1437" s="10">
        <v>179395.00700000001</v>
      </c>
    </row>
    <row r="1438" spans="1:12" x14ac:dyDescent="0.25">
      <c r="A1438">
        <v>1437</v>
      </c>
      <c r="B1438" s="3">
        <v>0.2074696215836373</v>
      </c>
      <c r="C1438" s="3">
        <v>4.6491082304154316E-2</v>
      </c>
      <c r="D1438" s="1">
        <v>159842.23850385292</v>
      </c>
      <c r="E1438" s="1">
        <v>7582828</v>
      </c>
      <c r="F1438" s="1">
        <v>25935282</v>
      </c>
      <c r="G1438" s="16">
        <v>36343.935754700236</v>
      </c>
      <c r="H1438">
        <v>278.75</v>
      </c>
      <c r="I1438" s="1">
        <v>746.58999999999992</v>
      </c>
      <c r="J1438" s="16">
        <v>196186.17425855316</v>
      </c>
      <c r="K1438" s="5">
        <v>3.0491808098530328E-2</v>
      </c>
      <c r="L1438" s="10">
        <v>114544.3475</v>
      </c>
    </row>
    <row r="1439" spans="1:12" x14ac:dyDescent="0.25">
      <c r="A1439">
        <v>1438</v>
      </c>
      <c r="B1439" s="3">
        <v>0.23958068800591359</v>
      </c>
      <c r="C1439" s="3">
        <v>5.3407715325063818E-2</v>
      </c>
      <c r="D1439" s="1">
        <v>35646.619776273954</v>
      </c>
      <c r="E1439" s="1">
        <v>1517266</v>
      </c>
      <c r="F1439" s="1">
        <v>12044615</v>
      </c>
      <c r="G1439" s="16">
        <v>17091.865837476242</v>
      </c>
      <c r="H1439">
        <v>174.74</v>
      </c>
      <c r="I1439" s="1">
        <v>509.29</v>
      </c>
      <c r="J1439" s="16">
        <v>52738.485613750192</v>
      </c>
      <c r="K1439" s="5">
        <v>0.10409205703154534</v>
      </c>
      <c r="L1439" s="10">
        <v>105967.319</v>
      </c>
    </row>
    <row r="1440" spans="1:12" x14ac:dyDescent="0.25">
      <c r="A1440">
        <v>1439</v>
      </c>
      <c r="B1440" s="3">
        <v>0.11730724630779713</v>
      </c>
      <c r="C1440" s="3">
        <v>4.6211741901740308E-2</v>
      </c>
      <c r="D1440" s="1">
        <v>423197.29641810083</v>
      </c>
      <c r="E1440" s="1">
        <v>14780793</v>
      </c>
      <c r="F1440" s="1">
        <v>59560480</v>
      </c>
      <c r="G1440" s="16">
        <v>37586.411843914022</v>
      </c>
      <c r="H1440">
        <v>135.43</v>
      </c>
      <c r="I1440" s="1">
        <v>515.66000000000008</v>
      </c>
      <c r="J1440" s="16">
        <v>460783.70826201484</v>
      </c>
      <c r="K1440" s="5">
        <v>0.14654232494347053</v>
      </c>
      <c r="L1440" s="10">
        <v>1180255.7973</v>
      </c>
    </row>
    <row r="1441" spans="1:12" x14ac:dyDescent="0.25">
      <c r="A1441">
        <v>1440</v>
      </c>
      <c r="B1441" s="3">
        <v>0.17001634586921871</v>
      </c>
      <c r="C1441" s="3">
        <v>7.2521344843314128E-2</v>
      </c>
      <c r="D1441" s="1">
        <v>98820.747747008136</v>
      </c>
      <c r="E1441" s="1">
        <v>3234763</v>
      </c>
      <c r="F1441" s="1">
        <v>20980920</v>
      </c>
      <c r="G1441" s="16">
        <v>17716.939387678922</v>
      </c>
      <c r="H1441">
        <v>81.72</v>
      </c>
      <c r="I1441" s="1">
        <v>283.32</v>
      </c>
      <c r="J1441" s="16">
        <v>116537.68713468706</v>
      </c>
      <c r="K1441" s="5">
        <v>9.5148616738691336E-2</v>
      </c>
      <c r="L1441" s="10">
        <v>121680.4751</v>
      </c>
    </row>
    <row r="1442" spans="1:12" x14ac:dyDescent="0.25">
      <c r="A1442">
        <v>1441</v>
      </c>
      <c r="B1442" s="3">
        <v>0.10427747312953101</v>
      </c>
      <c r="C1442" s="3">
        <v>7.4195422018286453E-2</v>
      </c>
      <c r="D1442" s="1">
        <v>105651.266385129</v>
      </c>
      <c r="E1442" s="1">
        <v>2751423</v>
      </c>
      <c r="F1442" s="1">
        <v>16475661</v>
      </c>
      <c r="G1442" s="16">
        <v>74313.170691989188</v>
      </c>
      <c r="H1442">
        <v>241.82</v>
      </c>
      <c r="I1442" s="1">
        <v>654.18000000000006</v>
      </c>
      <c r="J1442" s="16">
        <v>179964.4370771182</v>
      </c>
      <c r="K1442" s="5">
        <v>6.5307008213146042E-2</v>
      </c>
      <c r="L1442" s="10">
        <v>127672.2058</v>
      </c>
    </row>
    <row r="1443" spans="1:12" x14ac:dyDescent="0.25">
      <c r="A1443">
        <v>1442</v>
      </c>
      <c r="B1443" s="3">
        <v>0.15988566990396208</v>
      </c>
      <c r="C1443" s="3">
        <v>4.7506307660562117E-2</v>
      </c>
      <c r="D1443" s="1">
        <v>127601.22929931355</v>
      </c>
      <c r="E1443" s="1">
        <v>4027571</v>
      </c>
      <c r="F1443" s="1">
        <v>16172559</v>
      </c>
      <c r="G1443" s="16">
        <v>28129.492191981426</v>
      </c>
      <c r="H1443">
        <v>143.41</v>
      </c>
      <c r="I1443" s="1">
        <v>421.1</v>
      </c>
      <c r="J1443" s="16">
        <v>155730.72149129497</v>
      </c>
      <c r="K1443" s="5">
        <v>0.13893463244908602</v>
      </c>
      <c r="L1443" s="10">
        <v>346707.011</v>
      </c>
    </row>
    <row r="1444" spans="1:12" x14ac:dyDescent="0.25">
      <c r="A1444">
        <v>1443</v>
      </c>
      <c r="B1444" s="3">
        <v>0.19972276914023612</v>
      </c>
      <c r="C1444" s="3">
        <v>6.0409486517696009E-2</v>
      </c>
      <c r="D1444" s="1">
        <v>123194.41273482936</v>
      </c>
      <c r="E1444" s="1">
        <v>4498553</v>
      </c>
      <c r="F1444" s="1">
        <v>20790794</v>
      </c>
      <c r="G1444" s="16">
        <v>13858.196600342833</v>
      </c>
      <c r="H1444">
        <v>79.400000000000006</v>
      </c>
      <c r="I1444" s="1">
        <v>309.71000000000004</v>
      </c>
      <c r="J1444" s="16">
        <v>137052.60933517219</v>
      </c>
      <c r="K1444" s="5">
        <v>0.1890851733178304</v>
      </c>
      <c r="L1444" s="10">
        <v>314511.27769999998</v>
      </c>
    </row>
    <row r="1445" spans="1:12" x14ac:dyDescent="0.25">
      <c r="A1445">
        <v>1444</v>
      </c>
      <c r="B1445" s="3">
        <v>0.23474706057283315</v>
      </c>
      <c r="C1445" s="3">
        <v>6.9015335326343255E-2</v>
      </c>
      <c r="D1445" s="1">
        <v>104654.79570912731</v>
      </c>
      <c r="E1445" s="1">
        <v>4370657</v>
      </c>
      <c r="F1445" s="1">
        <v>17872067</v>
      </c>
      <c r="G1445" s="16">
        <v>24603.940586308381</v>
      </c>
      <c r="H1445">
        <v>241.03</v>
      </c>
      <c r="I1445" s="1">
        <v>682.94</v>
      </c>
      <c r="J1445" s="16">
        <v>129258.73629543569</v>
      </c>
      <c r="K1445" s="5">
        <v>-5.251904845272222E-4</v>
      </c>
      <c r="L1445" s="10">
        <v>10018.2731</v>
      </c>
    </row>
    <row r="1446" spans="1:12" x14ac:dyDescent="0.25">
      <c r="A1446">
        <v>1445</v>
      </c>
      <c r="B1446" s="3">
        <v>0.13401268937015118</v>
      </c>
      <c r="C1446" s="3">
        <v>2.0794319597477903E-2</v>
      </c>
      <c r="D1446" s="1">
        <v>168331.12708347186</v>
      </c>
      <c r="E1446" s="1">
        <v>5601712</v>
      </c>
      <c r="F1446" s="1">
        <v>23732336</v>
      </c>
      <c r="G1446" s="16">
        <v>23574.604434510729</v>
      </c>
      <c r="H1446">
        <v>84.12</v>
      </c>
      <c r="I1446" s="1">
        <v>283.91000000000003</v>
      </c>
      <c r="J1446" s="16">
        <v>191905.73151798258</v>
      </c>
      <c r="K1446" s="5">
        <v>0.13144444101764732</v>
      </c>
      <c r="L1446" s="10">
        <v>1083702.6797</v>
      </c>
    </row>
    <row r="1447" spans="1:12" x14ac:dyDescent="0.25">
      <c r="A1447">
        <v>1446</v>
      </c>
      <c r="B1447" s="3">
        <v>0.21046752973061783</v>
      </c>
      <c r="C1447" s="3">
        <v>5.7007454397223309E-2</v>
      </c>
      <c r="D1447" s="1">
        <v>67085.653421224124</v>
      </c>
      <c r="E1447" s="1">
        <v>2551068</v>
      </c>
      <c r="F1447" s="1">
        <v>21126487</v>
      </c>
      <c r="G1447" s="16">
        <v>36334.977013888056</v>
      </c>
      <c r="H1447">
        <v>362.53</v>
      </c>
      <c r="I1447" s="1">
        <v>1077.6099999999999</v>
      </c>
      <c r="J1447" s="16">
        <v>103420.63043511218</v>
      </c>
      <c r="K1447" s="5">
        <v>0.14805208052832752</v>
      </c>
      <c r="L1447" s="10">
        <v>220397.9878</v>
      </c>
    </row>
    <row r="1448" spans="1:12" x14ac:dyDescent="0.25">
      <c r="A1448">
        <v>1447</v>
      </c>
      <c r="B1448" s="3">
        <v>0.17349411291113609</v>
      </c>
      <c r="C1448" s="3">
        <v>2.232037969650311E-2</v>
      </c>
      <c r="D1448" s="1">
        <v>250888.46383769531</v>
      </c>
      <c r="E1448" s="1">
        <v>12174564</v>
      </c>
      <c r="F1448" s="1">
        <v>51131549</v>
      </c>
      <c r="G1448" s="16">
        <v>11855.533987554732</v>
      </c>
      <c r="H1448">
        <v>55.95</v>
      </c>
      <c r="I1448" s="1">
        <v>233.95</v>
      </c>
      <c r="J1448" s="16">
        <v>262743.99782525003</v>
      </c>
      <c r="K1448" s="5">
        <v>0.22104026468510371</v>
      </c>
      <c r="L1448" s="10">
        <v>2318509.9051999999</v>
      </c>
    </row>
    <row r="1449" spans="1:12" x14ac:dyDescent="0.25">
      <c r="A1449">
        <v>1448</v>
      </c>
      <c r="B1449" s="3">
        <v>0.19135563323658411</v>
      </c>
      <c r="C1449" s="3">
        <v>7.1002133223059927E-2</v>
      </c>
      <c r="D1449" s="1">
        <v>48968.666456088453</v>
      </c>
      <c r="E1449" s="1">
        <v>1401543</v>
      </c>
      <c r="F1449" s="1">
        <v>9777386</v>
      </c>
      <c r="G1449" s="16">
        <v>33964.000528677701</v>
      </c>
      <c r="H1449">
        <v>225.92</v>
      </c>
      <c r="I1449" s="1">
        <v>698.17</v>
      </c>
      <c r="J1449" s="16">
        <v>82932.666984766154</v>
      </c>
      <c r="K1449" s="5">
        <v>0.14727476412978222</v>
      </c>
      <c r="L1449" s="10">
        <v>114470.2982</v>
      </c>
    </row>
    <row r="1450" spans="1:12" x14ac:dyDescent="0.25">
      <c r="A1450">
        <v>1449</v>
      </c>
      <c r="B1450" s="3">
        <v>0.14687199361525949</v>
      </c>
      <c r="C1450" s="3">
        <v>3.1556773428545536E-2</v>
      </c>
      <c r="D1450" s="1">
        <v>483823.08591348579</v>
      </c>
      <c r="E1450" s="1">
        <v>20036350</v>
      </c>
      <c r="F1450" s="1">
        <v>53550847</v>
      </c>
      <c r="G1450" s="16">
        <v>55165.45885000901</v>
      </c>
      <c r="H1450">
        <v>252.53</v>
      </c>
      <c r="I1450" s="1">
        <v>614.86</v>
      </c>
      <c r="J1450" s="16">
        <v>538988.54476349475</v>
      </c>
      <c r="K1450" s="5">
        <v>5.6779511951984524E-2</v>
      </c>
      <c r="L1450" s="10">
        <v>758528.22699999996</v>
      </c>
    </row>
    <row r="1451" spans="1:12" x14ac:dyDescent="0.25">
      <c r="A1451">
        <v>1450</v>
      </c>
      <c r="B1451" s="3">
        <v>0.11931990655491807</v>
      </c>
      <c r="C1451" s="3">
        <v>6.459344578738424E-2</v>
      </c>
      <c r="D1451" s="1">
        <v>164407.78610478377</v>
      </c>
      <c r="E1451" s="1">
        <v>4504755</v>
      </c>
      <c r="F1451" s="1">
        <v>20433423</v>
      </c>
      <c r="G1451" s="16">
        <v>35561.272435243867</v>
      </c>
      <c r="H1451">
        <v>130.15</v>
      </c>
      <c r="I1451" s="1">
        <v>415.09000000000003</v>
      </c>
      <c r="J1451" s="16">
        <v>199969.05854002765</v>
      </c>
      <c r="K1451" s="5">
        <v>0.18646120278482195</v>
      </c>
      <c r="L1451" s="10">
        <v>412280.84590000001</v>
      </c>
    </row>
    <row r="1452" spans="1:12" x14ac:dyDescent="0.25">
      <c r="A1452">
        <v>1451</v>
      </c>
      <c r="B1452" s="3">
        <v>0.21628972915241421</v>
      </c>
      <c r="C1452" s="3">
        <v>5.891244840814315E-2</v>
      </c>
      <c r="D1452" s="1">
        <v>62832.619608977002</v>
      </c>
      <c r="E1452" s="1">
        <v>1914594</v>
      </c>
      <c r="F1452" s="1">
        <v>10621222</v>
      </c>
      <c r="G1452" s="16">
        <v>12202.588007125032</v>
      </c>
      <c r="H1452">
        <v>62.18</v>
      </c>
      <c r="I1452" s="1">
        <v>180.22</v>
      </c>
      <c r="J1452" s="16">
        <v>75035.207616102038</v>
      </c>
      <c r="K1452" s="5">
        <v>0.10445421642974533</v>
      </c>
      <c r="L1452" s="10">
        <v>103395.4078</v>
      </c>
    </row>
    <row r="1453" spans="1:12" x14ac:dyDescent="0.25">
      <c r="A1453">
        <v>1452</v>
      </c>
      <c r="B1453" s="3">
        <v>0.18546484317973438</v>
      </c>
      <c r="C1453" s="3">
        <v>5.6115222801482442E-2</v>
      </c>
      <c r="D1453" s="1">
        <v>47029.976029154088</v>
      </c>
      <c r="E1453" s="1">
        <v>1326651</v>
      </c>
      <c r="F1453" s="1">
        <v>7783241</v>
      </c>
      <c r="G1453" s="16">
        <v>45681.689304570071</v>
      </c>
      <c r="H1453">
        <v>354.27</v>
      </c>
      <c r="I1453" s="1">
        <v>873.8599999999999</v>
      </c>
      <c r="J1453" s="16">
        <v>92711.665333724159</v>
      </c>
      <c r="K1453" s="5">
        <v>0.17308647279381176</v>
      </c>
      <c r="L1453" s="10">
        <v>211009.87479999999</v>
      </c>
    </row>
    <row r="1454" spans="1:12" x14ac:dyDescent="0.25">
      <c r="A1454">
        <v>1453</v>
      </c>
      <c r="B1454" s="3">
        <v>0.12208001464813317</v>
      </c>
      <c r="C1454" s="3">
        <v>5.9238946511890184E-2</v>
      </c>
      <c r="D1454" s="1">
        <v>339150.87905038294</v>
      </c>
      <c r="E1454" s="1">
        <v>12170859</v>
      </c>
      <c r="F1454" s="1">
        <v>43147109</v>
      </c>
      <c r="G1454" s="16">
        <v>66206.22565409643</v>
      </c>
      <c r="H1454">
        <v>248.03</v>
      </c>
      <c r="I1454" s="1">
        <v>605.82999999999993</v>
      </c>
      <c r="J1454" s="16">
        <v>405357.10470447934</v>
      </c>
      <c r="K1454" s="5">
        <v>-1.9484472753720512E-2</v>
      </c>
      <c r="L1454" s="10">
        <v>-37522.3946</v>
      </c>
    </row>
    <row r="1455" spans="1:12" x14ac:dyDescent="0.25">
      <c r="A1455">
        <v>1454</v>
      </c>
      <c r="B1455" s="3">
        <v>0.23307839942873632</v>
      </c>
      <c r="C1455" s="3">
        <v>2.8689168913270759E-2</v>
      </c>
      <c r="D1455" s="1">
        <v>205996.37022522031</v>
      </c>
      <c r="E1455" s="1">
        <v>11144448</v>
      </c>
      <c r="F1455" s="1">
        <v>42526262</v>
      </c>
      <c r="G1455" s="16">
        <v>12708.947302507071</v>
      </c>
      <c r="H1455">
        <v>93.93</v>
      </c>
      <c r="I1455" s="1">
        <v>349.14</v>
      </c>
      <c r="J1455" s="16">
        <v>218705.31752772737</v>
      </c>
      <c r="K1455" s="5">
        <v>0.1131034016436689</v>
      </c>
      <c r="L1455" s="10">
        <v>739351.03590000002</v>
      </c>
    </row>
    <row r="1456" spans="1:12" x14ac:dyDescent="0.25">
      <c r="A1456">
        <v>1455</v>
      </c>
      <c r="B1456" s="3">
        <v>0.14579255460890786</v>
      </c>
      <c r="C1456" s="3">
        <v>4.4949998581790919E-2</v>
      </c>
      <c r="D1456" s="1">
        <v>612759.48654952564</v>
      </c>
      <c r="E1456" s="1">
        <v>29519750</v>
      </c>
      <c r="F1456" s="1">
        <v>92434717</v>
      </c>
      <c r="G1456" s="16">
        <v>21099.271859266126</v>
      </c>
      <c r="H1456">
        <v>81.53</v>
      </c>
      <c r="I1456" s="1">
        <v>290.03999999999996</v>
      </c>
      <c r="J1456" s="16">
        <v>633858.75840879173</v>
      </c>
      <c r="K1456" s="5">
        <v>7.3207808941886374E-2</v>
      </c>
      <c r="L1456" s="10">
        <v>734360.80920000002</v>
      </c>
    </row>
    <row r="1457" spans="1:12" x14ac:dyDescent="0.25">
      <c r="A1457">
        <v>1456</v>
      </c>
      <c r="B1457" s="3">
        <v>0.23119353045493826</v>
      </c>
      <c r="C1457" s="3">
        <v>3.0566034009126303E-2</v>
      </c>
      <c r="D1457" s="1">
        <v>95210.866719203972</v>
      </c>
      <c r="E1457" s="1">
        <v>3921376</v>
      </c>
      <c r="F1457" s="1">
        <v>19226965</v>
      </c>
      <c r="G1457" s="16">
        <v>11528.564921283558</v>
      </c>
      <c r="H1457">
        <v>84.04</v>
      </c>
      <c r="I1457" s="1">
        <v>329.25</v>
      </c>
      <c r="J1457" s="16">
        <v>106739.43164048753</v>
      </c>
      <c r="K1457" s="5">
        <v>0.11326160619185789</v>
      </c>
      <c r="L1457" s="10">
        <v>320650.4326</v>
      </c>
    </row>
    <row r="1458" spans="1:12" x14ac:dyDescent="0.25">
      <c r="A1458">
        <v>1457</v>
      </c>
      <c r="B1458" s="3">
        <v>0.17829290690187322</v>
      </c>
      <c r="C1458" s="3">
        <v>5.5679461401405742E-2</v>
      </c>
      <c r="D1458" s="1">
        <v>256689.62940217977</v>
      </c>
      <c r="E1458" s="1">
        <v>10537623</v>
      </c>
      <c r="F1458" s="1">
        <v>36991646</v>
      </c>
      <c r="G1458" s="16">
        <v>22513.063267729569</v>
      </c>
      <c r="H1458">
        <v>133.97</v>
      </c>
      <c r="I1458" s="1">
        <v>431.36</v>
      </c>
      <c r="J1458" s="16">
        <v>279202.69266990933</v>
      </c>
      <c r="K1458" s="5">
        <v>0.13927002973691044</v>
      </c>
      <c r="L1458" s="10">
        <v>512032.24</v>
      </c>
    </row>
    <row r="1459" spans="1:12" x14ac:dyDescent="0.25">
      <c r="A1459">
        <v>1458</v>
      </c>
      <c r="B1459" s="3">
        <v>0.11455424346864929</v>
      </c>
      <c r="C1459" s="3">
        <v>6.0017132868855988E-2</v>
      </c>
      <c r="D1459" s="1">
        <v>289031.25557170558</v>
      </c>
      <c r="E1459" s="1">
        <v>8800347</v>
      </c>
      <c r="F1459" s="1">
        <v>34136461</v>
      </c>
      <c r="G1459" s="16">
        <v>33975.736346036334</v>
      </c>
      <c r="H1459">
        <v>106.01</v>
      </c>
      <c r="I1459" s="1">
        <v>370.22999999999996</v>
      </c>
      <c r="J1459" s="16">
        <v>323006.99191774189</v>
      </c>
      <c r="K1459" s="5">
        <v>9.76848570223533E-2</v>
      </c>
      <c r="L1459" s="10">
        <v>372206.79960000003</v>
      </c>
    </row>
    <row r="1460" spans="1:12" x14ac:dyDescent="0.25">
      <c r="A1460">
        <v>1459</v>
      </c>
      <c r="B1460" s="3">
        <v>0.21918761145737542</v>
      </c>
      <c r="C1460" s="3">
        <v>2.6347709287973729E-2</v>
      </c>
      <c r="D1460" s="1">
        <v>76351.728491436865</v>
      </c>
      <c r="E1460" s="1">
        <v>3001796</v>
      </c>
      <c r="F1460" s="1">
        <v>16461208</v>
      </c>
      <c r="G1460" s="16">
        <v>15723.560850770851</v>
      </c>
      <c r="H1460">
        <v>133.9</v>
      </c>
      <c r="I1460" s="1">
        <v>450.75</v>
      </c>
      <c r="J1460" s="16">
        <v>92075.289342207718</v>
      </c>
      <c r="K1460" s="5">
        <v>0.20363634218942217</v>
      </c>
      <c r="L1460" s="10">
        <v>632889.29440000001</v>
      </c>
    </row>
    <row r="1461" spans="1:12" x14ac:dyDescent="0.25">
      <c r="A1461">
        <v>1460</v>
      </c>
      <c r="B1461" s="3">
        <v>0.11029234607885358</v>
      </c>
      <c r="C1461" s="3">
        <v>4.4480831541601082E-2</v>
      </c>
      <c r="D1461" s="1">
        <v>76520.990833793767</v>
      </c>
      <c r="E1461" s="1">
        <v>2033489</v>
      </c>
      <c r="F1461" s="1">
        <v>11434277</v>
      </c>
      <c r="G1461" s="16">
        <v>13813.583072762949</v>
      </c>
      <c r="H1461">
        <v>41.81</v>
      </c>
      <c r="I1461" s="1">
        <v>203.88000000000002</v>
      </c>
      <c r="J1461" s="16">
        <v>90334.573906556718</v>
      </c>
      <c r="K1461" s="5">
        <v>-3.8317083456973489E-2</v>
      </c>
      <c r="L1461" s="10">
        <v>-48419.760799999996</v>
      </c>
    </row>
    <row r="1462" spans="1:12" x14ac:dyDescent="0.25">
      <c r="A1462">
        <v>1461</v>
      </c>
      <c r="B1462" s="3">
        <v>0.13954843419460755</v>
      </c>
      <c r="C1462" s="3">
        <v>6.8114212290246445E-2</v>
      </c>
      <c r="D1462" s="1">
        <v>354890.14047667151</v>
      </c>
      <c r="E1462" s="1">
        <v>14082010</v>
      </c>
      <c r="F1462" s="1">
        <v>47501242</v>
      </c>
      <c r="G1462" s="16">
        <v>71445.05381858912</v>
      </c>
      <c r="H1462">
        <v>307.55</v>
      </c>
      <c r="I1462" s="1">
        <v>744.66</v>
      </c>
      <c r="J1462" s="16">
        <v>426335.19429526065</v>
      </c>
      <c r="K1462" s="5">
        <v>3.3120546006849549E-3</v>
      </c>
      <c r="L1462" s="10">
        <v>31107.956300000002</v>
      </c>
    </row>
    <row r="1463" spans="1:12" x14ac:dyDescent="0.25">
      <c r="A1463">
        <v>1462</v>
      </c>
      <c r="B1463" s="3">
        <v>0.11293903271599172</v>
      </c>
      <c r="C1463" s="3">
        <v>3.4963881547780587E-2</v>
      </c>
      <c r="D1463" s="1">
        <v>309475.7476211685</v>
      </c>
      <c r="E1463" s="1">
        <v>9354390</v>
      </c>
      <c r="F1463" s="1">
        <v>36290775</v>
      </c>
      <c r="G1463" s="16">
        <v>25494.48720647737</v>
      </c>
      <c r="H1463">
        <v>78.8</v>
      </c>
      <c r="I1463" s="1">
        <v>283.21000000000004</v>
      </c>
      <c r="J1463" s="16">
        <v>334970.23482764588</v>
      </c>
      <c r="K1463" s="5">
        <v>0.25345517049850502</v>
      </c>
      <c r="L1463" s="10">
        <v>1939285.1564</v>
      </c>
    </row>
    <row r="1464" spans="1:12" x14ac:dyDescent="0.25">
      <c r="A1464">
        <v>1463</v>
      </c>
      <c r="B1464" s="3">
        <v>0.23619784972886154</v>
      </c>
      <c r="C1464" s="3">
        <v>2.8268142157310237E-2</v>
      </c>
      <c r="D1464" s="1">
        <v>159186.07120429681</v>
      </c>
      <c r="E1464" s="1">
        <v>8753554</v>
      </c>
      <c r="F1464" s="1">
        <v>31010535</v>
      </c>
      <c r="G1464" s="16">
        <v>15451.255015290721</v>
      </c>
      <c r="H1464">
        <v>153.11000000000001</v>
      </c>
      <c r="I1464" s="1">
        <v>519.18000000000006</v>
      </c>
      <c r="J1464" s="16">
        <v>174637.32621958753</v>
      </c>
      <c r="K1464" s="5">
        <v>0.11816665724826111</v>
      </c>
      <c r="L1464" s="10">
        <v>582316.90850000002</v>
      </c>
    </row>
    <row r="1465" spans="1:12" x14ac:dyDescent="0.25">
      <c r="A1465">
        <v>1464</v>
      </c>
      <c r="B1465" s="3">
        <v>0.19147509771450152</v>
      </c>
      <c r="C1465" s="3">
        <v>7.0813751979407077E-2</v>
      </c>
      <c r="D1465" s="1">
        <v>126699.98539622287</v>
      </c>
      <c r="E1465" s="1">
        <v>5548883</v>
      </c>
      <c r="F1465" s="1">
        <v>26302911</v>
      </c>
      <c r="G1465" s="16">
        <v>60513.231349445923</v>
      </c>
      <c r="H1465">
        <v>498.22</v>
      </c>
      <c r="I1465" s="1">
        <v>1335.49</v>
      </c>
      <c r="J1465" s="16">
        <v>187213.21674566879</v>
      </c>
      <c r="K1465" s="5">
        <v>0.2270890493853408</v>
      </c>
      <c r="L1465" s="10">
        <v>401690.82419999997</v>
      </c>
    </row>
    <row r="1466" spans="1:12" x14ac:dyDescent="0.25">
      <c r="A1466">
        <v>1465</v>
      </c>
      <c r="B1466" s="3">
        <v>0.15468908250886776</v>
      </c>
      <c r="C1466" s="3">
        <v>5.8409284314057078E-2</v>
      </c>
      <c r="D1466" s="1">
        <v>139822.39017649135</v>
      </c>
      <c r="E1466" s="1">
        <v>4332409</v>
      </c>
      <c r="F1466" s="1">
        <v>15912081</v>
      </c>
      <c r="G1466" s="16">
        <v>36865.295324709572</v>
      </c>
      <c r="H1466">
        <v>179.88</v>
      </c>
      <c r="I1466" s="1">
        <v>494.43</v>
      </c>
      <c r="J1466" s="16">
        <v>176687.6855012009</v>
      </c>
      <c r="K1466" s="5">
        <v>6.2862385518603764E-2</v>
      </c>
      <c r="L1466" s="10">
        <v>124175.42479999999</v>
      </c>
    </row>
    <row r="1467" spans="1:12" x14ac:dyDescent="0.25">
      <c r="A1467">
        <v>1466</v>
      </c>
      <c r="B1467" s="3">
        <v>0.20446137002034726</v>
      </c>
      <c r="C1467" s="3">
        <v>7.0721311873470388E-2</v>
      </c>
      <c r="D1467" s="1">
        <v>102609.03227232468</v>
      </c>
      <c r="E1467" s="1">
        <v>3814213</v>
      </c>
      <c r="F1467" s="1">
        <v>17679418</v>
      </c>
      <c r="G1467" s="16">
        <v>22525.356708002713</v>
      </c>
      <c r="H1467">
        <v>168.24</v>
      </c>
      <c r="I1467" s="1">
        <v>533.6</v>
      </c>
      <c r="J1467" s="16">
        <v>125134.38898032739</v>
      </c>
      <c r="K1467" s="5">
        <v>0.15657034520769486</v>
      </c>
      <c r="L1467" s="10">
        <v>205396.78700000001</v>
      </c>
    </row>
    <row r="1468" spans="1:12" x14ac:dyDescent="0.25">
      <c r="A1468">
        <v>1467</v>
      </c>
      <c r="B1468" s="3">
        <v>0.1087367752881844</v>
      </c>
      <c r="C1468" s="3">
        <v>5.8168773347056432E-2</v>
      </c>
      <c r="D1468" s="1">
        <v>312219.72978847218</v>
      </c>
      <c r="E1468" s="1">
        <v>9260609</v>
      </c>
      <c r="F1468" s="1">
        <v>31001472</v>
      </c>
      <c r="G1468" s="16">
        <v>61670.334575814253</v>
      </c>
      <c r="H1468">
        <v>207.8</v>
      </c>
      <c r="I1468" s="1">
        <v>579.21</v>
      </c>
      <c r="J1468" s="16">
        <v>373890.06436428643</v>
      </c>
      <c r="K1468" s="5">
        <v>0.12271253250601578</v>
      </c>
      <c r="L1468" s="10">
        <v>558687.7132</v>
      </c>
    </row>
    <row r="1469" spans="1:12" x14ac:dyDescent="0.25">
      <c r="A1469">
        <v>1468</v>
      </c>
      <c r="B1469" s="3">
        <v>0.17628253861377446</v>
      </c>
      <c r="C1469" s="3">
        <v>6.9410600668415701E-2</v>
      </c>
      <c r="D1469" s="1">
        <v>207293.09277815709</v>
      </c>
      <c r="E1469" s="1">
        <v>8427039</v>
      </c>
      <c r="F1469" s="1">
        <v>40232314</v>
      </c>
      <c r="G1469" s="16">
        <v>14382.430419808043</v>
      </c>
      <c r="H1469">
        <v>69.25</v>
      </c>
      <c r="I1469" s="1">
        <v>306.38</v>
      </c>
      <c r="J1469" s="16">
        <v>221675.52319796514</v>
      </c>
      <c r="K1469" s="5">
        <v>5.6649609060311121E-2</v>
      </c>
      <c r="L1469" s="10">
        <v>139347.73560000001</v>
      </c>
    </row>
    <row r="1470" spans="1:12" x14ac:dyDescent="0.25">
      <c r="A1470">
        <v>1469</v>
      </c>
      <c r="B1470" s="3">
        <v>0.13728389130200969</v>
      </c>
      <c r="C1470" s="3">
        <v>6.770099401390102E-2</v>
      </c>
      <c r="D1470" s="1">
        <v>134159.47455474146</v>
      </c>
      <c r="E1470" s="1">
        <v>3910394</v>
      </c>
      <c r="F1470" s="1">
        <v>20823728</v>
      </c>
      <c r="G1470" s="16">
        <v>101438.40114574177</v>
      </c>
      <c r="H1470">
        <v>497.77</v>
      </c>
      <c r="I1470" s="1">
        <v>1107.31</v>
      </c>
      <c r="J1470" s="16">
        <v>235597.87570048322</v>
      </c>
      <c r="K1470" s="5">
        <v>5.16766157766771E-2</v>
      </c>
      <c r="L1470" s="10">
        <v>139335.3762</v>
      </c>
    </row>
    <row r="1471" spans="1:12" x14ac:dyDescent="0.25">
      <c r="A1471">
        <v>1470</v>
      </c>
      <c r="B1471" s="3">
        <v>0.21898546219947129</v>
      </c>
      <c r="C1471" s="3">
        <v>5.1287257768016695E-2</v>
      </c>
      <c r="D1471" s="1">
        <v>68051.414472331293</v>
      </c>
      <c r="E1471" s="1">
        <v>3422979</v>
      </c>
      <c r="F1471" s="1">
        <v>21643787</v>
      </c>
      <c r="G1471" s="16">
        <v>20402.206298574532</v>
      </c>
      <c r="H1471">
        <v>173.21</v>
      </c>
      <c r="I1471" s="1">
        <v>635.12</v>
      </c>
      <c r="J1471" s="16">
        <v>88453.620770905822</v>
      </c>
      <c r="K1471" s="5">
        <v>2.8825813921032634E-2</v>
      </c>
      <c r="L1471" s="10">
        <v>64317.743499999997</v>
      </c>
    </row>
    <row r="1472" spans="1:12" x14ac:dyDescent="0.25">
      <c r="A1472">
        <v>1471</v>
      </c>
      <c r="B1472" s="3">
        <v>0.15239217843452788</v>
      </c>
      <c r="C1472" s="3">
        <v>5.0096797150848249E-2</v>
      </c>
      <c r="D1472" s="1">
        <v>122208.44414295298</v>
      </c>
      <c r="E1472" s="1">
        <v>3755946</v>
      </c>
      <c r="F1472" s="1">
        <v>16962774</v>
      </c>
      <c r="G1472" s="16">
        <v>32674.060044345832</v>
      </c>
      <c r="H1472">
        <v>156.52000000000001</v>
      </c>
      <c r="I1472" s="1">
        <v>413.16999999999996</v>
      </c>
      <c r="J1472" s="16">
        <v>154882.50418729882</v>
      </c>
      <c r="K1472" s="5">
        <v>8.9212456450100217E-2</v>
      </c>
      <c r="L1472" s="10">
        <v>191890.101</v>
      </c>
    </row>
    <row r="1473" spans="1:12" x14ac:dyDescent="0.25">
      <c r="A1473">
        <v>1472</v>
      </c>
      <c r="B1473" s="3">
        <v>0.24833142196005115</v>
      </c>
      <c r="C1473" s="3">
        <v>7.7803718150712631E-2</v>
      </c>
      <c r="D1473" s="1">
        <v>139867.78149580403</v>
      </c>
      <c r="E1473" s="1">
        <v>8200020</v>
      </c>
      <c r="F1473" s="1">
        <v>29156045</v>
      </c>
      <c r="G1473" s="16">
        <v>26311.115703098363</v>
      </c>
      <c r="H1473">
        <v>388.21</v>
      </c>
      <c r="I1473" s="1">
        <v>980.46</v>
      </c>
      <c r="J1473" s="16">
        <v>166178.89719890238</v>
      </c>
      <c r="K1473" s="5">
        <v>5.6293254863519701E-2</v>
      </c>
      <c r="L1473" s="10">
        <v>82418.156199999998</v>
      </c>
    </row>
    <row r="1474" spans="1:12" x14ac:dyDescent="0.25">
      <c r="A1474">
        <v>1473</v>
      </c>
      <c r="B1474" s="3">
        <v>0.23640171764078169</v>
      </c>
      <c r="C1474" s="3">
        <v>6.1928932733029241E-2</v>
      </c>
      <c r="D1474" s="1">
        <v>35663.080435255979</v>
      </c>
      <c r="E1474" s="1">
        <v>1499089</v>
      </c>
      <c r="F1474" s="1">
        <v>12334980</v>
      </c>
      <c r="G1474" s="16">
        <v>21908.815525989146</v>
      </c>
      <c r="H1474">
        <v>285.42</v>
      </c>
      <c r="I1474" s="1">
        <v>928.7</v>
      </c>
      <c r="J1474" s="16">
        <v>57571.895961245129</v>
      </c>
      <c r="K1474" s="5">
        <v>-3.7602833451273923E-2</v>
      </c>
      <c r="L1474" s="10">
        <v>-10951.949699999999</v>
      </c>
    </row>
    <row r="1475" spans="1:12" x14ac:dyDescent="0.25">
      <c r="A1475">
        <v>1474</v>
      </c>
      <c r="B1475" s="3">
        <v>0.17787074678859144</v>
      </c>
      <c r="C1475" s="3">
        <v>6.4265550058243637E-2</v>
      </c>
      <c r="D1475" s="1">
        <v>328448.47860636358</v>
      </c>
      <c r="E1475" s="1">
        <v>16367022</v>
      </c>
      <c r="F1475" s="1">
        <v>64760347</v>
      </c>
      <c r="G1475" s="16">
        <v>26844.28495078073</v>
      </c>
      <c r="H1475">
        <v>130.87</v>
      </c>
      <c r="I1475" s="1">
        <v>374.7</v>
      </c>
      <c r="J1475" s="16">
        <v>355292.76355714432</v>
      </c>
      <c r="K1475" s="5">
        <v>0.21078552705764272</v>
      </c>
      <c r="L1475" s="10">
        <v>800522.95779999997</v>
      </c>
    </row>
    <row r="1476" spans="1:12" x14ac:dyDescent="0.25">
      <c r="A1476">
        <v>1475</v>
      </c>
      <c r="B1476" s="3">
        <v>0.15463451656148386</v>
      </c>
      <c r="C1476" s="3">
        <v>3.8506492414995763E-2</v>
      </c>
      <c r="D1476" s="1">
        <v>166077.85915972598</v>
      </c>
      <c r="E1476" s="1">
        <v>6086064</v>
      </c>
      <c r="F1476" s="1">
        <v>42560650</v>
      </c>
      <c r="G1476" s="16">
        <v>38446.071512265968</v>
      </c>
      <c r="H1476">
        <v>221.49</v>
      </c>
      <c r="I1476" s="1">
        <v>770.1400000000001</v>
      </c>
      <c r="J1476" s="16">
        <v>204523.93067199196</v>
      </c>
      <c r="K1476" s="5">
        <v>6.4174787591617169E-2</v>
      </c>
      <c r="L1476" s="10">
        <v>309429.69919999997</v>
      </c>
    </row>
    <row r="1477" spans="1:12" x14ac:dyDescent="0.25">
      <c r="A1477">
        <v>1476</v>
      </c>
      <c r="B1477" s="3">
        <v>0.2034204943036293</v>
      </c>
      <c r="C1477" s="3">
        <v>2.9608228299956123E-2</v>
      </c>
      <c r="D1477" s="1">
        <v>101396.57578814516</v>
      </c>
      <c r="E1477" s="1">
        <v>4713136</v>
      </c>
      <c r="F1477" s="1">
        <v>23640063</v>
      </c>
      <c r="G1477" s="16">
        <v>13290.659619535423</v>
      </c>
      <c r="H1477">
        <v>78.19</v>
      </c>
      <c r="I1477" s="1">
        <v>342.52</v>
      </c>
      <c r="J1477" s="16">
        <v>114687.23540768058</v>
      </c>
      <c r="K1477" s="5">
        <v>-9.3818440013664767E-3</v>
      </c>
      <c r="L1477" s="10">
        <v>-4412.5977000000003</v>
      </c>
    </row>
    <row r="1478" spans="1:12" x14ac:dyDescent="0.25">
      <c r="A1478">
        <v>1477</v>
      </c>
      <c r="B1478" s="3">
        <v>0.15150122439463229</v>
      </c>
      <c r="C1478" s="3">
        <v>3.0472588240870246E-2</v>
      </c>
      <c r="D1478" s="1">
        <v>157396.28547588183</v>
      </c>
      <c r="E1478" s="1">
        <v>5683184</v>
      </c>
      <c r="F1478" s="1">
        <v>22335912</v>
      </c>
      <c r="G1478" s="16">
        <v>24448.091259353117</v>
      </c>
      <c r="H1478">
        <v>116.26</v>
      </c>
      <c r="I1478" s="1">
        <v>476.05</v>
      </c>
      <c r="J1478" s="16">
        <v>181844.37673523495</v>
      </c>
      <c r="K1478" s="5">
        <v>7.2242933904088924E-2</v>
      </c>
      <c r="L1478" s="10">
        <v>364289.22249999997</v>
      </c>
    </row>
    <row r="1479" spans="1:12" x14ac:dyDescent="0.25">
      <c r="A1479">
        <v>1478</v>
      </c>
      <c r="B1479" s="3">
        <v>0.15401104247102698</v>
      </c>
      <c r="C1479" s="3">
        <v>3.6397131825741828E-2</v>
      </c>
      <c r="D1479" s="1">
        <v>272829.01453731291</v>
      </c>
      <c r="E1479" s="1">
        <v>9968590</v>
      </c>
      <c r="F1479" s="1">
        <v>34494169</v>
      </c>
      <c r="G1479" s="16">
        <v>28207.527960519874</v>
      </c>
      <c r="H1479">
        <v>136.85</v>
      </c>
      <c r="I1479" s="1">
        <v>427.1</v>
      </c>
      <c r="J1479" s="16">
        <v>301036.54249783279</v>
      </c>
      <c r="K1479" s="5">
        <v>0.1033016016703921</v>
      </c>
      <c r="L1479" s="10">
        <v>677260.00459999999</v>
      </c>
    </row>
    <row r="1480" spans="1:12" x14ac:dyDescent="0.25">
      <c r="A1480">
        <v>1479</v>
      </c>
      <c r="B1480" s="3">
        <v>0.13062980670980304</v>
      </c>
      <c r="C1480" s="3">
        <v>7.4276961986600831E-2</v>
      </c>
      <c r="D1480" s="1">
        <v>159535.51359922779</v>
      </c>
      <c r="E1480" s="1">
        <v>5226866</v>
      </c>
      <c r="F1480" s="1">
        <v>25367022</v>
      </c>
      <c r="G1480" s="16">
        <v>17818.032877138969</v>
      </c>
      <c r="H1480">
        <v>53.95</v>
      </c>
      <c r="I1480" s="1">
        <v>166.51</v>
      </c>
      <c r="J1480" s="16">
        <v>177353.54647636676</v>
      </c>
      <c r="K1480" s="5">
        <v>0.11384424726474072</v>
      </c>
      <c r="L1480" s="10">
        <v>185782.6324</v>
      </c>
    </row>
    <row r="1481" spans="1:12" x14ac:dyDescent="0.25">
      <c r="A1481">
        <v>1480</v>
      </c>
      <c r="B1481" s="3">
        <v>0.24146642434975607</v>
      </c>
      <c r="C1481" s="3">
        <v>5.7051125794088345E-2</v>
      </c>
      <c r="D1481" s="1">
        <v>126315.72112399551</v>
      </c>
      <c r="E1481" s="1">
        <v>7141034</v>
      </c>
      <c r="F1481" s="1">
        <v>26677132</v>
      </c>
      <c r="G1481" s="16">
        <v>6130.0646074011484</v>
      </c>
      <c r="H1481">
        <v>36.72</v>
      </c>
      <c r="I1481" s="1">
        <v>169.09</v>
      </c>
      <c r="J1481" s="16">
        <v>132445.78573139667</v>
      </c>
      <c r="K1481" s="5">
        <v>0.16868724196467105</v>
      </c>
      <c r="L1481" s="10">
        <v>292095.65519999998</v>
      </c>
    </row>
    <row r="1482" spans="1:12" x14ac:dyDescent="0.25">
      <c r="A1482">
        <v>1481</v>
      </c>
      <c r="B1482" s="3">
        <v>0.10658249886867791</v>
      </c>
      <c r="C1482" s="3">
        <v>7.2307581817414396E-2</v>
      </c>
      <c r="D1482" s="1">
        <v>282199.21300094051</v>
      </c>
      <c r="E1482" s="1">
        <v>9278678</v>
      </c>
      <c r="F1482" s="1">
        <v>51375718</v>
      </c>
      <c r="G1482" s="16">
        <v>26551.262997493071</v>
      </c>
      <c r="H1482">
        <v>78.53</v>
      </c>
      <c r="I1482" s="1">
        <v>298.85000000000002</v>
      </c>
      <c r="J1482" s="16">
        <v>308750.4759984336</v>
      </c>
      <c r="K1482" s="5">
        <v>0.20286595587558764</v>
      </c>
      <c r="L1482" s="10">
        <v>637989.05279999995</v>
      </c>
    </row>
    <row r="1483" spans="1:12" x14ac:dyDescent="0.25">
      <c r="A1483">
        <v>1482</v>
      </c>
      <c r="B1483" s="3">
        <v>0.13341969981883917</v>
      </c>
      <c r="C1483" s="3">
        <v>5.8687168403051618E-2</v>
      </c>
      <c r="D1483" s="1">
        <v>194272.48518320135</v>
      </c>
      <c r="E1483" s="1">
        <v>6447318</v>
      </c>
      <c r="F1483" s="1">
        <v>37000229</v>
      </c>
      <c r="G1483" s="16">
        <v>30768.16866120062</v>
      </c>
      <c r="H1483">
        <v>109.4</v>
      </c>
      <c r="I1483" s="1">
        <v>290.62</v>
      </c>
      <c r="J1483" s="16">
        <v>225040.65384440197</v>
      </c>
      <c r="K1483" s="5">
        <v>3.8275158934648439E-2</v>
      </c>
      <c r="L1483" s="10">
        <v>158139.6623</v>
      </c>
    </row>
    <row r="1484" spans="1:12" x14ac:dyDescent="0.25">
      <c r="A1484">
        <v>1483</v>
      </c>
      <c r="B1484" s="3">
        <v>0.2142180134505621</v>
      </c>
      <c r="C1484" s="3">
        <v>6.6317726245846587E-2</v>
      </c>
      <c r="D1484" s="1">
        <v>70579.218280091736</v>
      </c>
      <c r="E1484" s="1">
        <v>3464746</v>
      </c>
      <c r="F1484" s="1">
        <v>24666223</v>
      </c>
      <c r="G1484" s="16">
        <v>49844.413750950262</v>
      </c>
      <c r="H1484">
        <v>515.91</v>
      </c>
      <c r="I1484" s="1">
        <v>1311.71</v>
      </c>
      <c r="J1484" s="16">
        <v>120423.632031042</v>
      </c>
      <c r="K1484" s="5">
        <v>0.11416624760040847</v>
      </c>
      <c r="L1484" s="10">
        <v>192032.82550000001</v>
      </c>
    </row>
    <row r="1485" spans="1:12" x14ac:dyDescent="0.25">
      <c r="A1485">
        <v>1484</v>
      </c>
      <c r="B1485" s="3">
        <v>0.14471199360147052</v>
      </c>
      <c r="C1485" s="3">
        <v>3.6408474604189021E-2</v>
      </c>
      <c r="D1485" s="1">
        <v>104477.38635106663</v>
      </c>
      <c r="E1485" s="1">
        <v>3125270</v>
      </c>
      <c r="F1485" s="1">
        <v>11602850</v>
      </c>
      <c r="G1485" s="16">
        <v>21517.105701098913</v>
      </c>
      <c r="H1485">
        <v>82.82</v>
      </c>
      <c r="I1485" s="1">
        <v>307.33999999999997</v>
      </c>
      <c r="J1485" s="16">
        <v>125994.49205216554</v>
      </c>
      <c r="K1485" s="5">
        <v>7.6645367274308471E-2</v>
      </c>
      <c r="L1485" s="10">
        <v>201376.13080000001</v>
      </c>
    </row>
    <row r="1486" spans="1:12" x14ac:dyDescent="0.25">
      <c r="A1486">
        <v>1485</v>
      </c>
      <c r="B1486" s="3">
        <v>0.21493495307650196</v>
      </c>
      <c r="C1486" s="3">
        <v>7.1402334539289194E-2</v>
      </c>
      <c r="D1486" s="1">
        <v>117322.53158507515</v>
      </c>
      <c r="E1486" s="1">
        <v>4538030</v>
      </c>
      <c r="F1486" s="1">
        <v>19970022</v>
      </c>
      <c r="G1486" s="16">
        <v>19776.172684895049</v>
      </c>
      <c r="H1486">
        <v>161.75</v>
      </c>
      <c r="I1486" s="1">
        <v>546.20000000000005</v>
      </c>
      <c r="J1486" s="16">
        <v>137098.70426997019</v>
      </c>
      <c r="K1486" s="5">
        <v>5.5426339349298366E-2</v>
      </c>
      <c r="L1486" s="10">
        <v>88985.657600000006</v>
      </c>
    </row>
    <row r="1487" spans="1:12" x14ac:dyDescent="0.25">
      <c r="A1487">
        <v>1486</v>
      </c>
      <c r="B1487" s="3">
        <v>0.11858433751223645</v>
      </c>
      <c r="C1487" s="3">
        <v>3.6915692906410447E-2</v>
      </c>
      <c r="D1487" s="1">
        <v>477849.72740024462</v>
      </c>
      <c r="E1487" s="1">
        <v>16810866</v>
      </c>
      <c r="F1487" s="1">
        <v>57102501</v>
      </c>
      <c r="G1487" s="16">
        <v>85541.464701508434</v>
      </c>
      <c r="H1487">
        <v>311.19</v>
      </c>
      <c r="I1487" s="1">
        <v>723.2</v>
      </c>
      <c r="J1487" s="16">
        <v>563391.19210175308</v>
      </c>
      <c r="K1487" s="5">
        <v>0.11086078217727974</v>
      </c>
      <c r="L1487" s="10">
        <v>1399213.547</v>
      </c>
    </row>
    <row r="1488" spans="1:12" x14ac:dyDescent="0.25">
      <c r="A1488">
        <v>1487</v>
      </c>
      <c r="B1488" s="3">
        <v>0.24334138982208162</v>
      </c>
      <c r="C1488" s="3">
        <v>2.0425449701558619E-2</v>
      </c>
      <c r="D1488" s="1">
        <v>61053.513202965871</v>
      </c>
      <c r="E1488" s="1">
        <v>2637632</v>
      </c>
      <c r="F1488" s="1">
        <v>15067765</v>
      </c>
      <c r="G1488" s="16">
        <v>15003.868221076642</v>
      </c>
      <c r="H1488">
        <v>158.80000000000001</v>
      </c>
      <c r="I1488" s="1">
        <v>432.04</v>
      </c>
      <c r="J1488" s="16">
        <v>76057.381424042513</v>
      </c>
      <c r="K1488" s="5">
        <v>0.16120727891209471</v>
      </c>
      <c r="L1488" s="10">
        <v>534491.63780000003</v>
      </c>
    </row>
    <row r="1489" spans="1:12" x14ac:dyDescent="0.25">
      <c r="A1489">
        <v>1488</v>
      </c>
      <c r="B1489" s="3">
        <v>0.11844353772171612</v>
      </c>
      <c r="C1489" s="3">
        <v>2.126918872979093E-2</v>
      </c>
      <c r="D1489" s="1">
        <v>148451.42350831808</v>
      </c>
      <c r="E1489" s="1">
        <v>4600306</v>
      </c>
      <c r="F1489" s="1">
        <v>24410347</v>
      </c>
      <c r="G1489" s="16">
        <v>52037.000309189076</v>
      </c>
      <c r="H1489">
        <v>189</v>
      </c>
      <c r="I1489" s="1">
        <v>546.02</v>
      </c>
      <c r="J1489" s="16">
        <v>200488.42381750717</v>
      </c>
      <c r="K1489" s="5">
        <v>-3.5564428380694901E-2</v>
      </c>
      <c r="L1489" s="10">
        <v>-271859.1152</v>
      </c>
    </row>
    <row r="1490" spans="1:12" x14ac:dyDescent="0.25">
      <c r="A1490">
        <v>1489</v>
      </c>
      <c r="B1490" s="3">
        <v>0.24127033342278037</v>
      </c>
      <c r="C1490" s="3">
        <v>2.9561500173220609E-2</v>
      </c>
      <c r="D1490" s="1">
        <v>154883.06667305762</v>
      </c>
      <c r="E1490" s="1">
        <v>8746988</v>
      </c>
      <c r="F1490" s="1">
        <v>35027467</v>
      </c>
      <c r="G1490" s="16">
        <v>12446.149481790326</v>
      </c>
      <c r="H1490">
        <v>129.15</v>
      </c>
      <c r="I1490" s="1">
        <v>414.74</v>
      </c>
      <c r="J1490" s="16">
        <v>167329.21615484793</v>
      </c>
      <c r="K1490" s="5">
        <v>0.11680295339659752</v>
      </c>
      <c r="L1490" s="10">
        <v>547647.76049999997</v>
      </c>
    </row>
    <row r="1491" spans="1:12" x14ac:dyDescent="0.25">
      <c r="A1491">
        <v>1490</v>
      </c>
      <c r="B1491" s="3">
        <v>0.11801312874935871</v>
      </c>
      <c r="C1491" s="3">
        <v>7.6870412424960372E-2</v>
      </c>
      <c r="D1491" s="1">
        <v>92362.825178999614</v>
      </c>
      <c r="E1491" s="1">
        <v>2519493</v>
      </c>
      <c r="F1491" s="1">
        <v>16983584</v>
      </c>
      <c r="G1491" s="16">
        <v>47823.37189458275</v>
      </c>
      <c r="H1491">
        <v>173.65</v>
      </c>
      <c r="I1491" s="1">
        <v>473.95999999999992</v>
      </c>
      <c r="J1491" s="16">
        <v>140186.19707358236</v>
      </c>
      <c r="K1491" s="5">
        <v>0.15491389951600409</v>
      </c>
      <c r="L1491" s="10">
        <v>190304.8493</v>
      </c>
    </row>
    <row r="1492" spans="1:12" x14ac:dyDescent="0.25">
      <c r="A1492">
        <v>1491</v>
      </c>
      <c r="B1492" s="3">
        <v>0.15116626990393914</v>
      </c>
      <c r="C1492" s="3">
        <v>5.6460164811082028E-2</v>
      </c>
      <c r="D1492" s="1">
        <v>192583.36831577314</v>
      </c>
      <c r="E1492" s="1">
        <v>6942737</v>
      </c>
      <c r="F1492" s="1">
        <v>42886987</v>
      </c>
      <c r="G1492" s="16">
        <v>21836.166467162839</v>
      </c>
      <c r="H1492">
        <v>87.98</v>
      </c>
      <c r="I1492" s="1">
        <v>255.09000000000003</v>
      </c>
      <c r="J1492" s="16">
        <v>214419.53478293598</v>
      </c>
      <c r="K1492" s="5">
        <v>5.1715697506991593E-2</v>
      </c>
      <c r="L1492" s="10">
        <v>141585.91080000001</v>
      </c>
    </row>
    <row r="1493" spans="1:12" x14ac:dyDescent="0.25">
      <c r="A1493">
        <v>1492</v>
      </c>
      <c r="B1493" s="3">
        <v>0.12607249758117767</v>
      </c>
      <c r="C1493" s="3">
        <v>3.8767557038175041E-2</v>
      </c>
      <c r="D1493" s="1">
        <v>114145.05648841428</v>
      </c>
      <c r="E1493" s="1">
        <v>3200621</v>
      </c>
      <c r="F1493" s="1">
        <v>12643140</v>
      </c>
      <c r="G1493" s="16">
        <v>46426.818138917013</v>
      </c>
      <c r="H1493">
        <v>179.49</v>
      </c>
      <c r="I1493" s="1">
        <v>604</v>
      </c>
      <c r="J1493" s="16">
        <v>160571.8746273313</v>
      </c>
      <c r="K1493" s="5">
        <v>5.1314905099891818E-2</v>
      </c>
      <c r="L1493" s="10">
        <v>178886.44390000001</v>
      </c>
    </row>
    <row r="1494" spans="1:12" x14ac:dyDescent="0.25">
      <c r="A1494">
        <v>1493</v>
      </c>
      <c r="B1494" s="3">
        <v>0.10334583999637853</v>
      </c>
      <c r="C1494" s="3">
        <v>4.0978408717953815E-2</v>
      </c>
      <c r="D1494" s="1">
        <v>146227.01396127284</v>
      </c>
      <c r="E1494" s="1">
        <v>3796256</v>
      </c>
      <c r="F1494" s="1">
        <v>18013176</v>
      </c>
      <c r="G1494" s="16">
        <v>59578.873765644865</v>
      </c>
      <c r="H1494">
        <v>192.47</v>
      </c>
      <c r="I1494" s="1">
        <v>620.87</v>
      </c>
      <c r="J1494" s="16">
        <v>205805.88772691769</v>
      </c>
      <c r="K1494" s="5">
        <v>0.1197405338571062</v>
      </c>
      <c r="L1494" s="10">
        <v>470450.46779999998</v>
      </c>
    </row>
    <row r="1495" spans="1:12" x14ac:dyDescent="0.25">
      <c r="A1495">
        <v>1494</v>
      </c>
      <c r="B1495" s="3">
        <v>0.14390573514313293</v>
      </c>
      <c r="C1495" s="3">
        <v>3.8053466366705146E-2</v>
      </c>
      <c r="D1495" s="1">
        <v>365487.30080465943</v>
      </c>
      <c r="E1495" s="1">
        <v>14875359</v>
      </c>
      <c r="F1495" s="1">
        <v>47022531</v>
      </c>
      <c r="G1495" s="16">
        <v>55630.661792259059</v>
      </c>
      <c r="H1495">
        <v>290.20999999999998</v>
      </c>
      <c r="I1495" s="1">
        <v>784.31999999999994</v>
      </c>
      <c r="J1495" s="16">
        <v>421117.96259691851</v>
      </c>
      <c r="K1495" s="5">
        <v>0.16666746699420776</v>
      </c>
      <c r="L1495" s="10">
        <v>1424688.2191000001</v>
      </c>
    </row>
    <row r="1496" spans="1:12" x14ac:dyDescent="0.25">
      <c r="A1496">
        <v>1495</v>
      </c>
      <c r="B1496" s="3">
        <v>0.11526904167562316</v>
      </c>
      <c r="C1496" s="3">
        <v>4.6946299726935425E-2</v>
      </c>
      <c r="D1496" s="1">
        <v>237462.3109888066</v>
      </c>
      <c r="E1496" s="1">
        <v>7253588</v>
      </c>
      <c r="F1496" s="1">
        <v>25357214</v>
      </c>
      <c r="G1496" s="16">
        <v>26913.4271980103</v>
      </c>
      <c r="H1496">
        <v>84.51</v>
      </c>
      <c r="I1496" s="1">
        <v>301.95</v>
      </c>
      <c r="J1496" s="16">
        <v>264375.73818681692</v>
      </c>
      <c r="K1496" s="5">
        <v>0.16688378714901175</v>
      </c>
      <c r="L1496" s="10">
        <v>714891.35470000003</v>
      </c>
    </row>
    <row r="1497" spans="1:12" x14ac:dyDescent="0.25">
      <c r="A1497">
        <v>1496</v>
      </c>
      <c r="B1497" s="3">
        <v>0.19906578660315888</v>
      </c>
      <c r="C1497" s="3">
        <v>6.667926108065679E-2</v>
      </c>
      <c r="D1497" s="1">
        <v>84329.372363449409</v>
      </c>
      <c r="E1497" s="1">
        <v>3071788</v>
      </c>
      <c r="F1497" s="1">
        <v>21319840</v>
      </c>
      <c r="G1497" s="16">
        <v>35277.386205313946</v>
      </c>
      <c r="H1497">
        <v>313.32</v>
      </c>
      <c r="I1497" s="1">
        <v>866.42000000000007</v>
      </c>
      <c r="J1497" s="16">
        <v>119606.75856876335</v>
      </c>
      <c r="K1497" s="5">
        <v>0.10934428845576488</v>
      </c>
      <c r="L1497" s="10">
        <v>150129.90220000001</v>
      </c>
    </row>
    <row r="1498" spans="1:12" x14ac:dyDescent="0.25">
      <c r="A1498">
        <v>1497</v>
      </c>
      <c r="B1498" s="3">
        <v>0.19728174808099436</v>
      </c>
      <c r="C1498" s="3">
        <v>7.1761361188322825E-2</v>
      </c>
      <c r="D1498" s="1">
        <v>109997.71523087742</v>
      </c>
      <c r="E1498" s="1">
        <v>4958315</v>
      </c>
      <c r="F1498" s="1">
        <v>29367247</v>
      </c>
      <c r="G1498" s="16">
        <v>39817.948973850449</v>
      </c>
      <c r="H1498">
        <v>348.07</v>
      </c>
      <c r="I1498" s="1">
        <v>780.97</v>
      </c>
      <c r="J1498" s="16">
        <v>149815.66420472786</v>
      </c>
      <c r="K1498" s="5">
        <v>0.16428704002554392</v>
      </c>
      <c r="L1498" s="10">
        <v>238122.29860000001</v>
      </c>
    </row>
    <row r="1499" spans="1:12" x14ac:dyDescent="0.25">
      <c r="A1499">
        <v>1498</v>
      </c>
      <c r="B1499" s="3">
        <v>0.19857642794482516</v>
      </c>
      <c r="C1499" s="3">
        <v>7.6440817798215835E-2</v>
      </c>
      <c r="D1499" s="1">
        <v>17078.526725769461</v>
      </c>
      <c r="E1499" s="1">
        <v>497656</v>
      </c>
      <c r="F1499" s="1">
        <v>5470245</v>
      </c>
      <c r="G1499" s="16">
        <v>19992.313187422144</v>
      </c>
      <c r="H1499">
        <v>141.59</v>
      </c>
      <c r="I1499" s="1">
        <v>455.95000000000005</v>
      </c>
      <c r="J1499" s="16">
        <v>37070.839913191609</v>
      </c>
      <c r="K1499" s="5">
        <v>7.4397536826694088E-2</v>
      </c>
      <c r="L1499" s="10">
        <v>36002.073100000001</v>
      </c>
    </row>
    <row r="1500" spans="1:12" x14ac:dyDescent="0.25">
      <c r="A1500">
        <v>1499</v>
      </c>
      <c r="B1500" s="3">
        <v>0.10138533530342038</v>
      </c>
      <c r="C1500" s="3">
        <v>4.7590029770457724E-2</v>
      </c>
      <c r="D1500" s="1">
        <v>199215.2901223377</v>
      </c>
      <c r="E1500" s="1">
        <v>5717832</v>
      </c>
      <c r="F1500" s="1">
        <v>27529577</v>
      </c>
      <c r="G1500" s="16">
        <v>65984.170828848815</v>
      </c>
      <c r="H1500">
        <v>209.8</v>
      </c>
      <c r="I1500" s="1">
        <v>527.93000000000006</v>
      </c>
      <c r="J1500" s="16">
        <v>265199.46095118648</v>
      </c>
      <c r="K1500" s="5">
        <v>4.2561792858340011E-2</v>
      </c>
      <c r="L1500" s="10">
        <v>203336.2562</v>
      </c>
    </row>
    <row r="1501" spans="1:12" x14ac:dyDescent="0.25">
      <c r="A1501">
        <v>1500</v>
      </c>
      <c r="B1501" s="3">
        <v>0.18731664032237239</v>
      </c>
      <c r="C1501" s="3">
        <v>3.2604927116250716E-2</v>
      </c>
      <c r="D1501" s="1">
        <v>86496.858868075709</v>
      </c>
      <c r="E1501" s="1">
        <v>3711222</v>
      </c>
      <c r="F1501" s="1">
        <v>22176000</v>
      </c>
      <c r="G1501" s="16">
        <v>40555.537118405009</v>
      </c>
      <c r="H1501">
        <v>260.58999999999997</v>
      </c>
      <c r="I1501" s="1">
        <v>580.03</v>
      </c>
      <c r="J1501" s="16">
        <v>127052.39598648073</v>
      </c>
      <c r="K1501" s="5">
        <v>5.7540324836195492E-2</v>
      </c>
      <c r="L1501" s="10">
        <v>200129.61480000001</v>
      </c>
    </row>
    <row r="1502" spans="1:12" x14ac:dyDescent="0.25">
      <c r="A1502">
        <v>1501</v>
      </c>
      <c r="B1502" s="3">
        <v>0.1292646788528754</v>
      </c>
      <c r="C1502" s="3">
        <v>6.8553408237568725E-2</v>
      </c>
      <c r="D1502" s="1">
        <v>163048.05573642373</v>
      </c>
      <c r="E1502" s="1">
        <v>4622320</v>
      </c>
      <c r="F1502" s="1">
        <v>18961118</v>
      </c>
      <c r="G1502" s="16">
        <v>41933.655016247933</v>
      </c>
      <c r="H1502">
        <v>144.78</v>
      </c>
      <c r="I1502" s="1">
        <v>382.76</v>
      </c>
      <c r="J1502" s="16">
        <v>204981.71075267167</v>
      </c>
      <c r="K1502" s="5">
        <v>0.12499155774737328</v>
      </c>
      <c r="L1502" s="10">
        <v>265952.99420000002</v>
      </c>
    </row>
    <row r="1503" spans="1:12" x14ac:dyDescent="0.25">
      <c r="A1503">
        <v>1502</v>
      </c>
      <c r="B1503" s="3">
        <v>0.15614948482112453</v>
      </c>
      <c r="C1503" s="3">
        <v>6.1666472662219765E-2</v>
      </c>
      <c r="D1503" s="1">
        <v>152490.47284917164</v>
      </c>
      <c r="E1503" s="1">
        <v>5628380</v>
      </c>
      <c r="F1503" s="1">
        <v>24699642</v>
      </c>
      <c r="G1503" s="16">
        <v>33293.933216519748</v>
      </c>
      <c r="H1503">
        <v>164.32</v>
      </c>
      <c r="I1503" s="1">
        <v>561.30999999999995</v>
      </c>
      <c r="J1503" s="16">
        <v>185784.40606569138</v>
      </c>
      <c r="K1503" s="5">
        <v>-0.1235891684610871</v>
      </c>
      <c r="L1503" s="10">
        <v>-230339.6281</v>
      </c>
    </row>
    <row r="1504" spans="1:12" x14ac:dyDescent="0.25">
      <c r="A1504">
        <v>1503</v>
      </c>
      <c r="B1504" s="3">
        <v>0.17125884184326007</v>
      </c>
      <c r="C1504" s="3">
        <v>7.9559148346584674E-2</v>
      </c>
      <c r="D1504" s="1">
        <v>155523.10950244809</v>
      </c>
      <c r="E1504" s="1">
        <v>6170516</v>
      </c>
      <c r="F1504" s="1">
        <v>23277696</v>
      </c>
      <c r="G1504" s="16">
        <v>25664.401751840083</v>
      </c>
      <c r="H1504">
        <v>143.83000000000001</v>
      </c>
      <c r="I1504" s="1">
        <v>448.47</v>
      </c>
      <c r="J1504" s="16">
        <v>181187.51125428817</v>
      </c>
      <c r="K1504" s="5">
        <v>0.10261601547277592</v>
      </c>
      <c r="L1504" s="10">
        <v>151038.82769999999</v>
      </c>
    </row>
    <row r="1505" spans="1:12" x14ac:dyDescent="0.25">
      <c r="A1505">
        <v>1504</v>
      </c>
      <c r="B1505" s="3">
        <v>0.20226341524657637</v>
      </c>
      <c r="C1505" s="3">
        <v>3.6623703351472997E-2</v>
      </c>
      <c r="D1505" s="1">
        <v>70434.045847360641</v>
      </c>
      <c r="E1505" s="1">
        <v>2596609</v>
      </c>
      <c r="F1505" s="1">
        <v>16448821</v>
      </c>
      <c r="G1505" s="16">
        <v>45122.417946123547</v>
      </c>
      <c r="H1505">
        <v>414.51</v>
      </c>
      <c r="I1505" s="1">
        <v>986.25</v>
      </c>
      <c r="J1505" s="16">
        <v>115556.46379348419</v>
      </c>
      <c r="K1505" s="5">
        <v>5.3921113150491855E-2</v>
      </c>
      <c r="L1505" s="10">
        <v>146142.2886</v>
      </c>
    </row>
    <row r="1506" spans="1:12" x14ac:dyDescent="0.25">
      <c r="A1506">
        <v>1505</v>
      </c>
      <c r="B1506" s="3">
        <v>0.22720600163994192</v>
      </c>
      <c r="C1506" s="3">
        <v>5.9968034879150339E-2</v>
      </c>
      <c r="D1506" s="1">
        <v>43039.123553022029</v>
      </c>
      <c r="E1506" s="1">
        <v>1348768</v>
      </c>
      <c r="F1506" s="1">
        <v>8714385</v>
      </c>
      <c r="G1506" s="16">
        <v>11142.804419292675</v>
      </c>
      <c r="H1506">
        <v>78.69</v>
      </c>
      <c r="I1506" s="1">
        <v>248.57999999999998</v>
      </c>
      <c r="J1506" s="16">
        <v>54181.927972314705</v>
      </c>
      <c r="K1506" s="5">
        <v>8.7903596495164604E-2</v>
      </c>
      <c r="L1506" s="10">
        <v>61191.370799999997</v>
      </c>
    </row>
    <row r="1507" spans="1:12" x14ac:dyDescent="0.25">
      <c r="A1507">
        <v>1506</v>
      </c>
      <c r="B1507" s="3">
        <v>0.10208962057714784</v>
      </c>
      <c r="C1507" s="3">
        <v>4.6965124505822471E-2</v>
      </c>
      <c r="D1507" s="1">
        <v>30042.500016443904</v>
      </c>
      <c r="E1507" s="1">
        <v>697386</v>
      </c>
      <c r="F1507" s="1">
        <v>6568435</v>
      </c>
      <c r="G1507" s="16">
        <v>74046.732688989941</v>
      </c>
      <c r="H1507">
        <v>263.51</v>
      </c>
      <c r="I1507" s="1">
        <v>768.31999999999994</v>
      </c>
      <c r="J1507" s="16">
        <v>104089.23270543385</v>
      </c>
      <c r="K1507" s="5">
        <v>-4.4236643078324048E-2</v>
      </c>
      <c r="L1507" s="10">
        <v>-55061.507299999997</v>
      </c>
    </row>
    <row r="1508" spans="1:12" x14ac:dyDescent="0.25">
      <c r="A1508">
        <v>1507</v>
      </c>
      <c r="B1508" s="3">
        <v>0.22791941983780975</v>
      </c>
      <c r="C1508" s="3">
        <v>6.6822993042754297E-2</v>
      </c>
      <c r="D1508" s="1">
        <v>126906.56270533327</v>
      </c>
      <c r="E1508" s="1">
        <v>6683995</v>
      </c>
      <c r="F1508" s="1">
        <v>24900782</v>
      </c>
      <c r="G1508" s="16">
        <v>5911.5984793367061</v>
      </c>
      <c r="H1508">
        <v>32.33</v>
      </c>
      <c r="I1508" s="1">
        <v>130.44</v>
      </c>
      <c r="J1508" s="16">
        <v>132818.16118466997</v>
      </c>
      <c r="K1508" s="5">
        <v>6.7191874840687088E-2</v>
      </c>
      <c r="L1508" s="10">
        <v>105081.3475</v>
      </c>
    </row>
    <row r="1509" spans="1:12" x14ac:dyDescent="0.25">
      <c r="A1509">
        <v>1508</v>
      </c>
      <c r="B1509" s="3">
        <v>0.14098064554893469</v>
      </c>
      <c r="C1509" s="3">
        <v>5.9181013808542876E-2</v>
      </c>
      <c r="D1509" s="1">
        <v>270430.92523364141</v>
      </c>
      <c r="E1509" s="1">
        <v>9294947</v>
      </c>
      <c r="F1509" s="1">
        <v>38333989</v>
      </c>
      <c r="G1509" s="16">
        <v>46895.253580852208</v>
      </c>
      <c r="H1509">
        <v>204.37</v>
      </c>
      <c r="I1509" s="1">
        <v>664.81</v>
      </c>
      <c r="J1509" s="16">
        <v>317326.17881449359</v>
      </c>
      <c r="K1509" s="5">
        <v>3.2898415483991687E-2</v>
      </c>
      <c r="L1509" s="10">
        <v>177493.18489999999</v>
      </c>
    </row>
    <row r="1510" spans="1:12" x14ac:dyDescent="0.25">
      <c r="A1510">
        <v>1509</v>
      </c>
      <c r="B1510" s="3">
        <v>0.19730703281999534</v>
      </c>
      <c r="C1510" s="3">
        <v>2.4504511295114544E-2</v>
      </c>
      <c r="D1510" s="1">
        <v>70363.04334413544</v>
      </c>
      <c r="E1510" s="1">
        <v>2546237</v>
      </c>
      <c r="F1510" s="1">
        <v>16408334</v>
      </c>
      <c r="G1510" s="16">
        <v>17268.552391173991</v>
      </c>
      <c r="H1510">
        <v>97.25</v>
      </c>
      <c r="I1510" s="1">
        <v>354.40000000000003</v>
      </c>
      <c r="J1510" s="16">
        <v>87631.595735309427</v>
      </c>
      <c r="K1510" s="5">
        <v>0.21034378888525673</v>
      </c>
      <c r="L1510" s="10">
        <v>680487.52709999995</v>
      </c>
    </row>
    <row r="1511" spans="1:12" x14ac:dyDescent="0.25">
      <c r="A1511">
        <v>1510</v>
      </c>
      <c r="B1511" s="3">
        <v>0.21575556114056288</v>
      </c>
      <c r="C1511" s="3">
        <v>6.6469690569329387E-2</v>
      </c>
      <c r="D1511" s="1">
        <v>41406.624506471686</v>
      </c>
      <c r="E1511" s="1">
        <v>1606636</v>
      </c>
      <c r="F1511" s="1">
        <v>10771269</v>
      </c>
      <c r="G1511" s="16">
        <v>27181.715988211974</v>
      </c>
      <c r="H1511">
        <v>224.18</v>
      </c>
      <c r="I1511" s="1">
        <v>716.91000000000008</v>
      </c>
      <c r="J1511" s="16">
        <v>68588.340494683653</v>
      </c>
      <c r="K1511" s="5">
        <v>0.11753415717289062</v>
      </c>
      <c r="L1511" s="10">
        <v>96737.2111</v>
      </c>
    </row>
    <row r="1512" spans="1:12" x14ac:dyDescent="0.25">
      <c r="A1512">
        <v>1511</v>
      </c>
      <c r="B1512" s="3">
        <v>0.14647811524752355</v>
      </c>
      <c r="C1512" s="3">
        <v>7.8088615048644686E-2</v>
      </c>
      <c r="D1512" s="1">
        <v>171747.51753133658</v>
      </c>
      <c r="E1512" s="1">
        <v>6056674</v>
      </c>
      <c r="F1512" s="1">
        <v>35875212</v>
      </c>
      <c r="G1512" s="16">
        <v>51888.645601569937</v>
      </c>
      <c r="H1512">
        <v>237.08</v>
      </c>
      <c r="I1512" s="1">
        <v>570.62</v>
      </c>
      <c r="J1512" s="16">
        <v>223636.16313290651</v>
      </c>
      <c r="K1512" s="5">
        <v>0.15083246996938504</v>
      </c>
      <c r="L1512" s="10">
        <v>310576.74550000002</v>
      </c>
    </row>
    <row r="1513" spans="1:12" x14ac:dyDescent="0.25">
      <c r="A1513">
        <v>1512</v>
      </c>
      <c r="B1513" s="3">
        <v>0.17493716045223195</v>
      </c>
      <c r="C1513" s="3">
        <v>3.2515595907258249E-2</v>
      </c>
      <c r="D1513" s="1">
        <v>171313.84435608721</v>
      </c>
      <c r="E1513" s="1">
        <v>6919061</v>
      </c>
      <c r="F1513" s="1">
        <v>34073060</v>
      </c>
      <c r="G1513" s="16">
        <v>16806.794053443969</v>
      </c>
      <c r="H1513">
        <v>80.19</v>
      </c>
      <c r="I1513" s="1">
        <v>266.77</v>
      </c>
      <c r="J1513" s="16">
        <v>188120.63840953118</v>
      </c>
      <c r="K1513" s="5">
        <v>0.14594825141993317</v>
      </c>
      <c r="L1513" s="10">
        <v>691330.35600000003</v>
      </c>
    </row>
    <row r="1514" spans="1:12" x14ac:dyDescent="0.25">
      <c r="A1514">
        <v>1513</v>
      </c>
      <c r="B1514" s="3">
        <v>0.13846102863270149</v>
      </c>
      <c r="C1514" s="3">
        <v>2.2598423720853317E-2</v>
      </c>
      <c r="D1514" s="1">
        <v>101745.20064689596</v>
      </c>
      <c r="E1514" s="1">
        <v>3456345</v>
      </c>
      <c r="F1514" s="1">
        <v>21944193</v>
      </c>
      <c r="G1514" s="16">
        <v>25703.559818580605</v>
      </c>
      <c r="H1514">
        <v>109.72</v>
      </c>
      <c r="I1514" s="1">
        <v>409.32000000000005</v>
      </c>
      <c r="J1514" s="16">
        <v>127448.76046547656</v>
      </c>
      <c r="K1514" s="5">
        <v>0.10020050525988745</v>
      </c>
      <c r="L1514" s="10">
        <v>552641.01729999995</v>
      </c>
    </row>
    <row r="1515" spans="1:12" x14ac:dyDescent="0.25">
      <c r="A1515">
        <v>1514</v>
      </c>
      <c r="B1515" s="3">
        <v>0.23368144018534387</v>
      </c>
      <c r="C1515" s="3">
        <v>4.7093846692736863E-2</v>
      </c>
      <c r="D1515" s="1">
        <v>194403.04729178379</v>
      </c>
      <c r="E1515" s="1">
        <v>13767627</v>
      </c>
      <c r="F1515" s="1">
        <v>51795040</v>
      </c>
      <c r="G1515" s="16">
        <v>13372.630958898915</v>
      </c>
      <c r="H1515">
        <v>99.32</v>
      </c>
      <c r="I1515" s="1">
        <v>362.07</v>
      </c>
      <c r="J1515" s="16">
        <v>207775.67825068271</v>
      </c>
      <c r="K1515" s="5">
        <v>0.13189146129021029</v>
      </c>
      <c r="L1515" s="10">
        <v>488567.02049999998</v>
      </c>
    </row>
    <row r="1516" spans="1:12" x14ac:dyDescent="0.25">
      <c r="A1516">
        <v>1515</v>
      </c>
      <c r="B1516" s="3">
        <v>0.10650096299081499</v>
      </c>
      <c r="C1516" s="3">
        <v>3.4560674717182452E-2</v>
      </c>
      <c r="D1516" s="1">
        <v>458490.19259159832</v>
      </c>
      <c r="E1516" s="1">
        <v>13463462</v>
      </c>
      <c r="F1516" s="1">
        <v>39071779</v>
      </c>
      <c r="G1516" s="16">
        <v>22196.515783285282</v>
      </c>
      <c r="H1516">
        <v>65.599999999999994</v>
      </c>
      <c r="I1516" s="1">
        <v>280.67999999999995</v>
      </c>
      <c r="J1516" s="16">
        <v>480686.70837488357</v>
      </c>
      <c r="K1516" s="5">
        <v>2.5969026399669446E-2</v>
      </c>
      <c r="L1516" s="10">
        <v>303890.61410000001</v>
      </c>
    </row>
    <row r="1517" spans="1:12" x14ac:dyDescent="0.25">
      <c r="A1517">
        <v>1516</v>
      </c>
      <c r="B1517" s="3">
        <v>0.14673862349838737</v>
      </c>
      <c r="C1517" s="3">
        <v>5.3699053018418985E-2</v>
      </c>
      <c r="D1517" s="1">
        <v>768132.58001718833</v>
      </c>
      <c r="E1517" s="1">
        <v>37251713</v>
      </c>
      <c r="F1517" s="1">
        <v>94705185</v>
      </c>
      <c r="G1517" s="16">
        <v>64475.45729701528</v>
      </c>
      <c r="H1517">
        <v>345.03</v>
      </c>
      <c r="I1517" s="1">
        <v>775.07999999999993</v>
      </c>
      <c r="J1517" s="16">
        <v>832608.03731420357</v>
      </c>
      <c r="K1517" s="5">
        <v>0.18941067219818095</v>
      </c>
      <c r="L1517" s="10">
        <v>2022982.8711000001</v>
      </c>
    </row>
    <row r="1518" spans="1:12" x14ac:dyDescent="0.25">
      <c r="A1518">
        <v>1517</v>
      </c>
      <c r="B1518" s="3">
        <v>0.22165939477988983</v>
      </c>
      <c r="C1518" s="3">
        <v>5.3414181830919352E-2</v>
      </c>
      <c r="D1518" s="1">
        <v>154903.93755642956</v>
      </c>
      <c r="E1518" s="1">
        <v>7899269</v>
      </c>
      <c r="F1518" s="1">
        <v>30606312</v>
      </c>
      <c r="G1518" s="16">
        <v>14344.524003059041</v>
      </c>
      <c r="H1518">
        <v>124.72</v>
      </c>
      <c r="I1518" s="1">
        <v>399.92000000000007</v>
      </c>
      <c r="J1518" s="16">
        <v>169248.46155948861</v>
      </c>
      <c r="K1518" s="5">
        <v>-2.1188361275604913E-2</v>
      </c>
      <c r="L1518" s="10">
        <v>-25763.0913</v>
      </c>
    </row>
    <row r="1519" spans="1:12" x14ac:dyDescent="0.25">
      <c r="A1519">
        <v>1518</v>
      </c>
      <c r="B1519" s="3">
        <v>0.10111703918216403</v>
      </c>
      <c r="C1519" s="3">
        <v>5.2853572906383525E-2</v>
      </c>
      <c r="D1519" s="1">
        <v>259555.3488484573</v>
      </c>
      <c r="E1519" s="1">
        <v>7440800</v>
      </c>
      <c r="F1519" s="1">
        <v>25911659</v>
      </c>
      <c r="G1519" s="16">
        <v>45252.323035905967</v>
      </c>
      <c r="H1519">
        <v>129.03</v>
      </c>
      <c r="I1519" s="1">
        <v>378.8</v>
      </c>
      <c r="J1519" s="16">
        <v>304807.67188436328</v>
      </c>
      <c r="K1519" s="5">
        <v>0.29762681593658719</v>
      </c>
      <c r="L1519" s="10">
        <v>1222353.5763000001</v>
      </c>
    </row>
    <row r="1520" spans="1:12" x14ac:dyDescent="0.25">
      <c r="A1520">
        <v>1519</v>
      </c>
      <c r="B1520" s="3">
        <v>0.13479397201991269</v>
      </c>
      <c r="C1520" s="3">
        <v>4.7624603087907419E-2</v>
      </c>
      <c r="D1520" s="1">
        <v>203568.09582913783</v>
      </c>
      <c r="E1520" s="1">
        <v>6798829</v>
      </c>
      <c r="F1520" s="1">
        <v>29629379</v>
      </c>
      <c r="G1520" s="16">
        <v>44540.095815082743</v>
      </c>
      <c r="H1520">
        <v>184.79</v>
      </c>
      <c r="I1520" s="1">
        <v>547.11</v>
      </c>
      <c r="J1520" s="16">
        <v>248108.19164422058</v>
      </c>
      <c r="K1520" s="5">
        <v>0.19574614976089905</v>
      </c>
      <c r="L1520" s="10">
        <v>773339.96120000002</v>
      </c>
    </row>
    <row r="1521" spans="1:12" x14ac:dyDescent="0.25">
      <c r="A1521">
        <v>1520</v>
      </c>
      <c r="B1521" s="3">
        <v>0.19126970911315666</v>
      </c>
      <c r="C1521" s="3">
        <v>6.0614193798126922E-2</v>
      </c>
      <c r="D1521" s="1">
        <v>113471.87288913059</v>
      </c>
      <c r="E1521" s="1">
        <v>4964507</v>
      </c>
      <c r="F1521" s="1">
        <v>23001745</v>
      </c>
      <c r="G1521" s="16">
        <v>18166.524598400025</v>
      </c>
      <c r="H1521">
        <v>120.95</v>
      </c>
      <c r="I1521" s="1">
        <v>503.94</v>
      </c>
      <c r="J1521" s="16">
        <v>131638.39748753063</v>
      </c>
      <c r="K1521" s="5">
        <v>0.20283655140901022</v>
      </c>
      <c r="L1521" s="10">
        <v>349130.09830000001</v>
      </c>
    </row>
    <row r="1522" spans="1:12" x14ac:dyDescent="0.25">
      <c r="A1522">
        <v>1521</v>
      </c>
      <c r="B1522" s="3">
        <v>0.2278752189921153</v>
      </c>
      <c r="C1522" s="3">
        <v>3.1869795650080898E-2</v>
      </c>
      <c r="D1522" s="1">
        <v>88060.372967161151</v>
      </c>
      <c r="E1522" s="1">
        <v>4636959</v>
      </c>
      <c r="F1522" s="1">
        <v>23066880</v>
      </c>
      <c r="G1522" s="16">
        <v>14440.874742173008</v>
      </c>
      <c r="H1522">
        <v>102.3</v>
      </c>
      <c r="I1522" s="1">
        <v>273.26</v>
      </c>
      <c r="J1522" s="16">
        <v>102501.24770933416</v>
      </c>
      <c r="K1522" s="5">
        <v>2.5967039239664307E-2</v>
      </c>
      <c r="L1522" s="10">
        <v>91868.843999999997</v>
      </c>
    </row>
    <row r="1523" spans="1:12" x14ac:dyDescent="0.25">
      <c r="A1523">
        <v>1522</v>
      </c>
      <c r="B1523" s="3">
        <v>0.18655378590967187</v>
      </c>
      <c r="C1523" s="3">
        <v>3.7587533195557604E-2</v>
      </c>
      <c r="D1523" s="1">
        <v>123944.69167038539</v>
      </c>
      <c r="E1523" s="1">
        <v>5298047</v>
      </c>
      <c r="F1523" s="1">
        <v>26896330</v>
      </c>
      <c r="G1523" s="16">
        <v>23640.94822420305</v>
      </c>
      <c r="H1523">
        <v>150.74</v>
      </c>
      <c r="I1523" s="1">
        <v>477.58</v>
      </c>
      <c r="J1523" s="16">
        <v>147585.63989458844</v>
      </c>
      <c r="K1523" s="5">
        <v>0.25133733225568849</v>
      </c>
      <c r="L1523" s="10">
        <v>833657.19750000001</v>
      </c>
    </row>
    <row r="1524" spans="1:12" x14ac:dyDescent="0.25">
      <c r="A1524">
        <v>1523</v>
      </c>
      <c r="B1524" s="3">
        <v>0.1659528012444238</v>
      </c>
      <c r="C1524" s="3">
        <v>2.0033961052870548E-2</v>
      </c>
      <c r="D1524" s="1">
        <v>94271.45773391836</v>
      </c>
      <c r="E1524" s="1">
        <v>3040962</v>
      </c>
      <c r="F1524" s="1">
        <v>19163999</v>
      </c>
      <c r="G1524" s="16">
        <v>96357.665107846129</v>
      </c>
      <c r="H1524">
        <v>741.66</v>
      </c>
      <c r="I1524" s="1">
        <v>1745.04</v>
      </c>
      <c r="J1524" s="16">
        <v>190629.12284176447</v>
      </c>
      <c r="K1524" s="5">
        <v>0.26740594320870359</v>
      </c>
      <c r="L1524" s="10">
        <v>2243646.6107000001</v>
      </c>
    </row>
    <row r="1525" spans="1:12" x14ac:dyDescent="0.25">
      <c r="A1525">
        <v>1524</v>
      </c>
      <c r="B1525" s="3">
        <v>0.14624697298656014</v>
      </c>
      <c r="C1525" s="3">
        <v>5.1312231350942802E-2</v>
      </c>
      <c r="D1525" s="1">
        <v>91731.475494287864</v>
      </c>
      <c r="E1525" s="1">
        <v>2758829</v>
      </c>
      <c r="F1525" s="1">
        <v>15962231</v>
      </c>
      <c r="G1525" s="16">
        <v>56024.651990281003</v>
      </c>
      <c r="H1525">
        <v>298.64999999999998</v>
      </c>
      <c r="I1525" s="1">
        <v>965.24</v>
      </c>
      <c r="J1525" s="16">
        <v>147756.12748456886</v>
      </c>
      <c r="K1525" s="5">
        <v>0.21676137448962127</v>
      </c>
      <c r="L1525" s="10">
        <v>490368.3075</v>
      </c>
    </row>
    <row r="1526" spans="1:12" x14ac:dyDescent="0.25">
      <c r="A1526">
        <v>1525</v>
      </c>
      <c r="B1526" s="3">
        <v>0.15792218840503491</v>
      </c>
      <c r="C1526" s="3">
        <v>4.1207560492749561E-2</v>
      </c>
      <c r="D1526" s="1">
        <v>428050.8262844432</v>
      </c>
      <c r="E1526" s="1">
        <v>22469045</v>
      </c>
      <c r="F1526" s="1">
        <v>91942907</v>
      </c>
      <c r="G1526" s="16">
        <v>36488.433362950622</v>
      </c>
      <c r="H1526">
        <v>182.72</v>
      </c>
      <c r="I1526" s="1">
        <v>555.99</v>
      </c>
      <c r="J1526" s="16">
        <v>464539.25964739383</v>
      </c>
      <c r="K1526" s="5">
        <v>1.7796067208897495E-2</v>
      </c>
      <c r="L1526" s="10">
        <v>204725.4019</v>
      </c>
    </row>
    <row r="1527" spans="1:12" x14ac:dyDescent="0.25">
      <c r="A1527">
        <v>1526</v>
      </c>
      <c r="B1527" s="3">
        <v>0.16174178439688475</v>
      </c>
      <c r="C1527" s="3">
        <v>6.9490145453952809E-2</v>
      </c>
      <c r="D1527" s="1">
        <v>295784.87076913775</v>
      </c>
      <c r="E1527" s="1">
        <v>13374876</v>
      </c>
      <c r="F1527" s="1">
        <v>59730774</v>
      </c>
      <c r="G1527" s="16">
        <v>46421.057417308599</v>
      </c>
      <c r="H1527">
        <v>240.25</v>
      </c>
      <c r="I1527" s="1">
        <v>584.92000000000007</v>
      </c>
      <c r="J1527" s="16">
        <v>342205.92818644637</v>
      </c>
      <c r="K1527" s="5">
        <v>0.27748284808028184</v>
      </c>
      <c r="L1527" s="10">
        <v>902404.6605</v>
      </c>
    </row>
    <row r="1528" spans="1:12" x14ac:dyDescent="0.25">
      <c r="A1528">
        <v>1527</v>
      </c>
      <c r="B1528" s="3">
        <v>0.19103589541427107</v>
      </c>
      <c r="C1528" s="3">
        <v>5.4877675504528628E-2</v>
      </c>
      <c r="D1528" s="1">
        <v>103415.48021197056</v>
      </c>
      <c r="E1528" s="1">
        <v>3655956</v>
      </c>
      <c r="F1528" s="1">
        <v>19117409</v>
      </c>
      <c r="G1528" s="16">
        <v>8519.3821011589571</v>
      </c>
      <c r="H1528">
        <v>37.130000000000003</v>
      </c>
      <c r="I1528" s="1">
        <v>122.29999999999998</v>
      </c>
      <c r="J1528" s="16">
        <v>111934.86231312952</v>
      </c>
      <c r="K1528" s="5">
        <v>0.18253290733541097</v>
      </c>
      <c r="L1528" s="10">
        <v>277796.12770000001</v>
      </c>
    </row>
    <row r="1529" spans="1:12" x14ac:dyDescent="0.25">
      <c r="A1529">
        <v>1528</v>
      </c>
      <c r="B1529" s="3">
        <v>0.19413596168181863</v>
      </c>
      <c r="C1529" s="3">
        <v>6.1241143134042025E-2</v>
      </c>
      <c r="D1529" s="1">
        <v>141150.33508043751</v>
      </c>
      <c r="E1529" s="1">
        <v>6263800</v>
      </c>
      <c r="F1529" s="1">
        <v>26745633</v>
      </c>
      <c r="G1529" s="16">
        <v>45124.890962148187</v>
      </c>
      <c r="H1529">
        <v>382.1</v>
      </c>
      <c r="I1529" s="1">
        <v>878.48</v>
      </c>
      <c r="J1529" s="16">
        <v>186275.22604258568</v>
      </c>
      <c r="K1529" s="5">
        <v>6.8137944905893033E-2</v>
      </c>
      <c r="L1529" s="10">
        <v>189375.94639999999</v>
      </c>
    </row>
    <row r="1530" spans="1:12" x14ac:dyDescent="0.25">
      <c r="A1530">
        <v>1529</v>
      </c>
      <c r="B1530" s="3">
        <v>0.19106972596624444</v>
      </c>
      <c r="C1530" s="3">
        <v>2.3867952493869159E-2</v>
      </c>
      <c r="D1530" s="1">
        <v>44886.989549847283</v>
      </c>
      <c r="E1530" s="1">
        <v>1587045</v>
      </c>
      <c r="F1530" s="1">
        <v>11541998</v>
      </c>
      <c r="G1530" s="16">
        <v>15372.874737445105</v>
      </c>
      <c r="H1530">
        <v>102.05</v>
      </c>
      <c r="I1530" s="1">
        <v>391.97</v>
      </c>
      <c r="J1530" s="16">
        <v>60259.864287292388</v>
      </c>
      <c r="K1530" s="5">
        <v>0.24669211193695123</v>
      </c>
      <c r="L1530" s="10">
        <v>571750.68389999995</v>
      </c>
    </row>
    <row r="1531" spans="1:12" x14ac:dyDescent="0.25">
      <c r="A1531">
        <v>1530</v>
      </c>
      <c r="B1531" s="3">
        <v>0.1858733228651247</v>
      </c>
      <c r="C1531" s="3">
        <v>4.0375850404548115E-2</v>
      </c>
      <c r="D1531" s="1">
        <v>129392.60557316379</v>
      </c>
      <c r="E1531" s="1">
        <v>4487830</v>
      </c>
      <c r="F1531" s="1">
        <v>19753913</v>
      </c>
      <c r="G1531" s="16">
        <v>47620.656826477869</v>
      </c>
      <c r="H1531">
        <v>302.31</v>
      </c>
      <c r="I1531" s="1">
        <v>766.28</v>
      </c>
      <c r="J1531" s="16">
        <v>177013.26239964165</v>
      </c>
      <c r="K1531" s="5">
        <v>8.4832352855955334E-2</v>
      </c>
      <c r="L1531" s="10">
        <v>302048.15389999998</v>
      </c>
    </row>
    <row r="1532" spans="1:12" x14ac:dyDescent="0.25">
      <c r="A1532">
        <v>1531</v>
      </c>
      <c r="B1532" s="3">
        <v>0.11730039942631795</v>
      </c>
      <c r="C1532" s="3">
        <v>2.2897877790353745E-2</v>
      </c>
      <c r="D1532" s="1">
        <v>146498.63673824855</v>
      </c>
      <c r="E1532" s="1">
        <v>3986549</v>
      </c>
      <c r="F1532" s="1">
        <v>17002100</v>
      </c>
      <c r="G1532" s="16">
        <v>63336.03874572862</v>
      </c>
      <c r="H1532">
        <v>228.3</v>
      </c>
      <c r="I1532" s="1">
        <v>653.29</v>
      </c>
      <c r="J1532" s="16">
        <v>209834.67548397716</v>
      </c>
      <c r="K1532" s="5">
        <v>0.26473430546920584</v>
      </c>
      <c r="L1532" s="10">
        <v>2097091.0767000001</v>
      </c>
    </row>
    <row r="1533" spans="1:12" x14ac:dyDescent="0.25">
      <c r="A1533">
        <v>1532</v>
      </c>
      <c r="B1533" s="3">
        <v>0.11582434069490982</v>
      </c>
      <c r="C1533" s="3">
        <v>2.1938816311947811E-2</v>
      </c>
      <c r="D1533" s="1">
        <v>277895.53677941638</v>
      </c>
      <c r="E1533" s="1">
        <v>8510021</v>
      </c>
      <c r="F1533" s="1">
        <v>28950795</v>
      </c>
      <c r="G1533" s="16">
        <v>32141.380734462593</v>
      </c>
      <c r="H1533">
        <v>101.11</v>
      </c>
      <c r="I1533" s="1">
        <v>296.22000000000003</v>
      </c>
      <c r="J1533" s="16">
        <v>310036.91751387896</v>
      </c>
      <c r="K1533" s="5">
        <v>0.1660349384776971</v>
      </c>
      <c r="L1533" s="10">
        <v>2008022.0046000001</v>
      </c>
    </row>
    <row r="1534" spans="1:12" x14ac:dyDescent="0.25">
      <c r="A1534">
        <v>1533</v>
      </c>
      <c r="B1534" s="3">
        <v>0.24825874033129686</v>
      </c>
      <c r="C1534" s="3">
        <v>3.0520310368976879E-2</v>
      </c>
      <c r="D1534" s="1">
        <v>83189.49570427007</v>
      </c>
      <c r="E1534" s="1">
        <v>3664935</v>
      </c>
      <c r="F1534" s="1">
        <v>17299533</v>
      </c>
      <c r="G1534" s="16">
        <v>9634.3288169291445</v>
      </c>
      <c r="H1534">
        <v>106.96</v>
      </c>
      <c r="I1534" s="1">
        <v>388.15000000000003</v>
      </c>
      <c r="J1534" s="16">
        <v>92823.824521199218</v>
      </c>
      <c r="K1534" s="5">
        <v>0.11414670257131765</v>
      </c>
      <c r="L1534" s="10">
        <v>295149.84769999998</v>
      </c>
    </row>
    <row r="1535" spans="1:12" x14ac:dyDescent="0.25">
      <c r="A1535">
        <v>1534</v>
      </c>
      <c r="B1535" s="3">
        <v>0.21574165191281058</v>
      </c>
      <c r="C1535" s="3">
        <v>2.3723411952410813E-2</v>
      </c>
      <c r="D1535" s="1">
        <v>150403.53266647301</v>
      </c>
      <c r="E1535" s="1">
        <v>7440883</v>
      </c>
      <c r="F1535" s="1">
        <v>35004169</v>
      </c>
      <c r="G1535" s="16">
        <v>16531.283656124226</v>
      </c>
      <c r="H1535">
        <v>136.38999999999999</v>
      </c>
      <c r="I1535" s="1">
        <v>384.21000000000004</v>
      </c>
      <c r="J1535" s="16">
        <v>166934.81632259724</v>
      </c>
      <c r="K1535" s="5">
        <v>0.23245786583139816</v>
      </c>
      <c r="L1535" s="10">
        <v>1466636.2889</v>
      </c>
    </row>
    <row r="1536" spans="1:12" x14ac:dyDescent="0.25">
      <c r="A1536">
        <v>1535</v>
      </c>
      <c r="B1536" s="3">
        <v>0.15451137890946434</v>
      </c>
      <c r="C1536" s="3">
        <v>3.5170998709934155E-2</v>
      </c>
      <c r="D1536" s="1">
        <v>195774.62542225924</v>
      </c>
      <c r="E1536" s="1">
        <v>6062281</v>
      </c>
      <c r="F1536" s="1">
        <v>20947994</v>
      </c>
      <c r="G1536" s="16">
        <v>33466.632396649773</v>
      </c>
      <c r="H1536">
        <v>163.08000000000001</v>
      </c>
      <c r="I1536" s="1">
        <v>532.6</v>
      </c>
      <c r="J1536" s="16">
        <v>229241.25781890901</v>
      </c>
      <c r="K1536" s="5">
        <v>0.17698491597148119</v>
      </c>
      <c r="L1536" s="10">
        <v>918185.76340000005</v>
      </c>
    </row>
    <row r="1537" spans="1:12" x14ac:dyDescent="0.25">
      <c r="A1537">
        <v>1536</v>
      </c>
      <c r="B1537" s="3">
        <v>0.16654702642289471</v>
      </c>
      <c r="C1537" s="3">
        <v>4.8634385263899502E-2</v>
      </c>
      <c r="D1537" s="1">
        <v>493469.96700015705</v>
      </c>
      <c r="E1537" s="1">
        <v>22964551</v>
      </c>
      <c r="F1537" s="1">
        <v>75515781</v>
      </c>
      <c r="G1537" s="16">
        <v>13963.525255022916</v>
      </c>
      <c r="H1537">
        <v>62.83</v>
      </c>
      <c r="I1537" s="1">
        <v>202.99</v>
      </c>
      <c r="J1537" s="16">
        <v>507433.49225517997</v>
      </c>
      <c r="K1537" s="5">
        <v>0.1057305946378905</v>
      </c>
      <c r="L1537" s="10">
        <v>813925.50390000001</v>
      </c>
    </row>
    <row r="1538" spans="1:12" x14ac:dyDescent="0.25">
      <c r="A1538">
        <v>1537</v>
      </c>
      <c r="B1538" s="3">
        <v>0.21620258547041218</v>
      </c>
      <c r="C1538" s="3">
        <v>7.8079472857713911E-2</v>
      </c>
      <c r="D1538" s="1">
        <v>222115.99336446516</v>
      </c>
      <c r="E1538" s="1">
        <v>14052816</v>
      </c>
      <c r="F1538" s="1">
        <v>51505048</v>
      </c>
      <c r="G1538" s="16">
        <v>18112.99034189972</v>
      </c>
      <c r="H1538">
        <v>150.07</v>
      </c>
      <c r="I1538" s="1">
        <v>490.43</v>
      </c>
      <c r="J1538" s="16">
        <v>240228.98370636487</v>
      </c>
      <c r="K1538" s="5">
        <v>4.9708071968824735E-2</v>
      </c>
      <c r="L1538" s="10">
        <v>102539.838</v>
      </c>
    </row>
    <row r="1539" spans="1:12" x14ac:dyDescent="0.25">
      <c r="A1539">
        <v>1538</v>
      </c>
      <c r="B1539" s="3">
        <v>0.10789167222393554</v>
      </c>
      <c r="C1539" s="3">
        <v>3.7452808552611967E-2</v>
      </c>
      <c r="D1539" s="1">
        <v>133887.14753839112</v>
      </c>
      <c r="E1539" s="1">
        <v>3529299</v>
      </c>
      <c r="F1539" s="1">
        <v>20948203</v>
      </c>
      <c r="G1539" s="16">
        <v>47249.762013379412</v>
      </c>
      <c r="H1539">
        <v>158.07</v>
      </c>
      <c r="I1539" s="1">
        <v>424.84</v>
      </c>
      <c r="J1539" s="16">
        <v>181136.90955177054</v>
      </c>
      <c r="K1539" s="5">
        <v>0.14815412520904661</v>
      </c>
      <c r="L1539" s="10">
        <v>587084.06900000002</v>
      </c>
    </row>
    <row r="1540" spans="1:12" x14ac:dyDescent="0.25">
      <c r="A1540">
        <v>1539</v>
      </c>
      <c r="B1540" s="3">
        <v>0.21413448454994521</v>
      </c>
      <c r="C1540" s="3">
        <v>7.1264495886119383E-2</v>
      </c>
      <c r="D1540" s="1">
        <v>17752.376018709459</v>
      </c>
      <c r="E1540" s="1">
        <v>537974</v>
      </c>
      <c r="F1540" s="1">
        <v>6191712</v>
      </c>
      <c r="G1540" s="16">
        <v>30813.851489138138</v>
      </c>
      <c r="H1540">
        <v>318.61</v>
      </c>
      <c r="I1540" s="1">
        <v>884.24</v>
      </c>
      <c r="J1540" s="16">
        <v>48566.227507847594</v>
      </c>
      <c r="K1540" s="5">
        <v>0.22060999407235468</v>
      </c>
      <c r="L1540" s="10">
        <v>104035.29369999999</v>
      </c>
    </row>
    <row r="1541" spans="1:12" x14ac:dyDescent="0.25">
      <c r="A1541">
        <v>1540</v>
      </c>
      <c r="B1541" s="3">
        <v>0.22052459218499768</v>
      </c>
      <c r="C1541" s="3">
        <v>5.1569288553695566E-2</v>
      </c>
      <c r="D1541" s="1">
        <v>60495.837833764024</v>
      </c>
      <c r="E1541" s="1">
        <v>2390678</v>
      </c>
      <c r="F1541" s="1">
        <v>21158500</v>
      </c>
      <c r="G1541" s="16">
        <v>17432.267236010772</v>
      </c>
      <c r="H1541">
        <v>150.05000000000001</v>
      </c>
      <c r="I1541" s="1">
        <v>407.16</v>
      </c>
      <c r="J1541" s="16">
        <v>77928.1050697748</v>
      </c>
      <c r="K1541" s="5">
        <v>9.2136412372346987E-2</v>
      </c>
      <c r="L1541" s="10">
        <v>122221.6351</v>
      </c>
    </row>
    <row r="1542" spans="1:12" x14ac:dyDescent="0.25">
      <c r="A1542">
        <v>1541</v>
      </c>
      <c r="B1542" s="3">
        <v>0.1858351814714167</v>
      </c>
      <c r="C1542" s="3">
        <v>4.3070045318953865E-2</v>
      </c>
      <c r="D1542" s="1">
        <v>61245.483673422357</v>
      </c>
      <c r="E1542" s="1">
        <v>2123928</v>
      </c>
      <c r="F1542" s="1">
        <v>19840281</v>
      </c>
      <c r="G1542" s="16">
        <v>11603.592296940024</v>
      </c>
      <c r="H1542">
        <v>59.99</v>
      </c>
      <c r="I1542" s="1">
        <v>197.43</v>
      </c>
      <c r="J1542" s="16">
        <v>72849.075970362377</v>
      </c>
      <c r="K1542" s="5">
        <v>0.17413088323670367</v>
      </c>
      <c r="L1542" s="10">
        <v>260688.7304</v>
      </c>
    </row>
    <row r="1543" spans="1:12" x14ac:dyDescent="0.25">
      <c r="A1543">
        <v>1542</v>
      </c>
      <c r="B1543" s="3">
        <v>0.24433903275506719</v>
      </c>
      <c r="C1543" s="3">
        <v>6.314182984577496E-2</v>
      </c>
      <c r="D1543" s="1">
        <v>80439.442514722366</v>
      </c>
      <c r="E1543" s="1">
        <v>3488917</v>
      </c>
      <c r="F1543" s="1">
        <v>17038683</v>
      </c>
      <c r="G1543" s="16">
        <v>7235.8977619574189</v>
      </c>
      <c r="H1543">
        <v>44.08</v>
      </c>
      <c r="I1543" s="1">
        <v>170.02999999999997</v>
      </c>
      <c r="J1543" s="16">
        <v>87675.340276679781</v>
      </c>
      <c r="K1543" s="5">
        <v>-2.9621079298791771E-2</v>
      </c>
      <c r="L1543" s="10">
        <v>-26729.416399999998</v>
      </c>
    </row>
    <row r="1544" spans="1:12" x14ac:dyDescent="0.25">
      <c r="A1544">
        <v>1543</v>
      </c>
      <c r="B1544" s="3">
        <v>0.1131154749631956</v>
      </c>
      <c r="C1544" s="3">
        <v>3.8719497915536402E-2</v>
      </c>
      <c r="D1544" s="1">
        <v>84507.099440143676</v>
      </c>
      <c r="E1544" s="1">
        <v>2267223</v>
      </c>
      <c r="F1544" s="1">
        <v>12570549</v>
      </c>
      <c r="G1544" s="16">
        <v>30295.500152112876</v>
      </c>
      <c r="H1544">
        <v>105.52</v>
      </c>
      <c r="I1544" s="1">
        <v>401.28</v>
      </c>
      <c r="J1544" s="16">
        <v>114802.59959225655</v>
      </c>
      <c r="K1544" s="5">
        <v>7.3217828547475966E-2</v>
      </c>
      <c r="L1544" s="10">
        <v>186996.717</v>
      </c>
    </row>
    <row r="1545" spans="1:12" x14ac:dyDescent="0.25">
      <c r="A1545">
        <v>1544</v>
      </c>
      <c r="B1545" s="3">
        <v>0.23347061376797837</v>
      </c>
      <c r="C1545" s="3">
        <v>7.7616341987983423E-2</v>
      </c>
      <c r="D1545" s="1">
        <v>110140.13976408866</v>
      </c>
      <c r="E1545" s="1">
        <v>4576798</v>
      </c>
      <c r="F1545" s="1">
        <v>17983059</v>
      </c>
      <c r="G1545" s="16">
        <v>12268.327111986402</v>
      </c>
      <c r="H1545">
        <v>91.14</v>
      </c>
      <c r="I1545" s="1">
        <v>266.28000000000003</v>
      </c>
      <c r="J1545" s="16">
        <v>122408.46687607506</v>
      </c>
      <c r="K1545" s="5">
        <v>0.22144298811270022</v>
      </c>
      <c r="L1545" s="10">
        <v>223170.3461</v>
      </c>
    </row>
    <row r="1546" spans="1:12" x14ac:dyDescent="0.25">
      <c r="A1546">
        <v>1545</v>
      </c>
      <c r="B1546" s="3">
        <v>0.2399212027019727</v>
      </c>
      <c r="C1546" s="3">
        <v>2.4507409032332929E-2</v>
      </c>
      <c r="D1546" s="1">
        <v>147319.78351487542</v>
      </c>
      <c r="E1546" s="1">
        <v>6278963</v>
      </c>
      <c r="F1546" s="1">
        <v>20200776</v>
      </c>
      <c r="G1546" s="16">
        <v>17080.586361134239</v>
      </c>
      <c r="H1546">
        <v>175.41</v>
      </c>
      <c r="I1546" s="1">
        <v>557.89</v>
      </c>
      <c r="J1546" s="16">
        <v>164400.36987600967</v>
      </c>
      <c r="K1546" s="5">
        <v>0.24036593872913367</v>
      </c>
      <c r="L1546" s="10">
        <v>1355413.0277</v>
      </c>
    </row>
    <row r="1547" spans="1:12" x14ac:dyDescent="0.25">
      <c r="A1547">
        <v>1546</v>
      </c>
      <c r="B1547" s="3">
        <v>0.13352029273816368</v>
      </c>
      <c r="C1547" s="3">
        <v>3.1069046257544766E-2</v>
      </c>
      <c r="D1547" s="1">
        <v>224215.92372112282</v>
      </c>
      <c r="E1547" s="1">
        <v>7444507</v>
      </c>
      <c r="F1547" s="1">
        <v>34375616</v>
      </c>
      <c r="G1547" s="16">
        <v>84600.214426183753</v>
      </c>
      <c r="H1547">
        <v>400.5</v>
      </c>
      <c r="I1547" s="1">
        <v>1017.5</v>
      </c>
      <c r="J1547" s="16">
        <v>308816.13814730657</v>
      </c>
      <c r="K1547" s="5">
        <v>0.19555141520911179</v>
      </c>
      <c r="L1547" s="10">
        <v>1635332.3370000001</v>
      </c>
    </row>
    <row r="1548" spans="1:12" x14ac:dyDescent="0.25">
      <c r="A1548">
        <v>1547</v>
      </c>
      <c r="B1548" s="3">
        <v>0.23087111969988736</v>
      </c>
      <c r="C1548" s="3">
        <v>5.059089282730353E-2</v>
      </c>
      <c r="D1548" s="1">
        <v>237301.17981312497</v>
      </c>
      <c r="E1548" s="1">
        <v>12691308</v>
      </c>
      <c r="F1548" s="1">
        <v>40825514</v>
      </c>
      <c r="G1548" s="16">
        <v>15769.776328695469</v>
      </c>
      <c r="H1548">
        <v>148.80000000000001</v>
      </c>
      <c r="I1548" s="1">
        <v>438.64</v>
      </c>
      <c r="J1548" s="16">
        <v>253070.95614182044</v>
      </c>
      <c r="K1548" s="5">
        <v>0.14839175629607276</v>
      </c>
      <c r="L1548" s="10">
        <v>575655.47010000004</v>
      </c>
    </row>
    <row r="1549" spans="1:12" x14ac:dyDescent="0.25">
      <c r="A1549">
        <v>1548</v>
      </c>
      <c r="B1549" s="3">
        <v>0.16794931410268157</v>
      </c>
      <c r="C1549" s="3">
        <v>2.8369330747718111E-2</v>
      </c>
      <c r="D1549" s="1">
        <v>101170.32753487055</v>
      </c>
      <c r="E1549" s="1">
        <v>3287060</v>
      </c>
      <c r="F1549" s="1">
        <v>17999175</v>
      </c>
      <c r="G1549" s="16">
        <v>13471.029160152179</v>
      </c>
      <c r="H1549">
        <v>61.17</v>
      </c>
      <c r="I1549" s="1">
        <v>211.11</v>
      </c>
      <c r="J1549" s="16">
        <v>114641.35669502273</v>
      </c>
      <c r="K1549" s="5">
        <v>0.16873105458042897</v>
      </c>
      <c r="L1549" s="10">
        <v>585191.01240000001</v>
      </c>
    </row>
    <row r="1550" spans="1:12" x14ac:dyDescent="0.25">
      <c r="A1550">
        <v>1549</v>
      </c>
      <c r="B1550" s="3">
        <v>0.13482966289140436</v>
      </c>
      <c r="C1550" s="3">
        <v>5.2732833305310964E-2</v>
      </c>
      <c r="D1550" s="1">
        <v>224225.88776144708</v>
      </c>
      <c r="E1550" s="1">
        <v>7489999</v>
      </c>
      <c r="F1550" s="1">
        <v>38517041</v>
      </c>
      <c r="G1550" s="16">
        <v>98763.131174631417</v>
      </c>
      <c r="H1550">
        <v>473.33</v>
      </c>
      <c r="I1550" s="1">
        <v>1087.94</v>
      </c>
      <c r="J1550" s="16">
        <v>322989.01893607853</v>
      </c>
      <c r="K1550" s="5">
        <v>0.18087616151786015</v>
      </c>
      <c r="L1550" s="10">
        <v>829374.61159999995</v>
      </c>
    </row>
    <row r="1551" spans="1:12" x14ac:dyDescent="0.25">
      <c r="A1551">
        <v>1550</v>
      </c>
      <c r="B1551" s="3">
        <v>0.1688689739639776</v>
      </c>
      <c r="C1551" s="3">
        <v>2.4915956447258105E-2</v>
      </c>
      <c r="D1551" s="1">
        <v>178739.51859794263</v>
      </c>
      <c r="E1551" s="1">
        <v>7010445</v>
      </c>
      <c r="F1551" s="1">
        <v>33127179</v>
      </c>
      <c r="G1551" s="16">
        <v>24905.654703493135</v>
      </c>
      <c r="H1551">
        <v>136.96</v>
      </c>
      <c r="I1551" s="1">
        <v>455.33000000000004</v>
      </c>
      <c r="J1551" s="16">
        <v>203645.17330143577</v>
      </c>
      <c r="K1551" s="5">
        <v>0.20191966913174647</v>
      </c>
      <c r="L1551" s="10">
        <v>1463023.0233</v>
      </c>
    </row>
    <row r="1552" spans="1:12" x14ac:dyDescent="0.25">
      <c r="A1552">
        <v>1551</v>
      </c>
      <c r="B1552" s="3">
        <v>0.13071859943220188</v>
      </c>
      <c r="C1552" s="3">
        <v>5.8729897212926291E-2</v>
      </c>
      <c r="D1552" s="1">
        <v>109930.55888547357</v>
      </c>
      <c r="E1552" s="1">
        <v>3132134</v>
      </c>
      <c r="F1552" s="1">
        <v>18465804</v>
      </c>
      <c r="G1552" s="16">
        <v>23353.507238542516</v>
      </c>
      <c r="H1552">
        <v>81.540000000000006</v>
      </c>
      <c r="I1552" s="1">
        <v>294.47000000000003</v>
      </c>
      <c r="J1552" s="16">
        <v>133284.06612401607</v>
      </c>
      <c r="K1552" s="5">
        <v>3.1990591981754225E-2</v>
      </c>
      <c r="L1552" s="10">
        <v>75684.341899999999</v>
      </c>
    </row>
    <row r="1553" spans="1:12" x14ac:dyDescent="0.25">
      <c r="A1553">
        <v>1552</v>
      </c>
      <c r="B1553" s="3">
        <v>0.1876093963491311</v>
      </c>
      <c r="C1553" s="3">
        <v>4.2116154254280835E-2</v>
      </c>
      <c r="D1553" s="1">
        <v>92879.790073879165</v>
      </c>
      <c r="E1553" s="1">
        <v>3242118</v>
      </c>
      <c r="F1553" s="1">
        <v>14193642</v>
      </c>
      <c r="G1553" s="16">
        <v>35840.430651508075</v>
      </c>
      <c r="H1553">
        <v>230.64</v>
      </c>
      <c r="I1553" s="1">
        <v>555.93000000000006</v>
      </c>
      <c r="J1553" s="16">
        <v>128720.22072538725</v>
      </c>
      <c r="K1553" s="5">
        <v>2.0343368376576139E-2</v>
      </c>
      <c r="L1553" s="10">
        <v>64972.066200000001</v>
      </c>
    </row>
    <row r="1554" spans="1:12" x14ac:dyDescent="0.25">
      <c r="A1554">
        <v>1553</v>
      </c>
      <c r="B1554" s="3">
        <v>0.15251809748714307</v>
      </c>
      <c r="C1554" s="3">
        <v>7.0387757785937782E-2</v>
      </c>
      <c r="D1554" s="1">
        <v>110144.94109531968</v>
      </c>
      <c r="E1554" s="1">
        <v>3386695</v>
      </c>
      <c r="F1554" s="1">
        <v>20555962</v>
      </c>
      <c r="G1554" s="16">
        <v>42548.7067534241</v>
      </c>
      <c r="H1554">
        <v>204.16</v>
      </c>
      <c r="I1554" s="1">
        <v>554.95000000000005</v>
      </c>
      <c r="J1554" s="16">
        <v>152693.64784874377</v>
      </c>
      <c r="K1554" s="5">
        <v>0.18045875562643629</v>
      </c>
      <c r="L1554" s="10">
        <v>285976.82919999998</v>
      </c>
    </row>
    <row r="1555" spans="1:12" x14ac:dyDescent="0.25">
      <c r="A1555">
        <v>1554</v>
      </c>
      <c r="B1555" s="3">
        <v>0.24351325956332417</v>
      </c>
      <c r="C1555" s="3">
        <v>3.1841911403340251E-2</v>
      </c>
      <c r="D1555" s="1">
        <v>74415.652932282086</v>
      </c>
      <c r="E1555" s="1">
        <v>3217094</v>
      </c>
      <c r="F1555" s="1">
        <v>20088412</v>
      </c>
      <c r="G1555" s="16">
        <v>23179.395857611027</v>
      </c>
      <c r="H1555">
        <v>246.09</v>
      </c>
      <c r="I1555" s="1">
        <v>589.76</v>
      </c>
      <c r="J1555" s="16">
        <v>97595.048789893117</v>
      </c>
      <c r="K1555" s="5">
        <v>6.1135428225330621E-2</v>
      </c>
      <c r="L1555" s="10">
        <v>165254.58379999999</v>
      </c>
    </row>
    <row r="1556" spans="1:12" x14ac:dyDescent="0.25">
      <c r="A1556">
        <v>1555</v>
      </c>
      <c r="B1556" s="3">
        <v>0.10739816507299861</v>
      </c>
      <c r="C1556" s="3">
        <v>7.1090706173530152E-2</v>
      </c>
      <c r="D1556" s="1">
        <v>196345.85162747191</v>
      </c>
      <c r="E1556" s="1">
        <v>5788878</v>
      </c>
      <c r="F1556" s="1">
        <v>24083030</v>
      </c>
      <c r="G1556" s="16">
        <v>71421.834050849604</v>
      </c>
      <c r="H1556">
        <v>266.5</v>
      </c>
      <c r="I1556" s="1">
        <v>809.1400000000001</v>
      </c>
      <c r="J1556" s="16">
        <v>267767.68567832152</v>
      </c>
      <c r="K1556" s="5">
        <v>0.19138006332759941</v>
      </c>
      <c r="L1556" s="10">
        <v>480671.17060000001</v>
      </c>
    </row>
    <row r="1557" spans="1:12" x14ac:dyDescent="0.25">
      <c r="A1557">
        <v>1556</v>
      </c>
      <c r="B1557" s="3">
        <v>0.22905764572145801</v>
      </c>
      <c r="C1557" s="3">
        <v>7.14001928106682E-2</v>
      </c>
      <c r="D1557" s="1">
        <v>89270.976240984601</v>
      </c>
      <c r="E1557" s="1">
        <v>4729613</v>
      </c>
      <c r="F1557" s="1">
        <v>23769686</v>
      </c>
      <c r="G1557" s="16">
        <v>11553.585391281511</v>
      </c>
      <c r="H1557">
        <v>82.87</v>
      </c>
      <c r="I1557" s="1">
        <v>290.59000000000003</v>
      </c>
      <c r="J1557" s="16">
        <v>100824.56163226611</v>
      </c>
      <c r="K1557" s="5">
        <v>0.17143671103127212</v>
      </c>
      <c r="L1557" s="10">
        <v>175352.1581</v>
      </c>
    </row>
    <row r="1558" spans="1:12" x14ac:dyDescent="0.25">
      <c r="A1558">
        <v>1557</v>
      </c>
      <c r="B1558" s="3">
        <v>0.13905465662619598</v>
      </c>
      <c r="C1558" s="3">
        <v>2.0817415064204588E-2</v>
      </c>
      <c r="D1558" s="1">
        <v>126636.48957581609</v>
      </c>
      <c r="E1558" s="1">
        <v>3713941</v>
      </c>
      <c r="F1558" s="1">
        <v>16896283</v>
      </c>
      <c r="G1558" s="16">
        <v>53935.619550235584</v>
      </c>
      <c r="H1558">
        <v>268.58</v>
      </c>
      <c r="I1558" s="1">
        <v>796.45</v>
      </c>
      <c r="J1558" s="16">
        <v>180572.10912605166</v>
      </c>
      <c r="K1558" s="5">
        <v>8.1353281981900394E-2</v>
      </c>
      <c r="L1558" s="10">
        <v>653240.64930000005</v>
      </c>
    </row>
    <row r="1559" spans="1:12" x14ac:dyDescent="0.25">
      <c r="A1559">
        <v>1558</v>
      </c>
      <c r="B1559" s="3">
        <v>0.2205897528068427</v>
      </c>
      <c r="C1559" s="3">
        <v>5.4632218063379992E-2</v>
      </c>
      <c r="D1559" s="1">
        <v>224972.36057932914</v>
      </c>
      <c r="E1559" s="1">
        <v>11409523</v>
      </c>
      <c r="F1559" s="1">
        <v>35913749</v>
      </c>
      <c r="G1559" s="16">
        <v>13837.238519558639</v>
      </c>
      <c r="H1559">
        <v>92.92</v>
      </c>
      <c r="I1559" s="1">
        <v>298.02</v>
      </c>
      <c r="J1559" s="16">
        <v>238809.59909888776</v>
      </c>
      <c r="K1559" s="5">
        <v>0.15553656442225219</v>
      </c>
      <c r="L1559" s="10">
        <v>498342.81579999998</v>
      </c>
    </row>
    <row r="1560" spans="1:12" x14ac:dyDescent="0.25">
      <c r="A1560">
        <v>1559</v>
      </c>
      <c r="B1560" s="3">
        <v>0.14790258241653198</v>
      </c>
      <c r="C1560" s="3">
        <v>5.8220661231359383E-2</v>
      </c>
      <c r="D1560" s="1">
        <v>382225.95678726205</v>
      </c>
      <c r="E1560" s="1">
        <v>15924903</v>
      </c>
      <c r="F1560" s="1">
        <v>51994634</v>
      </c>
      <c r="G1560" s="16">
        <v>31899.370238564075</v>
      </c>
      <c r="H1560">
        <v>125.28</v>
      </c>
      <c r="I1560" s="1">
        <v>346.56</v>
      </c>
      <c r="J1560" s="16">
        <v>414125.32702582615</v>
      </c>
      <c r="K1560" s="5">
        <v>3.2514512695332107E-3</v>
      </c>
      <c r="L1560" s="10">
        <v>34308.8868</v>
      </c>
    </row>
    <row r="1561" spans="1:12" x14ac:dyDescent="0.25">
      <c r="A1561">
        <v>1560</v>
      </c>
      <c r="B1561" s="3">
        <v>0.11028029527344393</v>
      </c>
      <c r="C1561" s="3">
        <v>7.365454201326864E-2</v>
      </c>
      <c r="D1561" s="1">
        <v>226076.45968007197</v>
      </c>
      <c r="E1561" s="1">
        <v>6752202</v>
      </c>
      <c r="F1561" s="1">
        <v>24326937</v>
      </c>
      <c r="G1561" s="16">
        <v>31395.285288933865</v>
      </c>
      <c r="H1561">
        <v>95.28</v>
      </c>
      <c r="I1561" s="1">
        <v>300.44000000000005</v>
      </c>
      <c r="J1561" s="16">
        <v>257471.74496900584</v>
      </c>
      <c r="K1561" s="5">
        <v>-2.1222784271039581E-2</v>
      </c>
      <c r="L1561" s="10">
        <v>-22022.457399999999</v>
      </c>
    </row>
    <row r="1562" spans="1:12" x14ac:dyDescent="0.25">
      <c r="A1562">
        <v>1561</v>
      </c>
      <c r="B1562" s="3">
        <v>0.23900434940352477</v>
      </c>
      <c r="C1562" s="3">
        <v>2.7317570190380197E-2</v>
      </c>
      <c r="D1562" s="1">
        <v>58585.962632518713</v>
      </c>
      <c r="E1562" s="1">
        <v>3269398</v>
      </c>
      <c r="F1562" s="1">
        <v>23901883</v>
      </c>
      <c r="G1562" s="16">
        <v>27364.083306083594</v>
      </c>
      <c r="H1562">
        <v>278.73</v>
      </c>
      <c r="I1562" s="1">
        <v>717.39</v>
      </c>
      <c r="J1562" s="16">
        <v>85950.045938602299</v>
      </c>
      <c r="K1562" s="5">
        <v>9.4792460124018638E-2</v>
      </c>
      <c r="L1562" s="10">
        <v>263937.49709999998</v>
      </c>
    </row>
    <row r="1563" spans="1:12" x14ac:dyDescent="0.25">
      <c r="A1563">
        <v>1562</v>
      </c>
      <c r="B1563" s="3">
        <v>0.24857094464587415</v>
      </c>
      <c r="C1563" s="3">
        <v>6.9922633517115126E-2</v>
      </c>
      <c r="D1563" s="1">
        <v>82162.205330652505</v>
      </c>
      <c r="E1563" s="1">
        <v>4823065</v>
      </c>
      <c r="F1563" s="1">
        <v>25385229</v>
      </c>
      <c r="G1563" s="16">
        <v>10753.867408262127</v>
      </c>
      <c r="H1563">
        <v>119.51</v>
      </c>
      <c r="I1563" s="1">
        <v>387.48</v>
      </c>
      <c r="J1563" s="16">
        <v>92916.072738914634</v>
      </c>
      <c r="K1563" s="5">
        <v>0.14986060728771</v>
      </c>
      <c r="L1563" s="10">
        <v>152937.62210000001</v>
      </c>
    </row>
    <row r="1564" spans="1:12" x14ac:dyDescent="0.25">
      <c r="A1564">
        <v>1563</v>
      </c>
      <c r="B1564" s="3">
        <v>0.21553723656435197</v>
      </c>
      <c r="C1564" s="3">
        <v>4.3793164083629835E-2</v>
      </c>
      <c r="D1564" s="1">
        <v>201326.64896921933</v>
      </c>
      <c r="E1564" s="1">
        <v>12683605</v>
      </c>
      <c r="F1564" s="1">
        <v>57203590</v>
      </c>
      <c r="G1564" s="16">
        <v>6464.2216400136822</v>
      </c>
      <c r="H1564">
        <v>41.71</v>
      </c>
      <c r="I1564" s="1">
        <v>206.13000000000002</v>
      </c>
      <c r="J1564" s="16">
        <v>207790.87060923301</v>
      </c>
      <c r="K1564" s="5">
        <v>-0.11330208674248916</v>
      </c>
      <c r="L1564" s="10">
        <v>-421024.55650000001</v>
      </c>
    </row>
    <row r="1565" spans="1:12" x14ac:dyDescent="0.25">
      <c r="A1565">
        <v>1564</v>
      </c>
      <c r="B1565" s="3">
        <v>0.16281932492328402</v>
      </c>
      <c r="C1565" s="3">
        <v>7.8733173097566098E-2</v>
      </c>
      <c r="D1565" s="1">
        <v>172579.51081472728</v>
      </c>
      <c r="E1565" s="1">
        <v>6575296</v>
      </c>
      <c r="F1565" s="1">
        <v>32514476</v>
      </c>
      <c r="G1565" s="16">
        <v>27915.205772631543</v>
      </c>
      <c r="H1565">
        <v>145.66</v>
      </c>
      <c r="I1565" s="1">
        <v>465.97</v>
      </c>
      <c r="J1565" s="16">
        <v>200494.71658735882</v>
      </c>
      <c r="K1565" s="5">
        <v>0.11504018646109644</v>
      </c>
      <c r="L1565" s="10">
        <v>234028.54389999999</v>
      </c>
    </row>
    <row r="1566" spans="1:12" x14ac:dyDescent="0.25">
      <c r="A1566">
        <v>1565</v>
      </c>
      <c r="B1566" s="3">
        <v>0.1231238967766745</v>
      </c>
      <c r="C1566" s="3">
        <v>2.0869350665988457E-2</v>
      </c>
      <c r="D1566" s="1">
        <v>284042.52535194595</v>
      </c>
      <c r="E1566" s="1">
        <v>8991526</v>
      </c>
      <c r="F1566" s="1">
        <v>37376165</v>
      </c>
      <c r="G1566" s="16">
        <v>109346.99246700641</v>
      </c>
      <c r="H1566">
        <v>470.76</v>
      </c>
      <c r="I1566" s="1">
        <v>1076.32</v>
      </c>
      <c r="J1566" s="16">
        <v>393389.51781895233</v>
      </c>
      <c r="K1566" s="5">
        <v>0.15409552000285828</v>
      </c>
      <c r="L1566" s="10">
        <v>2569988.5654000002</v>
      </c>
    </row>
    <row r="1567" spans="1:12" x14ac:dyDescent="0.25">
      <c r="A1567">
        <v>1566</v>
      </c>
      <c r="B1567" s="3">
        <v>0.20227115687807945</v>
      </c>
      <c r="C1567" s="3">
        <v>6.7661435701340908E-2</v>
      </c>
      <c r="D1567" s="1">
        <v>95702.818312563017</v>
      </c>
      <c r="E1567" s="1">
        <v>3528269</v>
      </c>
      <c r="F1567" s="1">
        <v>18930765</v>
      </c>
      <c r="G1567" s="16">
        <v>16875.316029114034</v>
      </c>
      <c r="H1567">
        <v>123.45</v>
      </c>
      <c r="I1567" s="1">
        <v>438.29</v>
      </c>
      <c r="J1567" s="16">
        <v>112578.13434167705</v>
      </c>
      <c r="K1567" s="5">
        <v>-3.2071088503613239E-2</v>
      </c>
      <c r="L1567" s="10">
        <v>-28130.801599999999</v>
      </c>
    </row>
    <row r="1568" spans="1:12" x14ac:dyDescent="0.25">
      <c r="A1568">
        <v>1567</v>
      </c>
      <c r="B1568" s="3">
        <v>0.22120524168700417</v>
      </c>
      <c r="C1568" s="3">
        <v>4.8835498559841969E-2</v>
      </c>
      <c r="D1568" s="1">
        <v>85469.058751240416</v>
      </c>
      <c r="E1568" s="1">
        <v>4348298</v>
      </c>
      <c r="F1568" s="1">
        <v>23775286</v>
      </c>
      <c r="G1568" s="16">
        <v>15941.175593094</v>
      </c>
      <c r="H1568">
        <v>107.65</v>
      </c>
      <c r="I1568" s="1">
        <v>375.59000000000003</v>
      </c>
      <c r="J1568" s="16">
        <v>101410.23434433441</v>
      </c>
      <c r="K1568" s="5">
        <v>-2.9237809454073296E-3</v>
      </c>
      <c r="L1568" s="10">
        <v>22594.126700000001</v>
      </c>
    </row>
    <row r="1569" spans="1:12" x14ac:dyDescent="0.25">
      <c r="A1569">
        <v>1568</v>
      </c>
      <c r="B1569" s="3">
        <v>0.23162299059218155</v>
      </c>
      <c r="C1569" s="3">
        <v>7.6220965159743276E-2</v>
      </c>
      <c r="D1569" s="1">
        <v>56040.80544119345</v>
      </c>
      <c r="E1569" s="1">
        <v>2311980</v>
      </c>
      <c r="F1569" s="1">
        <v>12505189</v>
      </c>
      <c r="G1569" s="16">
        <v>13523.575321279301</v>
      </c>
      <c r="H1569">
        <v>128.77000000000001</v>
      </c>
      <c r="I1569" s="1">
        <v>447.37</v>
      </c>
      <c r="J1569" s="16">
        <v>69564.380762472749</v>
      </c>
      <c r="K1569" s="5">
        <v>-2.70223107003012E-3</v>
      </c>
      <c r="L1569" s="10">
        <v>12133.090099999999</v>
      </c>
    </row>
    <row r="1570" spans="1:12" x14ac:dyDescent="0.25">
      <c r="A1570">
        <v>1569</v>
      </c>
      <c r="B1570" s="3">
        <v>0.19560745545558411</v>
      </c>
      <c r="C1570" s="3">
        <v>6.8159222220445403E-2</v>
      </c>
      <c r="D1570" s="1">
        <v>43356.222436256721</v>
      </c>
      <c r="E1570" s="1">
        <v>1559014</v>
      </c>
      <c r="F1570" s="1">
        <v>12080404</v>
      </c>
      <c r="G1570" s="16">
        <v>16273.7582821451</v>
      </c>
      <c r="H1570">
        <v>112.51</v>
      </c>
      <c r="I1570" s="1">
        <v>457.74</v>
      </c>
      <c r="J1570" s="16">
        <v>59629.980718401821</v>
      </c>
      <c r="K1570" s="5">
        <v>-2.3315932899088659E-2</v>
      </c>
      <c r="L1570" s="10">
        <v>6038.0571</v>
      </c>
    </row>
    <row r="1571" spans="1:12" x14ac:dyDescent="0.25">
      <c r="A1571">
        <v>1570</v>
      </c>
      <c r="B1571" s="3">
        <v>0.10042999784580385</v>
      </c>
      <c r="C1571" s="3">
        <v>4.7727125337333642E-2</v>
      </c>
      <c r="D1571" s="1">
        <v>472552.70128445403</v>
      </c>
      <c r="E1571" s="1">
        <v>15013377</v>
      </c>
      <c r="F1571" s="1">
        <v>49567600</v>
      </c>
      <c r="G1571" s="16">
        <v>59127.591644880522</v>
      </c>
      <c r="H1571">
        <v>186.41</v>
      </c>
      <c r="I1571" s="1">
        <v>458.33000000000004</v>
      </c>
      <c r="J1571" s="16">
        <v>531680.29292933457</v>
      </c>
      <c r="K1571" s="5">
        <v>0.18399199227257396</v>
      </c>
      <c r="L1571" s="10">
        <v>1480583.2546000001</v>
      </c>
    </row>
    <row r="1572" spans="1:12" x14ac:dyDescent="0.25">
      <c r="A1572">
        <v>1571</v>
      </c>
      <c r="B1572" s="3">
        <v>0.24331418827376738</v>
      </c>
      <c r="C1572" s="3">
        <v>6.8171281623808394E-2</v>
      </c>
      <c r="D1572" s="1">
        <v>142976.50633081721</v>
      </c>
      <c r="E1572" s="1">
        <v>8162170</v>
      </c>
      <c r="F1572" s="1">
        <v>29814224</v>
      </c>
      <c r="G1572" s="16">
        <v>14864.591188671478</v>
      </c>
      <c r="H1572">
        <v>119.05</v>
      </c>
      <c r="I1572" s="1">
        <v>352.16</v>
      </c>
      <c r="J1572" s="16">
        <v>157841.09751948869</v>
      </c>
      <c r="K1572" s="5">
        <v>0.12961537351200142</v>
      </c>
      <c r="L1572" s="10">
        <v>216733.3388</v>
      </c>
    </row>
    <row r="1573" spans="1:12" x14ac:dyDescent="0.25">
      <c r="A1573">
        <v>1572</v>
      </c>
      <c r="B1573" s="3">
        <v>0.24900750397547827</v>
      </c>
      <c r="C1573" s="3">
        <v>5.5574723438796172E-2</v>
      </c>
      <c r="D1573" s="1">
        <v>103073.58213028664</v>
      </c>
      <c r="E1573" s="1">
        <v>6064673</v>
      </c>
      <c r="F1573" s="1">
        <v>37830820</v>
      </c>
      <c r="G1573" s="16">
        <v>15999.14327209389</v>
      </c>
      <c r="H1573">
        <v>178.6</v>
      </c>
      <c r="I1573" s="1">
        <v>684.95</v>
      </c>
      <c r="J1573" s="16">
        <v>119072.72540238053</v>
      </c>
      <c r="K1573" s="5">
        <v>0.19371550808816496</v>
      </c>
      <c r="L1573" s="10">
        <v>347455.37040000001</v>
      </c>
    </row>
    <row r="1574" spans="1:12" x14ac:dyDescent="0.25">
      <c r="A1574">
        <v>1573</v>
      </c>
      <c r="B1574" s="3">
        <v>0.1635631252218564</v>
      </c>
      <c r="C1574" s="3">
        <v>6.3958509407235825E-2</v>
      </c>
      <c r="D1574" s="1">
        <v>108524.48370599607</v>
      </c>
      <c r="E1574" s="1">
        <v>4149525</v>
      </c>
      <c r="F1574" s="1">
        <v>23567657</v>
      </c>
      <c r="G1574" s="16">
        <v>22453.206866922312</v>
      </c>
      <c r="H1574">
        <v>98.61</v>
      </c>
      <c r="I1574" s="1">
        <v>283.41000000000003</v>
      </c>
      <c r="J1574" s="16">
        <v>130977.69057291838</v>
      </c>
      <c r="K1574" s="5">
        <v>1.9665236796091983E-2</v>
      </c>
      <c r="L1574" s="10">
        <v>34793.017599999999</v>
      </c>
    </row>
    <row r="1575" spans="1:12" x14ac:dyDescent="0.25">
      <c r="A1575">
        <v>1574</v>
      </c>
      <c r="B1575" s="3">
        <v>0.22700694374339944</v>
      </c>
      <c r="C1575" s="3">
        <v>2.7529856123455085E-2</v>
      </c>
      <c r="D1575" s="1">
        <v>136737.90805641192</v>
      </c>
      <c r="E1575" s="1">
        <v>5540707</v>
      </c>
      <c r="F1575" s="1">
        <v>19765830</v>
      </c>
      <c r="G1575" s="16">
        <v>8075.6395153948024</v>
      </c>
      <c r="H1575">
        <v>43.98</v>
      </c>
      <c r="I1575" s="1">
        <v>154.51</v>
      </c>
      <c r="J1575" s="16">
        <v>144813.54757180673</v>
      </c>
      <c r="K1575" s="5">
        <v>0.20810984111511779</v>
      </c>
      <c r="L1575" s="10">
        <v>920457.1544</v>
      </c>
    </row>
    <row r="1576" spans="1:12" x14ac:dyDescent="0.25">
      <c r="A1576">
        <v>1575</v>
      </c>
      <c r="B1576" s="3">
        <v>0.18581710874177298</v>
      </c>
      <c r="C1576" s="3">
        <v>6.7589440455061336E-2</v>
      </c>
      <c r="D1576" s="1">
        <v>270185.50154156011</v>
      </c>
      <c r="E1576" s="1">
        <v>14133679</v>
      </c>
      <c r="F1576" s="1">
        <v>45496653</v>
      </c>
      <c r="G1576" s="16">
        <v>26239.688143783056</v>
      </c>
      <c r="H1576">
        <v>166.58</v>
      </c>
      <c r="I1576" s="1">
        <v>536.54</v>
      </c>
      <c r="J1576" s="16">
        <v>296425.18968534318</v>
      </c>
      <c r="K1576" s="5">
        <v>5.0194608527777004E-2</v>
      </c>
      <c r="L1576" s="10">
        <v>152908.63879999999</v>
      </c>
    </row>
    <row r="1577" spans="1:12" x14ac:dyDescent="0.25">
      <c r="A1577">
        <v>1576</v>
      </c>
      <c r="B1577" s="3">
        <v>0.23960054797229888</v>
      </c>
      <c r="C1577" s="3">
        <v>5.6148611835960358E-2</v>
      </c>
      <c r="D1577" s="1">
        <v>97682.627867039177</v>
      </c>
      <c r="E1577" s="1">
        <v>4158096</v>
      </c>
      <c r="F1577" s="1">
        <v>21413865</v>
      </c>
      <c r="G1577" s="16">
        <v>8795.9583740674716</v>
      </c>
      <c r="H1577">
        <v>68.47</v>
      </c>
      <c r="I1577" s="1">
        <v>204.44</v>
      </c>
      <c r="J1577" s="16">
        <v>106478.58624110665</v>
      </c>
      <c r="K1577" s="5">
        <v>-2.1799779700179892E-4</v>
      </c>
      <c r="L1577" s="10">
        <v>16744.659500000002</v>
      </c>
    </row>
    <row r="1578" spans="1:12" x14ac:dyDescent="0.25">
      <c r="A1578">
        <v>1577</v>
      </c>
      <c r="B1578" s="3">
        <v>0.20209019536822154</v>
      </c>
      <c r="C1578" s="3">
        <v>7.6778538256339568E-2</v>
      </c>
      <c r="D1578" s="1">
        <v>165300.81363362775</v>
      </c>
      <c r="E1578" s="1">
        <v>7632431</v>
      </c>
      <c r="F1578" s="1">
        <v>26225844</v>
      </c>
      <c r="G1578" s="16">
        <v>20214.828404803658</v>
      </c>
      <c r="H1578">
        <v>147.72</v>
      </c>
      <c r="I1578" s="1">
        <v>536.56000000000006</v>
      </c>
      <c r="J1578" s="16">
        <v>185515.64203843143</v>
      </c>
      <c r="K1578" s="5">
        <v>0.23544419007157766</v>
      </c>
      <c r="L1578" s="10">
        <v>362868.88160000002</v>
      </c>
    </row>
    <row r="1579" spans="1:12" x14ac:dyDescent="0.25">
      <c r="A1579">
        <v>1578</v>
      </c>
      <c r="B1579" s="3">
        <v>0.18940684400411578</v>
      </c>
      <c r="C1579" s="3">
        <v>4.0214881691015072E-2</v>
      </c>
      <c r="D1579" s="1">
        <v>244658.17590874224</v>
      </c>
      <c r="E1579" s="1">
        <v>13084216</v>
      </c>
      <c r="F1579" s="1">
        <v>51256271</v>
      </c>
      <c r="G1579" s="16">
        <v>26532.138601403345</v>
      </c>
      <c r="H1579">
        <v>173.64</v>
      </c>
      <c r="I1579" s="1">
        <v>500.38</v>
      </c>
      <c r="J1579" s="16">
        <v>271190.31451014557</v>
      </c>
      <c r="K1579" s="5">
        <v>8.2868852929291914E-2</v>
      </c>
      <c r="L1579" s="10">
        <v>459109.87040000001</v>
      </c>
    </row>
    <row r="1580" spans="1:12" x14ac:dyDescent="0.25">
      <c r="A1580">
        <v>1579</v>
      </c>
      <c r="B1580" s="3">
        <v>0.24490348411068608</v>
      </c>
      <c r="C1580" s="3">
        <v>5.0287206897580324E-2</v>
      </c>
      <c r="D1580" s="1">
        <v>89410.271161641213</v>
      </c>
      <c r="E1580" s="1">
        <v>3886716</v>
      </c>
      <c r="F1580" s="1">
        <v>17133890</v>
      </c>
      <c r="G1580" s="16">
        <v>18103.208407269467</v>
      </c>
      <c r="H1580">
        <v>257.75</v>
      </c>
      <c r="I1580" s="1">
        <v>774.08</v>
      </c>
      <c r="J1580" s="16">
        <v>107513.47956891068</v>
      </c>
      <c r="K1580" s="5">
        <v>0.15941703639894833</v>
      </c>
      <c r="L1580" s="10">
        <v>270869.08159999998</v>
      </c>
    </row>
    <row r="1581" spans="1:12" x14ac:dyDescent="0.25">
      <c r="A1581">
        <v>1580</v>
      </c>
      <c r="B1581" s="3">
        <v>0.19554034921195756</v>
      </c>
      <c r="C1581" s="3">
        <v>5.4493353356677848E-2</v>
      </c>
      <c r="D1581" s="1">
        <v>113401.80703345229</v>
      </c>
      <c r="E1581" s="1">
        <v>5067639</v>
      </c>
      <c r="F1581" s="1">
        <v>29510214</v>
      </c>
      <c r="G1581" s="16">
        <v>27684.396814002983</v>
      </c>
      <c r="H1581">
        <v>190.95</v>
      </c>
      <c r="I1581" s="1">
        <v>501.52</v>
      </c>
      <c r="J1581" s="16">
        <v>141086.20384745527</v>
      </c>
      <c r="K1581" s="5">
        <v>-2.5591524741578376E-2</v>
      </c>
      <c r="L1581" s="10">
        <v>-36121.280400000003</v>
      </c>
    </row>
    <row r="1582" spans="1:12" x14ac:dyDescent="0.25">
      <c r="A1582">
        <v>1581</v>
      </c>
      <c r="B1582" s="3">
        <v>0.22899916980973972</v>
      </c>
      <c r="C1582" s="3">
        <v>3.0198202521273983E-2</v>
      </c>
      <c r="D1582" s="1">
        <v>160519.13175084486</v>
      </c>
      <c r="E1582" s="1">
        <v>11026964</v>
      </c>
      <c r="F1582" s="1">
        <v>50690873</v>
      </c>
      <c r="G1582" s="16">
        <v>20771.620512016343</v>
      </c>
      <c r="H1582">
        <v>148.71</v>
      </c>
      <c r="I1582" s="1">
        <v>379.71000000000004</v>
      </c>
      <c r="J1582" s="16">
        <v>181290.75226286121</v>
      </c>
      <c r="K1582" s="5">
        <v>4.9367324673694417E-2</v>
      </c>
      <c r="L1582" s="10">
        <v>250156.7604</v>
      </c>
    </row>
    <row r="1583" spans="1:12" x14ac:dyDescent="0.25">
      <c r="A1583">
        <v>1582</v>
      </c>
      <c r="B1583" s="3">
        <v>0.23030765023389141</v>
      </c>
      <c r="C1583" s="3">
        <v>4.0479557427675388E-2</v>
      </c>
      <c r="D1583" s="1">
        <v>70687.31275005058</v>
      </c>
      <c r="E1583" s="1">
        <v>2901306</v>
      </c>
      <c r="F1583" s="1">
        <v>12662317</v>
      </c>
      <c r="G1583" s="16">
        <v>13322.549084815355</v>
      </c>
      <c r="H1583">
        <v>96.54</v>
      </c>
      <c r="I1583" s="1">
        <v>341.84000000000003</v>
      </c>
      <c r="J1583" s="16">
        <v>84009.861834865937</v>
      </c>
      <c r="K1583" s="5">
        <v>0.20069028232316977</v>
      </c>
      <c r="L1583" s="10">
        <v>339282.75270000001</v>
      </c>
    </row>
    <row r="1584" spans="1:12" x14ac:dyDescent="0.25">
      <c r="A1584">
        <v>1583</v>
      </c>
      <c r="B1584" s="3">
        <v>0.19971425972673201</v>
      </c>
      <c r="C1584" s="3">
        <v>5.2011923043332894E-2</v>
      </c>
      <c r="D1584" s="1">
        <v>156280.0363724319</v>
      </c>
      <c r="E1584" s="1">
        <v>7130602</v>
      </c>
      <c r="F1584" s="1">
        <v>37146673</v>
      </c>
      <c r="G1584" s="16">
        <v>52785.560059217809</v>
      </c>
      <c r="H1584">
        <v>471.67</v>
      </c>
      <c r="I1584" s="1">
        <v>1209.23</v>
      </c>
      <c r="J1584" s="16">
        <v>209065.5964316497</v>
      </c>
      <c r="K1584" s="5">
        <v>2.8914331062159085E-2</v>
      </c>
      <c r="L1584" s="10">
        <v>150942.1195</v>
      </c>
    </row>
    <row r="1585" spans="1:12" x14ac:dyDescent="0.25">
      <c r="A1585">
        <v>1584</v>
      </c>
      <c r="B1585" s="3">
        <v>0.10687338815665963</v>
      </c>
      <c r="C1585" s="3">
        <v>2.5401978927088661E-2</v>
      </c>
      <c r="D1585" s="1">
        <v>310662.16673641745</v>
      </c>
      <c r="E1585" s="1">
        <v>9137739</v>
      </c>
      <c r="F1585" s="1">
        <v>37715330</v>
      </c>
      <c r="G1585" s="16">
        <v>78329.487717336859</v>
      </c>
      <c r="H1585">
        <v>290.87</v>
      </c>
      <c r="I1585" s="1">
        <v>820.63</v>
      </c>
      <c r="J1585" s="16">
        <v>388991.65445375431</v>
      </c>
      <c r="K1585" s="5">
        <v>-1.9408198658380123E-2</v>
      </c>
      <c r="L1585" s="10">
        <v>-252139.6741</v>
      </c>
    </row>
    <row r="1586" spans="1:12" x14ac:dyDescent="0.25">
      <c r="A1586">
        <v>1585</v>
      </c>
      <c r="B1586" s="3">
        <v>0.18299840126628339</v>
      </c>
      <c r="C1586" s="3">
        <v>2.3904301740492968E-2</v>
      </c>
      <c r="D1586" s="1">
        <v>66896.942724727647</v>
      </c>
      <c r="E1586" s="1">
        <v>2295837</v>
      </c>
      <c r="F1586" s="1">
        <v>14586341</v>
      </c>
      <c r="G1586" s="16">
        <v>59490.461528214742</v>
      </c>
      <c r="H1586">
        <v>450.39</v>
      </c>
      <c r="I1586" s="1">
        <v>1036.5900000000001</v>
      </c>
      <c r="J1586" s="16">
        <v>126387.40425294239</v>
      </c>
      <c r="K1586" s="5">
        <v>0.15094865858946685</v>
      </c>
      <c r="L1586" s="10">
        <v>708075.40859999997</v>
      </c>
    </row>
    <row r="1587" spans="1:12" x14ac:dyDescent="0.25">
      <c r="A1587">
        <v>1586</v>
      </c>
      <c r="B1587" s="3">
        <v>0.12680813925451556</v>
      </c>
      <c r="C1587" s="3">
        <v>6.2237316415257135E-2</v>
      </c>
      <c r="D1587" s="1">
        <v>153406.22720507876</v>
      </c>
      <c r="E1587" s="1">
        <v>4938641</v>
      </c>
      <c r="F1587" s="1">
        <v>28348010</v>
      </c>
      <c r="G1587" s="16">
        <v>62692.065873273641</v>
      </c>
      <c r="H1587">
        <v>244.28</v>
      </c>
      <c r="I1587" s="1">
        <v>755.02</v>
      </c>
      <c r="J1587" s="16">
        <v>216098.29307835241</v>
      </c>
      <c r="K1587" s="5">
        <v>7.9615630394746575E-2</v>
      </c>
      <c r="L1587" s="10">
        <v>227030.18979999999</v>
      </c>
    </row>
    <row r="1588" spans="1:12" x14ac:dyDescent="0.25">
      <c r="A1588">
        <v>1587</v>
      </c>
      <c r="B1588" s="3">
        <v>0.11111380717850332</v>
      </c>
      <c r="C1588" s="3">
        <v>4.0959111332369208E-2</v>
      </c>
      <c r="D1588" s="1">
        <v>352006.19320763682</v>
      </c>
      <c r="E1588" s="1">
        <v>10552811</v>
      </c>
      <c r="F1588" s="1">
        <v>31896282</v>
      </c>
      <c r="G1588" s="16">
        <v>70343.972147235065</v>
      </c>
      <c r="H1588">
        <v>271.73</v>
      </c>
      <c r="I1588" s="1">
        <v>781.2</v>
      </c>
      <c r="J1588" s="16">
        <v>422350.16535487189</v>
      </c>
      <c r="K1588" s="5">
        <v>6.0307591219959045E-2</v>
      </c>
      <c r="L1588" s="10">
        <v>478311.86139999999</v>
      </c>
    </row>
    <row r="1589" spans="1:12" x14ac:dyDescent="0.25">
      <c r="A1589">
        <v>1588</v>
      </c>
      <c r="B1589" s="3">
        <v>0.2058797224901521</v>
      </c>
      <c r="C1589" s="3">
        <v>2.8194963499010621E-2</v>
      </c>
      <c r="D1589" s="1">
        <v>110402.84926550445</v>
      </c>
      <c r="E1589" s="1">
        <v>4125953</v>
      </c>
      <c r="F1589" s="1">
        <v>14438229</v>
      </c>
      <c r="G1589" s="16">
        <v>26669.195464090863</v>
      </c>
      <c r="H1589">
        <v>201.62</v>
      </c>
      <c r="I1589" s="1">
        <v>507.07</v>
      </c>
      <c r="J1589" s="16">
        <v>137072.04472959531</v>
      </c>
      <c r="K1589" s="5">
        <v>2.8156765227440688E-2</v>
      </c>
      <c r="L1589" s="10">
        <v>116147.6348</v>
      </c>
    </row>
    <row r="1590" spans="1:12" x14ac:dyDescent="0.25">
      <c r="A1590">
        <v>1589</v>
      </c>
      <c r="B1590" s="3">
        <v>0.19696888803141299</v>
      </c>
      <c r="C1590" s="3">
        <v>2.61469790869901E-2</v>
      </c>
      <c r="D1590" s="1">
        <v>139523.80635610429</v>
      </c>
      <c r="E1590" s="1">
        <v>6279461</v>
      </c>
      <c r="F1590" s="1">
        <v>25014163</v>
      </c>
      <c r="G1590" s="16">
        <v>45710.657556064536</v>
      </c>
      <c r="H1590">
        <v>397.44</v>
      </c>
      <c r="I1590" s="1">
        <v>948.44</v>
      </c>
      <c r="J1590" s="16">
        <v>185234.46391216884</v>
      </c>
      <c r="K1590" s="5">
        <v>0.3195322480460277</v>
      </c>
      <c r="L1590" s="10">
        <v>1902607.7945999999</v>
      </c>
    </row>
    <row r="1591" spans="1:12" x14ac:dyDescent="0.25">
      <c r="A1591">
        <v>1590</v>
      </c>
      <c r="B1591" s="3">
        <v>0.21099755899299327</v>
      </c>
      <c r="C1591" s="3">
        <v>5.0749273202748024E-2</v>
      </c>
      <c r="D1591" s="1">
        <v>187676.1910070451</v>
      </c>
      <c r="E1591" s="1">
        <v>11487361</v>
      </c>
      <c r="F1591" s="1">
        <v>44208119</v>
      </c>
      <c r="G1591" s="16">
        <v>33370.626895770016</v>
      </c>
      <c r="H1591">
        <v>263.77999999999997</v>
      </c>
      <c r="I1591" s="1">
        <v>664.78</v>
      </c>
      <c r="J1591" s="16">
        <v>221046.81790281512</v>
      </c>
      <c r="K1591" s="5">
        <v>0.18202787687859179</v>
      </c>
      <c r="L1591" s="10">
        <v>601133.78249999997</v>
      </c>
    </row>
    <row r="1592" spans="1:12" x14ac:dyDescent="0.25">
      <c r="A1592">
        <v>1591</v>
      </c>
      <c r="B1592" s="3">
        <v>0.18072316063418106</v>
      </c>
      <c r="C1592" s="3">
        <v>3.6837426372785483E-2</v>
      </c>
      <c r="D1592" s="1">
        <v>50008.346926183163</v>
      </c>
      <c r="E1592" s="1">
        <v>1701974</v>
      </c>
      <c r="F1592" s="1">
        <v>11083705</v>
      </c>
      <c r="G1592" s="16">
        <v>62562.038400021636</v>
      </c>
      <c r="H1592">
        <v>463.16</v>
      </c>
      <c r="I1592" s="1">
        <v>1109.6100000000001</v>
      </c>
      <c r="J1592" s="16">
        <v>112570.38532620479</v>
      </c>
      <c r="K1592" s="5">
        <v>0.11685416337597933</v>
      </c>
      <c r="L1592" s="10">
        <v>292676.38799999998</v>
      </c>
    </row>
    <row r="1593" spans="1:12" x14ac:dyDescent="0.25">
      <c r="A1593">
        <v>1592</v>
      </c>
      <c r="B1593" s="3">
        <v>0.18836781272390082</v>
      </c>
      <c r="C1593" s="3">
        <v>5.9692528019616234E-2</v>
      </c>
      <c r="D1593" s="1">
        <v>82586.793666237019</v>
      </c>
      <c r="E1593" s="1">
        <v>2890920</v>
      </c>
      <c r="F1593" s="1">
        <v>18021006</v>
      </c>
      <c r="G1593" s="16">
        <v>13254.322236898088</v>
      </c>
      <c r="H1593">
        <v>85.89</v>
      </c>
      <c r="I1593" s="1">
        <v>409.21000000000004</v>
      </c>
      <c r="J1593" s="16">
        <v>95841.115903135113</v>
      </c>
      <c r="K1593" s="5">
        <v>8.8175339625523666E-2</v>
      </c>
      <c r="L1593" s="10">
        <v>116121.8854</v>
      </c>
    </row>
    <row r="1594" spans="1:12" x14ac:dyDescent="0.25">
      <c r="A1594">
        <v>1593</v>
      </c>
      <c r="B1594" s="3">
        <v>0.2226703531222087</v>
      </c>
      <c r="C1594" s="3">
        <v>5.2570251438310844E-2</v>
      </c>
      <c r="D1594" s="1">
        <v>28003.051749185233</v>
      </c>
      <c r="E1594" s="1">
        <v>1115817</v>
      </c>
      <c r="F1594" s="1">
        <v>12265230</v>
      </c>
      <c r="G1594" s="16">
        <v>10625.642643973139</v>
      </c>
      <c r="H1594">
        <v>72.510000000000005</v>
      </c>
      <c r="I1594" s="1">
        <v>271.5</v>
      </c>
      <c r="J1594" s="16">
        <v>38628.694393158374</v>
      </c>
      <c r="K1594" s="5">
        <v>0.10257118958747424</v>
      </c>
      <c r="L1594" s="10">
        <v>59216.493399999999</v>
      </c>
    </row>
    <row r="1595" spans="1:12" x14ac:dyDescent="0.25">
      <c r="A1595">
        <v>1594</v>
      </c>
      <c r="B1595" s="3">
        <v>0.14519770539328702</v>
      </c>
      <c r="C1595" s="3">
        <v>4.5724721147140955E-2</v>
      </c>
      <c r="D1595" s="1">
        <v>279786.22041374078</v>
      </c>
      <c r="E1595" s="1">
        <v>11473627</v>
      </c>
      <c r="F1595" s="1">
        <v>46164166</v>
      </c>
      <c r="G1595" s="16">
        <v>68605.43554678862</v>
      </c>
      <c r="H1595">
        <v>362.1</v>
      </c>
      <c r="I1595" s="1">
        <v>828.38000000000011</v>
      </c>
      <c r="J1595" s="16">
        <v>348391.6559605294</v>
      </c>
      <c r="K1595" s="5">
        <v>7.05037216011076E-2</v>
      </c>
      <c r="L1595" s="10">
        <v>423510.8334</v>
      </c>
    </row>
    <row r="1596" spans="1:12" x14ac:dyDescent="0.25">
      <c r="A1596">
        <v>1595</v>
      </c>
      <c r="B1596" s="3">
        <v>0.13309895225328378</v>
      </c>
      <c r="C1596" s="3">
        <v>6.5472711807975426E-2</v>
      </c>
      <c r="D1596" s="1">
        <v>168388.61074397634</v>
      </c>
      <c r="E1596" s="1">
        <v>5580047</v>
      </c>
      <c r="F1596" s="1">
        <v>24202321</v>
      </c>
      <c r="G1596" s="16">
        <v>40349.526431621722</v>
      </c>
      <c r="H1596">
        <v>164.79</v>
      </c>
      <c r="I1596" s="1">
        <v>497.72</v>
      </c>
      <c r="J1596" s="16">
        <v>208738.13717559807</v>
      </c>
      <c r="K1596" s="5">
        <v>0.25570067294615983</v>
      </c>
      <c r="L1596" s="10">
        <v>547334.15449999995</v>
      </c>
    </row>
    <row r="1597" spans="1:12" x14ac:dyDescent="0.25">
      <c r="A1597">
        <v>1596</v>
      </c>
      <c r="B1597" s="3">
        <v>0.21771004164018856</v>
      </c>
      <c r="C1597" s="3">
        <v>3.7058208412660887E-2</v>
      </c>
      <c r="D1597" s="1">
        <v>255317.19454945062</v>
      </c>
      <c r="E1597" s="1">
        <v>12758872</v>
      </c>
      <c r="F1597" s="1">
        <v>38914725</v>
      </c>
      <c r="G1597" s="16">
        <v>28266.977871313735</v>
      </c>
      <c r="H1597">
        <v>237.18</v>
      </c>
      <c r="I1597" s="1">
        <v>576.17000000000007</v>
      </c>
      <c r="J1597" s="16">
        <v>283584.17242076434</v>
      </c>
      <c r="K1597" s="5">
        <v>0.15106585869587222</v>
      </c>
      <c r="L1597" s="10">
        <v>891467.3469</v>
      </c>
    </row>
    <row r="1598" spans="1:12" x14ac:dyDescent="0.25">
      <c r="A1598">
        <v>1597</v>
      </c>
      <c r="B1598" s="3">
        <v>0.15322235861239522</v>
      </c>
      <c r="C1598" s="3">
        <v>7.5666782993993806E-2</v>
      </c>
      <c r="D1598" s="1">
        <v>80236.901129269361</v>
      </c>
      <c r="E1598" s="1">
        <v>2473253</v>
      </c>
      <c r="F1598" s="1">
        <v>16857463</v>
      </c>
      <c r="G1598" s="16">
        <v>33163.44849162161</v>
      </c>
      <c r="H1598">
        <v>135.16999999999999</v>
      </c>
      <c r="I1598" s="1">
        <v>381.77</v>
      </c>
      <c r="J1598" s="16">
        <v>113400.34962089098</v>
      </c>
      <c r="K1598" s="5">
        <v>9.5693687533634553E-2</v>
      </c>
      <c r="L1598" s="10">
        <v>118276.4826</v>
      </c>
    </row>
    <row r="1599" spans="1:12" x14ac:dyDescent="0.25">
      <c r="A1599">
        <v>1598</v>
      </c>
      <c r="B1599" s="3">
        <v>0.21254005554568473</v>
      </c>
      <c r="C1599" s="3">
        <v>3.6857082294424338E-2</v>
      </c>
      <c r="D1599" s="1">
        <v>125249.77540926945</v>
      </c>
      <c r="E1599" s="1">
        <v>6096298</v>
      </c>
      <c r="F1599" s="1">
        <v>26887054</v>
      </c>
      <c r="G1599" s="16">
        <v>13901.427789848272</v>
      </c>
      <c r="H1599">
        <v>111.27</v>
      </c>
      <c r="I1599" s="1">
        <v>385.17999999999995</v>
      </c>
      <c r="J1599" s="16">
        <v>139151.20319911774</v>
      </c>
      <c r="K1599" s="5">
        <v>0.12178618838602245</v>
      </c>
      <c r="L1599" s="10">
        <v>403450.09480000002</v>
      </c>
    </row>
    <row r="1600" spans="1:12" x14ac:dyDescent="0.25">
      <c r="A1600">
        <v>1599</v>
      </c>
      <c r="B1600" s="3">
        <v>0.18033391895150835</v>
      </c>
      <c r="C1600" s="3">
        <v>4.0511796359287068E-2</v>
      </c>
      <c r="D1600" s="1">
        <v>99899.531323670788</v>
      </c>
      <c r="E1600" s="1">
        <v>3395118</v>
      </c>
      <c r="F1600" s="1">
        <v>19761382</v>
      </c>
      <c r="G1600" s="16">
        <v>13919.276222830011</v>
      </c>
      <c r="H1600">
        <v>69.040000000000006</v>
      </c>
      <c r="I1600" s="1">
        <v>308.94</v>
      </c>
      <c r="J1600" s="16">
        <v>113818.8075465008</v>
      </c>
      <c r="K1600" s="5">
        <v>0.10472404619253878</v>
      </c>
      <c r="L1600" s="10">
        <v>239940.07430000001</v>
      </c>
    </row>
    <row r="1601" spans="1:12" x14ac:dyDescent="0.25">
      <c r="A1601">
        <v>1600</v>
      </c>
      <c r="B1601" s="3">
        <v>0.12665789324835439</v>
      </c>
      <c r="C1601" s="3">
        <v>3.0137171780876014E-2</v>
      </c>
      <c r="D1601" s="1">
        <v>111470.52643097566</v>
      </c>
      <c r="E1601" s="1">
        <v>3586122</v>
      </c>
      <c r="F1601" s="1">
        <v>23448624</v>
      </c>
      <c r="G1601" s="16">
        <v>43438.776868512425</v>
      </c>
      <c r="H1601">
        <v>168.65</v>
      </c>
      <c r="I1601" s="1">
        <v>518.36</v>
      </c>
      <c r="J1601" s="16">
        <v>154909.30329948809</v>
      </c>
      <c r="K1601" s="5">
        <v>0.18864656379078323</v>
      </c>
      <c r="L1601" s="10">
        <v>852466.22210000001</v>
      </c>
    </row>
    <row r="1602" spans="1:12" x14ac:dyDescent="0.25">
      <c r="A1602">
        <v>1601</v>
      </c>
      <c r="B1602" s="3">
        <v>0.11133895904384657</v>
      </c>
      <c r="C1602" s="3">
        <v>4.4730481676620054E-2</v>
      </c>
      <c r="D1602" s="1">
        <v>143302.20919091895</v>
      </c>
      <c r="E1602" s="1">
        <v>4300421</v>
      </c>
      <c r="F1602" s="1">
        <v>22326890</v>
      </c>
      <c r="G1602" s="16">
        <v>55952.047255408768</v>
      </c>
      <c r="H1602">
        <v>192.04</v>
      </c>
      <c r="I1602" s="1">
        <v>594.69000000000005</v>
      </c>
      <c r="J1602" s="16">
        <v>199254.25644632772</v>
      </c>
      <c r="K1602" s="5">
        <v>0.2174045470240849</v>
      </c>
      <c r="L1602" s="10">
        <v>744067.51890000002</v>
      </c>
    </row>
    <row r="1603" spans="1:12" x14ac:dyDescent="0.25">
      <c r="A1603">
        <v>1602</v>
      </c>
      <c r="B1603" s="3">
        <v>0.12608884402598522</v>
      </c>
      <c r="C1603" s="3">
        <v>3.9197215484324671E-2</v>
      </c>
      <c r="D1603" s="1">
        <v>182526.60613188316</v>
      </c>
      <c r="E1603" s="1">
        <v>5856793</v>
      </c>
      <c r="F1603" s="1">
        <v>24107698</v>
      </c>
      <c r="G1603" s="16">
        <v>44590.755456844228</v>
      </c>
      <c r="H1603">
        <v>172.48</v>
      </c>
      <c r="I1603" s="1">
        <v>593.27</v>
      </c>
      <c r="J1603" s="16">
        <v>227117.36158872739</v>
      </c>
      <c r="K1603" s="5">
        <v>0.1240562132268534</v>
      </c>
      <c r="L1603" s="10">
        <v>571141.3186</v>
      </c>
    </row>
    <row r="1604" spans="1:12" x14ac:dyDescent="0.25">
      <c r="A1604">
        <v>1603</v>
      </c>
      <c r="B1604" s="3">
        <v>0.11678795083435141</v>
      </c>
      <c r="C1604" s="3">
        <v>4.4702519589798762E-2</v>
      </c>
      <c r="D1604" s="1">
        <v>81174.237879463588</v>
      </c>
      <c r="E1604" s="1">
        <v>2205089</v>
      </c>
      <c r="F1604" s="1">
        <v>16404158</v>
      </c>
      <c r="G1604" s="16">
        <v>102891.63347730027</v>
      </c>
      <c r="H1604">
        <v>418.32</v>
      </c>
      <c r="I1604" s="1">
        <v>946.23</v>
      </c>
      <c r="J1604" s="16">
        <v>184065.87135676388</v>
      </c>
      <c r="K1604" s="5">
        <v>0.16377515798703429</v>
      </c>
      <c r="L1604" s="10">
        <v>498276.20770000003</v>
      </c>
    </row>
    <row r="1605" spans="1:12" x14ac:dyDescent="0.25">
      <c r="A1605">
        <v>1604</v>
      </c>
      <c r="B1605" s="3">
        <v>0.15857871093780013</v>
      </c>
      <c r="C1605" s="3">
        <v>7.6797772992939065E-2</v>
      </c>
      <c r="D1605" s="1">
        <v>68482.289265383093</v>
      </c>
      <c r="E1605" s="1">
        <v>2151495</v>
      </c>
      <c r="F1605" s="1">
        <v>12624067</v>
      </c>
      <c r="G1605" s="16">
        <v>14821.461557739984</v>
      </c>
      <c r="H1605">
        <v>62.77</v>
      </c>
      <c r="I1605" s="1">
        <v>236.85999999999999</v>
      </c>
      <c r="J1605" s="16">
        <v>83303.750823123075</v>
      </c>
      <c r="K1605" s="5">
        <v>8.3718234845125805E-2</v>
      </c>
      <c r="L1605" s="10">
        <v>55865.145700000001</v>
      </c>
    </row>
    <row r="1606" spans="1:12" x14ac:dyDescent="0.25">
      <c r="A1606">
        <v>1605</v>
      </c>
      <c r="B1606" s="3">
        <v>0.11370826037376498</v>
      </c>
      <c r="C1606" s="3">
        <v>7.1026061121018558E-2</v>
      </c>
      <c r="D1606" s="1">
        <v>168594.65181811978</v>
      </c>
      <c r="E1606" s="1">
        <v>5113754</v>
      </c>
      <c r="F1606" s="1">
        <v>26236836</v>
      </c>
      <c r="G1606" s="16">
        <v>86579.359745827081</v>
      </c>
      <c r="H1606">
        <v>342.05</v>
      </c>
      <c r="I1606" s="1">
        <v>864.23</v>
      </c>
      <c r="J1606" s="16">
        <v>255174.01156394684</v>
      </c>
      <c r="K1606" s="5">
        <v>0.15658795841789119</v>
      </c>
      <c r="L1606" s="10">
        <v>365035.3726</v>
      </c>
    </row>
    <row r="1607" spans="1:12" x14ac:dyDescent="0.25">
      <c r="A1607">
        <v>1606</v>
      </c>
      <c r="B1607" s="3">
        <v>0.11969996009352936</v>
      </c>
      <c r="C1607" s="3">
        <v>2.3151672124864058E-2</v>
      </c>
      <c r="D1607" s="1">
        <v>547232.19522779156</v>
      </c>
      <c r="E1607" s="1">
        <v>19374086</v>
      </c>
      <c r="F1607" s="1">
        <v>65414791</v>
      </c>
      <c r="G1607" s="16">
        <v>52625.206850534196</v>
      </c>
      <c r="H1607">
        <v>193.28</v>
      </c>
      <c r="I1607" s="1">
        <v>493.68000000000006</v>
      </c>
      <c r="J1607" s="16">
        <v>599857.40207832574</v>
      </c>
      <c r="K1607" s="5">
        <v>1.2378850833814108E-2</v>
      </c>
      <c r="L1607" s="10">
        <v>266438.02490000002</v>
      </c>
    </row>
    <row r="1608" spans="1:12" x14ac:dyDescent="0.25">
      <c r="A1608">
        <v>1607</v>
      </c>
      <c r="B1608" s="3">
        <v>0.23450424880517529</v>
      </c>
      <c r="C1608" s="3">
        <v>4.2802096111450437E-2</v>
      </c>
      <c r="D1608" s="1">
        <v>213973.20345630799</v>
      </c>
      <c r="E1608" s="1">
        <v>15235209</v>
      </c>
      <c r="F1608" s="1">
        <v>59056263</v>
      </c>
      <c r="G1608" s="16">
        <v>24820.272333708894</v>
      </c>
      <c r="H1608">
        <v>242.52</v>
      </c>
      <c r="I1608" s="1">
        <v>582.61</v>
      </c>
      <c r="J1608" s="16">
        <v>238793.47579001688</v>
      </c>
      <c r="K1608" s="5">
        <v>0.20245922120752899</v>
      </c>
      <c r="L1608" s="10">
        <v>882828.47019999998</v>
      </c>
    </row>
    <row r="1609" spans="1:12" x14ac:dyDescent="0.25">
      <c r="A1609">
        <v>1608</v>
      </c>
      <c r="B1609" s="3">
        <v>0.21962122635573011</v>
      </c>
      <c r="C1609" s="3">
        <v>4.155154889478465E-2</v>
      </c>
      <c r="D1609" s="1">
        <v>54796.491341558947</v>
      </c>
      <c r="E1609" s="1">
        <v>2157939</v>
      </c>
      <c r="F1609" s="1">
        <v>16974469</v>
      </c>
      <c r="G1609" s="16">
        <v>20567.795379873689</v>
      </c>
      <c r="H1609">
        <v>137.25</v>
      </c>
      <c r="I1609" s="1">
        <v>361.90000000000003</v>
      </c>
      <c r="J1609" s="16">
        <v>75364.28672143264</v>
      </c>
      <c r="K1609" s="5">
        <v>9.7768933856589024E-2</v>
      </c>
      <c r="L1609" s="10">
        <v>150306.94089999999</v>
      </c>
    </row>
    <row r="1610" spans="1:12" x14ac:dyDescent="0.25">
      <c r="A1610">
        <v>1609</v>
      </c>
      <c r="B1610" s="3">
        <v>0.19338237331069288</v>
      </c>
      <c r="C1610" s="3">
        <v>5.6625807795733465E-2</v>
      </c>
      <c r="D1610" s="1">
        <v>453419.38727745751</v>
      </c>
      <c r="E1610" s="1">
        <v>24852197</v>
      </c>
      <c r="F1610" s="1">
        <v>72078413</v>
      </c>
      <c r="G1610" s="16">
        <v>48733.535762800224</v>
      </c>
      <c r="H1610">
        <v>329.65</v>
      </c>
      <c r="I1610" s="1">
        <v>715.82999999999993</v>
      </c>
      <c r="J1610" s="16">
        <v>502152.92304025777</v>
      </c>
      <c r="K1610" s="5">
        <v>7.7111388837305866E-2</v>
      </c>
      <c r="L1610" s="10">
        <v>484375.45140000002</v>
      </c>
    </row>
    <row r="1611" spans="1:12" x14ac:dyDescent="0.25">
      <c r="A1611">
        <v>1610</v>
      </c>
      <c r="B1611" s="3">
        <v>0.16276887718140903</v>
      </c>
      <c r="C1611" s="3">
        <v>2.505718501563357E-2</v>
      </c>
      <c r="D1611" s="1">
        <v>98759.416820792947</v>
      </c>
      <c r="E1611" s="1">
        <v>3149527</v>
      </c>
      <c r="F1611" s="1">
        <v>17490860</v>
      </c>
      <c r="G1611" s="16">
        <v>56432.317396698869</v>
      </c>
      <c r="H1611">
        <v>351.67</v>
      </c>
      <c r="I1611" s="1">
        <v>962.8900000000001</v>
      </c>
      <c r="J1611" s="16">
        <v>155191.73421749182</v>
      </c>
      <c r="K1611" s="5">
        <v>0.15162695614876398</v>
      </c>
      <c r="L1611" s="10">
        <v>806163.22450000001</v>
      </c>
    </row>
    <row r="1612" spans="1:12" x14ac:dyDescent="0.25">
      <c r="A1612">
        <v>1611</v>
      </c>
      <c r="B1612" s="3">
        <v>0.21599184098900009</v>
      </c>
      <c r="C1612" s="3">
        <v>7.9845587403130691E-2</v>
      </c>
      <c r="D1612" s="1">
        <v>207366.9445662589</v>
      </c>
      <c r="E1612" s="1">
        <v>10272128</v>
      </c>
      <c r="F1612" s="1">
        <v>33261137</v>
      </c>
      <c r="G1612" s="16">
        <v>32027.157207822089</v>
      </c>
      <c r="H1612">
        <v>264.88</v>
      </c>
      <c r="I1612" s="1">
        <v>608.67000000000007</v>
      </c>
      <c r="J1612" s="16">
        <v>239394.10177408098</v>
      </c>
      <c r="K1612" s="5">
        <v>2.717450684746071E-2</v>
      </c>
      <c r="L1612" s="10">
        <v>82188.212700000004</v>
      </c>
    </row>
    <row r="1613" spans="1:12" x14ac:dyDescent="0.25">
      <c r="A1613">
        <v>1612</v>
      </c>
      <c r="B1613" s="3">
        <v>0.22442257704380453</v>
      </c>
      <c r="C1613" s="3">
        <v>7.7515474299250237E-2</v>
      </c>
      <c r="D1613" s="1">
        <v>364945.99362413678</v>
      </c>
      <c r="E1613" s="1">
        <v>24339179</v>
      </c>
      <c r="F1613" s="1">
        <v>80009785</v>
      </c>
      <c r="G1613" s="16">
        <v>22590.916758836229</v>
      </c>
      <c r="H1613">
        <v>259.08999999999997</v>
      </c>
      <c r="I1613" s="1">
        <v>934.7</v>
      </c>
      <c r="J1613" s="16">
        <v>387536.91038297303</v>
      </c>
      <c r="K1613" s="5">
        <v>0.14303470757219078</v>
      </c>
      <c r="L1613" s="10">
        <v>452222.19040000002</v>
      </c>
    </row>
    <row r="1614" spans="1:12" x14ac:dyDescent="0.25">
      <c r="A1614">
        <v>1613</v>
      </c>
      <c r="B1614" s="3">
        <v>0.24753682905786192</v>
      </c>
      <c r="C1614" s="3">
        <v>5.5010371764679294E-2</v>
      </c>
      <c r="D1614" s="1">
        <v>153876.02159127648</v>
      </c>
      <c r="E1614" s="1">
        <v>8983236</v>
      </c>
      <c r="F1614" s="1">
        <v>42425513</v>
      </c>
      <c r="G1614" s="16">
        <v>20532.469876609983</v>
      </c>
      <c r="H1614">
        <v>226.26</v>
      </c>
      <c r="I1614" s="1">
        <v>534.72</v>
      </c>
      <c r="J1614" s="16">
        <v>174408.49146788646</v>
      </c>
      <c r="K1614" s="5">
        <v>2.7847564347039055E-2</v>
      </c>
      <c r="L1614" s="10">
        <v>79570.692999999999</v>
      </c>
    </row>
    <row r="1615" spans="1:12" x14ac:dyDescent="0.25">
      <c r="A1615">
        <v>1614</v>
      </c>
      <c r="B1615" s="3">
        <v>0.10648436667516152</v>
      </c>
      <c r="C1615" s="3">
        <v>2.6652095852326609E-2</v>
      </c>
      <c r="D1615" s="1">
        <v>349540.64059779258</v>
      </c>
      <c r="E1615" s="1">
        <v>10263418</v>
      </c>
      <c r="F1615" s="1">
        <v>35945721</v>
      </c>
      <c r="G1615" s="16">
        <v>63333.584930931829</v>
      </c>
      <c r="H1615">
        <v>234.79</v>
      </c>
      <c r="I1615" s="1">
        <v>857.9899999999999</v>
      </c>
      <c r="J1615" s="16">
        <v>412874.22552872438</v>
      </c>
      <c r="K1615" s="5">
        <v>7.3698452670847001E-2</v>
      </c>
      <c r="L1615" s="10">
        <v>984129.24210000003</v>
      </c>
    </row>
    <row r="1616" spans="1:12" x14ac:dyDescent="0.25">
      <c r="A1616">
        <v>1615</v>
      </c>
      <c r="B1616" s="3">
        <v>0.10639213534170641</v>
      </c>
      <c r="C1616" s="3">
        <v>7.5055874980311549E-2</v>
      </c>
      <c r="D1616" s="1">
        <v>95897.34464993322</v>
      </c>
      <c r="E1616" s="1">
        <v>2515178</v>
      </c>
      <c r="F1616" s="1">
        <v>19084701</v>
      </c>
      <c r="G1616" s="16">
        <v>45981.937524506749</v>
      </c>
      <c r="H1616">
        <v>151.97</v>
      </c>
      <c r="I1616" s="1">
        <v>516.41</v>
      </c>
      <c r="J1616" s="16">
        <v>141879.28217443998</v>
      </c>
      <c r="K1616" s="5">
        <v>0.13212905592476676</v>
      </c>
      <c r="L1616" s="10">
        <v>180412.9388</v>
      </c>
    </row>
    <row r="1617" spans="1:12" x14ac:dyDescent="0.25">
      <c r="A1617">
        <v>1616</v>
      </c>
      <c r="B1617" s="3">
        <v>0.12116876477043718</v>
      </c>
      <c r="C1617" s="3">
        <v>3.9898021979411988E-2</v>
      </c>
      <c r="D1617" s="1">
        <v>105695.01332290392</v>
      </c>
      <c r="E1617" s="1">
        <v>2914345</v>
      </c>
      <c r="F1617" s="1">
        <v>13606637</v>
      </c>
      <c r="G1617" s="16">
        <v>61745.309292735539</v>
      </c>
      <c r="H1617">
        <v>229.53</v>
      </c>
      <c r="I1617" s="1">
        <v>605.69999999999993</v>
      </c>
      <c r="J1617" s="16">
        <v>167440.32261563945</v>
      </c>
      <c r="K1617" s="5">
        <v>0.12598807239405874</v>
      </c>
      <c r="L1617" s="10">
        <v>435253.51669999998</v>
      </c>
    </row>
    <row r="1618" spans="1:12" x14ac:dyDescent="0.25">
      <c r="A1618">
        <v>1617</v>
      </c>
      <c r="B1618" s="3">
        <v>0.19100585148083465</v>
      </c>
      <c r="C1618" s="3">
        <v>7.4846687581129223E-2</v>
      </c>
      <c r="D1618" s="1">
        <v>184803.29208436591</v>
      </c>
      <c r="E1618" s="1">
        <v>8074786</v>
      </c>
      <c r="F1618" s="1">
        <v>40096736</v>
      </c>
      <c r="G1618" s="16">
        <v>20445.231201080402</v>
      </c>
      <c r="H1618">
        <v>135.57</v>
      </c>
      <c r="I1618" s="1">
        <v>416.91</v>
      </c>
      <c r="J1618" s="16">
        <v>205248.52328544631</v>
      </c>
      <c r="K1618" s="5">
        <v>-4.2424781903487002E-2</v>
      </c>
      <c r="L1618" s="10">
        <v>-50722.507400000002</v>
      </c>
    </row>
    <row r="1619" spans="1:12" x14ac:dyDescent="0.25">
      <c r="A1619">
        <v>1618</v>
      </c>
      <c r="B1619" s="3">
        <v>0.19405308399428745</v>
      </c>
      <c r="C1619" s="3">
        <v>4.6879561821574281E-2</v>
      </c>
      <c r="D1619" s="1">
        <v>64603.290157948824</v>
      </c>
      <c r="E1619" s="1">
        <v>2309607</v>
      </c>
      <c r="F1619" s="1">
        <v>15589593</v>
      </c>
      <c r="G1619" s="16">
        <v>29516.395280564317</v>
      </c>
      <c r="H1619">
        <v>200.96</v>
      </c>
      <c r="I1619" s="1">
        <v>575.64</v>
      </c>
      <c r="J1619" s="16">
        <v>94119.685438513145</v>
      </c>
      <c r="K1619" s="5">
        <v>7.9493829043363107E-2</v>
      </c>
      <c r="L1619" s="10">
        <v>147862.44390000001</v>
      </c>
    </row>
    <row r="1620" spans="1:12" x14ac:dyDescent="0.25">
      <c r="A1620">
        <v>1619</v>
      </c>
      <c r="B1620" s="3">
        <v>0.10677927501826066</v>
      </c>
      <c r="C1620" s="3">
        <v>3.8863552851101213E-2</v>
      </c>
      <c r="D1620" s="1">
        <v>656409.0747391379</v>
      </c>
      <c r="E1620" s="1">
        <v>21606459</v>
      </c>
      <c r="F1620" s="1">
        <v>79488611</v>
      </c>
      <c r="G1620" s="16">
        <v>64021.696322355827</v>
      </c>
      <c r="H1620">
        <v>212.58</v>
      </c>
      <c r="I1620" s="1">
        <v>587.15</v>
      </c>
      <c r="J1620" s="16">
        <v>720430.77106149378</v>
      </c>
      <c r="K1620" s="5">
        <v>7.27130799315958E-2</v>
      </c>
      <c r="L1620" s="10">
        <v>1115366.3914000001</v>
      </c>
    </row>
    <row r="1621" spans="1:12" x14ac:dyDescent="0.25">
      <c r="A1621">
        <v>1620</v>
      </c>
      <c r="B1621" s="3">
        <v>0.20758974784346754</v>
      </c>
      <c r="C1621" s="3">
        <v>5.1201042973874421E-2</v>
      </c>
      <c r="D1621" s="1">
        <v>89574.690374309212</v>
      </c>
      <c r="E1621" s="1">
        <v>3369287</v>
      </c>
      <c r="F1621" s="1">
        <v>18497288</v>
      </c>
      <c r="G1621" s="16">
        <v>5121.9003266014251</v>
      </c>
      <c r="H1621">
        <v>24.67</v>
      </c>
      <c r="I1621" s="1">
        <v>104.06</v>
      </c>
      <c r="J1621" s="16">
        <v>94696.59070091063</v>
      </c>
      <c r="K1621" s="5">
        <v>0.15369761160027753</v>
      </c>
      <c r="L1621" s="10">
        <v>226342.82149999999</v>
      </c>
    </row>
    <row r="1622" spans="1:12" x14ac:dyDescent="0.25">
      <c r="A1622">
        <v>1621</v>
      </c>
      <c r="B1622" s="3">
        <v>0.19525385132341222</v>
      </c>
      <c r="C1622" s="3">
        <v>3.4836550335937438E-2</v>
      </c>
      <c r="D1622" s="1">
        <v>168313.51255127363</v>
      </c>
      <c r="E1622" s="1">
        <v>7510800</v>
      </c>
      <c r="F1622" s="1">
        <v>28607344</v>
      </c>
      <c r="G1622" s="16">
        <v>17227.012192365062</v>
      </c>
      <c r="H1622">
        <v>95.54</v>
      </c>
      <c r="I1622" s="1">
        <v>368.59000000000003</v>
      </c>
      <c r="J1622" s="16">
        <v>185540.5247436387</v>
      </c>
      <c r="K1622" s="5">
        <v>-0.14464584368197539</v>
      </c>
      <c r="L1622" s="10">
        <v>-609173.77260000003</v>
      </c>
    </row>
    <row r="1623" spans="1:12" x14ac:dyDescent="0.25">
      <c r="A1623">
        <v>1622</v>
      </c>
      <c r="B1623" s="3">
        <v>0.16121771685880784</v>
      </c>
      <c r="C1623" s="3">
        <v>7.9209501567477039E-2</v>
      </c>
      <c r="D1623" s="1">
        <v>175926.27035243373</v>
      </c>
      <c r="E1623" s="1">
        <v>6651757</v>
      </c>
      <c r="F1623" s="1">
        <v>23315165</v>
      </c>
      <c r="G1623" s="16">
        <v>29713.523535638455</v>
      </c>
      <c r="H1623">
        <v>128.33000000000001</v>
      </c>
      <c r="I1623" s="1">
        <v>367.83000000000004</v>
      </c>
      <c r="J1623" s="16">
        <v>205639.79388807219</v>
      </c>
      <c r="K1623" s="5">
        <v>-2.754696901818306E-2</v>
      </c>
      <c r="L1623" s="10">
        <v>-18767.9486</v>
      </c>
    </row>
    <row r="1624" spans="1:12" x14ac:dyDescent="0.25">
      <c r="A1624">
        <v>1623</v>
      </c>
      <c r="B1624" s="3">
        <v>0.24017161995093347</v>
      </c>
      <c r="C1624" s="3">
        <v>3.4543961651690373E-2</v>
      </c>
      <c r="D1624" s="1">
        <v>180863.11902358569</v>
      </c>
      <c r="E1624" s="1">
        <v>10155264</v>
      </c>
      <c r="F1624" s="1">
        <v>35550625</v>
      </c>
      <c r="G1624" s="16">
        <v>16040.659693293597</v>
      </c>
      <c r="H1624">
        <v>164.97</v>
      </c>
      <c r="I1624" s="1">
        <v>566.26</v>
      </c>
      <c r="J1624" s="16">
        <v>196903.77871687929</v>
      </c>
      <c r="K1624" s="5">
        <v>0.23690084762350549</v>
      </c>
      <c r="L1624" s="10">
        <v>1117449.7590000001</v>
      </c>
    </row>
    <row r="1625" spans="1:12" x14ac:dyDescent="0.25">
      <c r="A1625">
        <v>1624</v>
      </c>
      <c r="B1625" s="3">
        <v>0.12622267865792777</v>
      </c>
      <c r="C1625" s="3">
        <v>4.4867877238151554E-2</v>
      </c>
      <c r="D1625" s="1">
        <v>182113.20827546116</v>
      </c>
      <c r="E1625" s="1">
        <v>5847111</v>
      </c>
      <c r="F1625" s="1">
        <v>34634315</v>
      </c>
      <c r="G1625" s="16">
        <v>74585.68568122221</v>
      </c>
      <c r="H1625">
        <v>329.92</v>
      </c>
      <c r="I1625" s="1">
        <v>817.44</v>
      </c>
      <c r="J1625" s="16">
        <v>256698.89395668337</v>
      </c>
      <c r="K1625" s="5">
        <v>7.2448859286067896E-2</v>
      </c>
      <c r="L1625" s="10">
        <v>391052.61969999998</v>
      </c>
    </row>
    <row r="1626" spans="1:12" x14ac:dyDescent="0.25">
      <c r="A1626">
        <v>1625</v>
      </c>
      <c r="B1626" s="3">
        <v>0.13391078791178362</v>
      </c>
      <c r="C1626" s="3">
        <v>5.7326302351381017E-2</v>
      </c>
      <c r="D1626" s="1">
        <v>126198.12140183446</v>
      </c>
      <c r="E1626" s="1">
        <v>3635526</v>
      </c>
      <c r="F1626" s="1">
        <v>20095797</v>
      </c>
      <c r="G1626" s="16">
        <v>49492.419356843959</v>
      </c>
      <c r="H1626">
        <v>203.72</v>
      </c>
      <c r="I1626" s="1">
        <v>622.27</v>
      </c>
      <c r="J1626" s="16">
        <v>175690.54075867843</v>
      </c>
      <c r="K1626" s="5">
        <v>0.15638416401720767</v>
      </c>
      <c r="L1626" s="10">
        <v>352450.83559999999</v>
      </c>
    </row>
    <row r="1627" spans="1:12" x14ac:dyDescent="0.25">
      <c r="A1627">
        <v>1626</v>
      </c>
      <c r="B1627" s="3">
        <v>0.11541681661216145</v>
      </c>
      <c r="C1627" s="3">
        <v>5.4514275574697166E-2</v>
      </c>
      <c r="D1627" s="1">
        <v>295822.00494917075</v>
      </c>
      <c r="E1627" s="1">
        <v>9042285</v>
      </c>
      <c r="F1627" s="1">
        <v>34136035</v>
      </c>
      <c r="G1627" s="16">
        <v>29907.844292337213</v>
      </c>
      <c r="H1627">
        <v>93.87</v>
      </c>
      <c r="I1627" s="1">
        <v>360.53</v>
      </c>
      <c r="J1627" s="16">
        <v>325729.84924150794</v>
      </c>
      <c r="K1627" s="5">
        <v>8.3579910712630739E-3</v>
      </c>
      <c r="L1627" s="10">
        <v>54035.130700000002</v>
      </c>
    </row>
    <row r="1628" spans="1:12" x14ac:dyDescent="0.25">
      <c r="A1628">
        <v>1627</v>
      </c>
      <c r="B1628" s="3">
        <v>0.1335495213953076</v>
      </c>
      <c r="C1628" s="3">
        <v>5.6649782953680727E-2</v>
      </c>
      <c r="D1628" s="1">
        <v>152745.18489548707</v>
      </c>
      <c r="E1628" s="1">
        <v>5072190</v>
      </c>
      <c r="F1628" s="1">
        <v>22445100</v>
      </c>
      <c r="G1628" s="16">
        <v>33457.987775070374</v>
      </c>
      <c r="H1628">
        <v>137.27000000000001</v>
      </c>
      <c r="I1628" s="1">
        <v>399.78</v>
      </c>
      <c r="J1628" s="16">
        <v>186203.17267055745</v>
      </c>
      <c r="K1628" s="5">
        <v>0.15283230655474475</v>
      </c>
      <c r="L1628" s="10">
        <v>362372.08850000001</v>
      </c>
    </row>
    <row r="1629" spans="1:12" x14ac:dyDescent="0.25">
      <c r="A1629">
        <v>1628</v>
      </c>
      <c r="B1629" s="3">
        <v>0.15170231026491054</v>
      </c>
      <c r="C1629" s="3">
        <v>2.1217770459355547E-2</v>
      </c>
      <c r="D1629" s="1">
        <v>297900.70198574825</v>
      </c>
      <c r="E1629" s="1">
        <v>10766652</v>
      </c>
      <c r="F1629" s="1">
        <v>38273917</v>
      </c>
      <c r="G1629" s="16">
        <v>38440.932704354185</v>
      </c>
      <c r="H1629">
        <v>182.86</v>
      </c>
      <c r="I1629" s="1">
        <v>637.52</v>
      </c>
      <c r="J1629" s="16">
        <v>336341.63469010242</v>
      </c>
      <c r="K1629" s="5">
        <v>0.16665947362950162</v>
      </c>
      <c r="L1629" s="10">
        <v>2249965.8325999998</v>
      </c>
    </row>
    <row r="1630" spans="1:12" x14ac:dyDescent="0.25">
      <c r="A1630">
        <v>1629</v>
      </c>
      <c r="B1630" s="3">
        <v>0.11739532508805758</v>
      </c>
      <c r="C1630" s="3">
        <v>4.345627173602272E-2</v>
      </c>
      <c r="D1630" s="1">
        <v>84922.124551178917</v>
      </c>
      <c r="E1630" s="1">
        <v>2311665</v>
      </c>
      <c r="F1630" s="1">
        <v>15352349</v>
      </c>
      <c r="G1630" s="16">
        <v>41632.225744757699</v>
      </c>
      <c r="H1630">
        <v>149.97</v>
      </c>
      <c r="I1630" s="1">
        <v>456.31000000000006</v>
      </c>
      <c r="J1630" s="16">
        <v>126554.35029593662</v>
      </c>
      <c r="K1630" s="5">
        <v>9.0385915564157787E-2</v>
      </c>
      <c r="L1630" s="10">
        <v>202901.9927</v>
      </c>
    </row>
    <row r="1631" spans="1:12" x14ac:dyDescent="0.25">
      <c r="A1631">
        <v>1630</v>
      </c>
      <c r="B1631" s="3">
        <v>0.13372951562995919</v>
      </c>
      <c r="C1631" s="3">
        <v>5.9045526280685684E-2</v>
      </c>
      <c r="D1631" s="1">
        <v>91914.182232970226</v>
      </c>
      <c r="E1631" s="1">
        <v>2646213</v>
      </c>
      <c r="F1631" s="1">
        <v>19905480</v>
      </c>
      <c r="G1631" s="16">
        <v>28208.277590645772</v>
      </c>
      <c r="H1631">
        <v>100.38</v>
      </c>
      <c r="I1631" s="1">
        <v>366.5</v>
      </c>
      <c r="J1631" s="16">
        <v>120122.45982361599</v>
      </c>
      <c r="K1631" s="5">
        <v>6.0094067129026249E-2</v>
      </c>
      <c r="L1631" s="10">
        <v>105565.5619</v>
      </c>
    </row>
    <row r="1632" spans="1:12" x14ac:dyDescent="0.25">
      <c r="A1632">
        <v>1631</v>
      </c>
      <c r="B1632" s="3">
        <v>0.17461419204698206</v>
      </c>
      <c r="C1632" s="3">
        <v>7.621271754174383E-2</v>
      </c>
      <c r="D1632" s="1">
        <v>66922.200560181416</v>
      </c>
      <c r="E1632" s="1">
        <v>2227421</v>
      </c>
      <c r="F1632" s="1">
        <v>15523571</v>
      </c>
      <c r="G1632" s="16">
        <v>15679.333593416155</v>
      </c>
      <c r="H1632">
        <v>74.489999999999995</v>
      </c>
      <c r="I1632" s="1">
        <v>233.54000000000002</v>
      </c>
      <c r="J1632" s="16">
        <v>82601.534153597575</v>
      </c>
      <c r="K1632" s="5">
        <v>0.23319491573048015</v>
      </c>
      <c r="L1632" s="10">
        <v>165305.2445</v>
      </c>
    </row>
    <row r="1633" spans="1:12" x14ac:dyDescent="0.25">
      <c r="A1633">
        <v>1632</v>
      </c>
      <c r="B1633" s="3">
        <v>0.19547342480491009</v>
      </c>
      <c r="C1633" s="3">
        <v>3.4440539099286224E-2</v>
      </c>
      <c r="D1633" s="1">
        <v>131624.6604498463</v>
      </c>
      <c r="E1633" s="1">
        <v>4730629</v>
      </c>
      <c r="F1633" s="1">
        <v>16271639</v>
      </c>
      <c r="G1633" s="16">
        <v>34598.563881608614</v>
      </c>
      <c r="H1633">
        <v>296.58</v>
      </c>
      <c r="I1633" s="1">
        <v>1076.6500000000001</v>
      </c>
      <c r="J1633" s="16">
        <v>166223.2243314549</v>
      </c>
      <c r="K1633" s="5">
        <v>0.10797158513980809</v>
      </c>
      <c r="L1633" s="10">
        <v>416151.64990000002</v>
      </c>
    </row>
    <row r="1634" spans="1:12" x14ac:dyDescent="0.25">
      <c r="A1634">
        <v>1633</v>
      </c>
      <c r="B1634" s="3">
        <v>0.24420640834593277</v>
      </c>
      <c r="C1634" s="3">
        <v>3.6901980236865035E-2</v>
      </c>
      <c r="D1634" s="1">
        <v>93300.893893762855</v>
      </c>
      <c r="E1634" s="1">
        <v>5351504</v>
      </c>
      <c r="F1634" s="1">
        <v>22640327</v>
      </c>
      <c r="G1634" s="16">
        <v>9520.1347050650838</v>
      </c>
      <c r="H1634">
        <v>76.94</v>
      </c>
      <c r="I1634" s="1">
        <v>271.95000000000005</v>
      </c>
      <c r="J1634" s="16">
        <v>102821.02859882794</v>
      </c>
      <c r="K1634" s="5">
        <v>0.31105503833349801</v>
      </c>
      <c r="L1634" s="10">
        <v>717959.56059999997</v>
      </c>
    </row>
    <row r="1635" spans="1:12" x14ac:dyDescent="0.25">
      <c r="A1635">
        <v>1634</v>
      </c>
      <c r="B1635" s="3">
        <v>0.15169860507361999</v>
      </c>
      <c r="C1635" s="3">
        <v>6.2174338243348254E-2</v>
      </c>
      <c r="D1635" s="1">
        <v>158565.9849451484</v>
      </c>
      <c r="E1635" s="1">
        <v>4861413</v>
      </c>
      <c r="F1635" s="1">
        <v>18910004</v>
      </c>
      <c r="G1635" s="16">
        <v>52473.122747336573</v>
      </c>
      <c r="H1635">
        <v>294.3</v>
      </c>
      <c r="I1635" s="1">
        <v>947.56</v>
      </c>
      <c r="J1635" s="16">
        <v>211039.10769248498</v>
      </c>
      <c r="K1635" s="5">
        <v>4.4109427611918967E-2</v>
      </c>
      <c r="L1635" s="10">
        <v>101328.3616</v>
      </c>
    </row>
    <row r="1636" spans="1:12" x14ac:dyDescent="0.25">
      <c r="A1636">
        <v>1635</v>
      </c>
      <c r="B1636" s="3">
        <v>0.17115394126410127</v>
      </c>
      <c r="C1636" s="3">
        <v>4.3668285663566064E-2</v>
      </c>
      <c r="D1636" s="1">
        <v>108461.52202053468</v>
      </c>
      <c r="E1636" s="1">
        <v>3564980</v>
      </c>
      <c r="F1636" s="1">
        <v>16822546</v>
      </c>
      <c r="G1636" s="16">
        <v>35434.193324102125</v>
      </c>
      <c r="H1636">
        <v>198.39</v>
      </c>
      <c r="I1636" s="1">
        <v>589.12</v>
      </c>
      <c r="J1636" s="16">
        <v>143895.71534463682</v>
      </c>
      <c r="K1636" s="5">
        <v>0.14644596343479499</v>
      </c>
      <c r="L1636" s="10">
        <v>384670.1225</v>
      </c>
    </row>
    <row r="1637" spans="1:12" x14ac:dyDescent="0.25">
      <c r="A1637">
        <v>1636</v>
      </c>
      <c r="B1637" s="3">
        <v>0.15589268343774262</v>
      </c>
      <c r="C1637" s="3">
        <v>5.8952961015463795E-2</v>
      </c>
      <c r="D1637" s="1">
        <v>362143.08676409133</v>
      </c>
      <c r="E1637" s="1">
        <v>13350347</v>
      </c>
      <c r="F1637" s="1">
        <v>40062372</v>
      </c>
      <c r="G1637" s="16">
        <v>15243.438143754402</v>
      </c>
      <c r="H1637">
        <v>63.42</v>
      </c>
      <c r="I1637" s="1">
        <v>338.41</v>
      </c>
      <c r="J1637" s="16">
        <v>377386.52490784571</v>
      </c>
      <c r="K1637" s="5">
        <v>0.13156903103237885</v>
      </c>
      <c r="L1637" s="10">
        <v>563879.14690000005</v>
      </c>
    </row>
    <row r="1638" spans="1:12" x14ac:dyDescent="0.25">
      <c r="A1638">
        <v>1637</v>
      </c>
      <c r="B1638" s="3">
        <v>0.19921682397641591</v>
      </c>
      <c r="C1638" s="3">
        <v>2.5334953481838309E-2</v>
      </c>
      <c r="D1638" s="1">
        <v>78642.618047846481</v>
      </c>
      <c r="E1638" s="1">
        <v>2866261</v>
      </c>
      <c r="F1638" s="1">
        <v>15145540</v>
      </c>
      <c r="G1638" s="16">
        <v>31063.86566473763</v>
      </c>
      <c r="H1638">
        <v>221.3</v>
      </c>
      <c r="I1638" s="1">
        <v>585.04</v>
      </c>
      <c r="J1638" s="16">
        <v>109706.48371258411</v>
      </c>
      <c r="K1638" s="5">
        <v>8.6720214413944036E-2</v>
      </c>
      <c r="L1638" s="10">
        <v>348957.01880000002</v>
      </c>
    </row>
    <row r="1639" spans="1:12" x14ac:dyDescent="0.25">
      <c r="A1639">
        <v>1638</v>
      </c>
      <c r="B1639" s="3">
        <v>0.1445869413421095</v>
      </c>
      <c r="C1639" s="3">
        <v>7.7522050153866387E-2</v>
      </c>
      <c r="D1639" s="1">
        <v>78955.599535584071</v>
      </c>
      <c r="E1639" s="1">
        <v>2360795</v>
      </c>
      <c r="F1639" s="1">
        <v>19652913</v>
      </c>
      <c r="G1639" s="16">
        <v>19523.653500187531</v>
      </c>
      <c r="H1639">
        <v>74.83</v>
      </c>
      <c r="I1639" s="1">
        <v>311.20999999999998</v>
      </c>
      <c r="J1639" s="16">
        <v>98479.253035771602</v>
      </c>
      <c r="K1639" s="5">
        <v>0.18897545849508279</v>
      </c>
      <c r="L1639" s="10">
        <v>183485.56839999999</v>
      </c>
    </row>
    <row r="1640" spans="1:12" x14ac:dyDescent="0.25">
      <c r="A1640">
        <v>1639</v>
      </c>
      <c r="B1640" s="3">
        <v>0.11580975768476286</v>
      </c>
      <c r="C1640" s="3">
        <v>3.8758848958553076E-2</v>
      </c>
      <c r="D1640" s="1">
        <v>540583.95250510913</v>
      </c>
      <c r="E1640" s="1">
        <v>18721329</v>
      </c>
      <c r="F1640" s="1">
        <v>50667904</v>
      </c>
      <c r="G1640" s="16">
        <v>108028.35520978281</v>
      </c>
      <c r="H1640">
        <v>435.11</v>
      </c>
      <c r="I1640" s="1">
        <v>1220.8</v>
      </c>
      <c r="J1640" s="16">
        <v>648612.30771489197</v>
      </c>
      <c r="K1640" s="5">
        <v>0.15199221387880837</v>
      </c>
      <c r="L1640" s="10">
        <v>1930177.5421</v>
      </c>
    </row>
    <row r="1641" spans="1:12" x14ac:dyDescent="0.25">
      <c r="A1641">
        <v>1640</v>
      </c>
      <c r="B1641" s="3">
        <v>0.1478185572585376</v>
      </c>
      <c r="C1641" s="3">
        <v>5.2659570143096579E-2</v>
      </c>
      <c r="D1641" s="1">
        <v>471504.18135321786</v>
      </c>
      <c r="E1641" s="1">
        <v>19634874</v>
      </c>
      <c r="F1641" s="1">
        <v>63669411</v>
      </c>
      <c r="G1641" s="16">
        <v>49717.208243508758</v>
      </c>
      <c r="H1641">
        <v>268.95999999999998</v>
      </c>
      <c r="I1641" s="1">
        <v>775.56</v>
      </c>
      <c r="J1641" s="16">
        <v>521221.38959672663</v>
      </c>
      <c r="K1641" s="5">
        <v>0.12516842406424625</v>
      </c>
      <c r="L1641" s="10">
        <v>897879.06180000002</v>
      </c>
    </row>
    <row r="1642" spans="1:12" x14ac:dyDescent="0.25">
      <c r="A1642">
        <v>1641</v>
      </c>
      <c r="B1642" s="3">
        <v>0.13071205197028912</v>
      </c>
      <c r="C1642" s="3">
        <v>4.0038627997117812E-2</v>
      </c>
      <c r="D1642" s="1">
        <v>273066.57280815236</v>
      </c>
      <c r="E1642" s="1">
        <v>8949871</v>
      </c>
      <c r="F1642" s="1">
        <v>33912393</v>
      </c>
      <c r="G1642" s="16">
        <v>74554.019068685186</v>
      </c>
      <c r="H1642">
        <v>343.96</v>
      </c>
      <c r="I1642" s="1">
        <v>816.66000000000008</v>
      </c>
      <c r="J1642" s="16">
        <v>347620.59187683754</v>
      </c>
      <c r="K1642" s="5">
        <v>-2.4526947064357058E-2</v>
      </c>
      <c r="L1642" s="10">
        <v>-125481.6143</v>
      </c>
    </row>
    <row r="1643" spans="1:12" x14ac:dyDescent="0.25">
      <c r="A1643">
        <v>1642</v>
      </c>
      <c r="B1643" s="3">
        <v>0.13106976305313495</v>
      </c>
      <c r="C1643" s="3">
        <v>7.7766552389850321E-2</v>
      </c>
      <c r="D1643" s="1">
        <v>305386.74219309899</v>
      </c>
      <c r="E1643" s="1">
        <v>11537957</v>
      </c>
      <c r="F1643" s="1">
        <v>47347670</v>
      </c>
      <c r="G1643" s="16">
        <v>53887.04539403916</v>
      </c>
      <c r="H1643">
        <v>216.83</v>
      </c>
      <c r="I1643" s="1">
        <v>553.76</v>
      </c>
      <c r="J1643" s="16">
        <v>359273.78758713813</v>
      </c>
      <c r="K1643" s="5">
        <v>-8.3000362435383362E-2</v>
      </c>
      <c r="L1643" s="10">
        <v>-185930.3878</v>
      </c>
    </row>
    <row r="1644" spans="1:12" x14ac:dyDescent="0.25">
      <c r="A1644">
        <v>1643</v>
      </c>
      <c r="B1644" s="3">
        <v>0.1277025947330899</v>
      </c>
      <c r="C1644" s="3">
        <v>2.1876438678452129E-2</v>
      </c>
      <c r="D1644" s="1">
        <v>168347.24334917546</v>
      </c>
      <c r="E1644" s="1">
        <v>5441905</v>
      </c>
      <c r="F1644" s="1">
        <v>28476379</v>
      </c>
      <c r="G1644" s="16">
        <v>60366.516212785653</v>
      </c>
      <c r="H1644">
        <v>236.16</v>
      </c>
      <c r="I1644" s="1">
        <v>571.51</v>
      </c>
      <c r="J1644" s="16">
        <v>228713.75956196111</v>
      </c>
      <c r="K1644" s="5">
        <v>0.13155484031741568</v>
      </c>
      <c r="L1644" s="10">
        <v>1209164.1998000001</v>
      </c>
    </row>
    <row r="1645" spans="1:12" x14ac:dyDescent="0.25">
      <c r="A1645">
        <v>1644</v>
      </c>
      <c r="B1645" s="3">
        <v>0.10317515530884735</v>
      </c>
      <c r="C1645" s="3">
        <v>5.8062246030876535E-2</v>
      </c>
      <c r="D1645" s="1">
        <v>182030.55724343678</v>
      </c>
      <c r="E1645" s="1">
        <v>5266433</v>
      </c>
      <c r="F1645" s="1">
        <v>27883343</v>
      </c>
      <c r="G1645" s="16">
        <v>32277.763055198182</v>
      </c>
      <c r="H1645">
        <v>93.17</v>
      </c>
      <c r="I1645" s="1">
        <v>262.24</v>
      </c>
      <c r="J1645" s="16">
        <v>214308.32029863496</v>
      </c>
      <c r="K1645" s="5">
        <v>0.1631982693124244</v>
      </c>
      <c r="L1645" s="10">
        <v>463558.96419999999</v>
      </c>
    </row>
    <row r="1646" spans="1:12" x14ac:dyDescent="0.25">
      <c r="A1646">
        <v>1645</v>
      </c>
      <c r="B1646" s="3">
        <v>0.18057819453834534</v>
      </c>
      <c r="C1646" s="3">
        <v>6.7378118505590709E-2</v>
      </c>
      <c r="D1646" s="1">
        <v>127907.67337433445</v>
      </c>
      <c r="E1646" s="1">
        <v>5309689</v>
      </c>
      <c r="F1646" s="1">
        <v>24123008</v>
      </c>
      <c r="G1646" s="16">
        <v>17242.166983365056</v>
      </c>
      <c r="H1646">
        <v>104.62</v>
      </c>
      <c r="I1646" s="1">
        <v>409.09000000000003</v>
      </c>
      <c r="J1646" s="16">
        <v>145149.84035769952</v>
      </c>
      <c r="K1646" s="5">
        <v>-3.4720730352750459E-2</v>
      </c>
      <c r="L1646" s="10">
        <v>-14629.7649</v>
      </c>
    </row>
    <row r="1647" spans="1:12" x14ac:dyDescent="0.25">
      <c r="A1647">
        <v>1646</v>
      </c>
      <c r="B1647" s="3">
        <v>0.16484305710881522</v>
      </c>
      <c r="C1647" s="3">
        <v>5.8645750783532111E-2</v>
      </c>
      <c r="D1647" s="1">
        <v>42462.915315764287</v>
      </c>
      <c r="E1647" s="1">
        <v>1139401</v>
      </c>
      <c r="F1647" s="1">
        <v>8145700</v>
      </c>
      <c r="G1647" s="16">
        <v>56934.358877660976</v>
      </c>
      <c r="H1647">
        <v>302.68</v>
      </c>
      <c r="I1647" s="1">
        <v>715.68000000000006</v>
      </c>
      <c r="J1647" s="16">
        <v>99397.274193425255</v>
      </c>
      <c r="K1647" s="5">
        <v>0.11937476301547643</v>
      </c>
      <c r="L1647" s="10">
        <v>149254.9424</v>
      </c>
    </row>
    <row r="1648" spans="1:12" x14ac:dyDescent="0.25">
      <c r="A1648">
        <v>1647</v>
      </c>
      <c r="B1648" s="3">
        <v>0.13832658484112603</v>
      </c>
      <c r="C1648" s="3">
        <v>5.799472264731087E-2</v>
      </c>
      <c r="D1648" s="1">
        <v>42788.948906781319</v>
      </c>
      <c r="E1648" s="1">
        <v>1078571</v>
      </c>
      <c r="F1648" s="1">
        <v>10107631</v>
      </c>
      <c r="G1648" s="16">
        <v>14746.234096725177</v>
      </c>
      <c r="H1648">
        <v>46.71</v>
      </c>
      <c r="I1648" s="1">
        <v>144.31</v>
      </c>
      <c r="J1648" s="16">
        <v>57535.183003506492</v>
      </c>
      <c r="K1648" s="5">
        <v>-1.6158488633880051E-2</v>
      </c>
      <c r="L1648" s="10">
        <v>1790.8521000000001</v>
      </c>
    </row>
    <row r="1649" spans="1:12" x14ac:dyDescent="0.25">
      <c r="A1649">
        <v>1648</v>
      </c>
      <c r="B1649" s="3">
        <v>0.24422329860157818</v>
      </c>
      <c r="C1649" s="3">
        <v>5.0763192964018697E-2</v>
      </c>
      <c r="D1649" s="1">
        <v>52768.929166920447</v>
      </c>
      <c r="E1649" s="1">
        <v>2287708</v>
      </c>
      <c r="F1649" s="1">
        <v>17268354</v>
      </c>
      <c r="G1649" s="16">
        <v>25467.387984725774</v>
      </c>
      <c r="H1649">
        <v>272.06</v>
      </c>
      <c r="I1649" s="1">
        <v>686.78</v>
      </c>
      <c r="J1649" s="16">
        <v>78236.317151646217</v>
      </c>
      <c r="K1649" s="5">
        <v>0.12200182507834308</v>
      </c>
      <c r="L1649" s="10">
        <v>154997.95480000001</v>
      </c>
    </row>
    <row r="1650" spans="1:12" x14ac:dyDescent="0.25">
      <c r="A1650">
        <v>1649</v>
      </c>
      <c r="B1650" s="3">
        <v>0.12091030559235807</v>
      </c>
      <c r="C1650" s="3">
        <v>5.4016537075362983E-2</v>
      </c>
      <c r="D1650" s="1">
        <v>138537.29798336007</v>
      </c>
      <c r="E1650" s="1">
        <v>3816551</v>
      </c>
      <c r="F1650" s="1">
        <v>18800884</v>
      </c>
      <c r="G1650" s="16">
        <v>38768.320987760562</v>
      </c>
      <c r="H1650">
        <v>126.27</v>
      </c>
      <c r="I1650" s="1">
        <v>377.97999999999996</v>
      </c>
      <c r="J1650" s="16">
        <v>177305.61897112062</v>
      </c>
      <c r="K1650" s="5">
        <v>0.34260948630978605</v>
      </c>
      <c r="L1650" s="10">
        <v>826079.63309999998</v>
      </c>
    </row>
    <row r="1651" spans="1:12" x14ac:dyDescent="0.25">
      <c r="A1651">
        <v>1650</v>
      </c>
      <c r="B1651" s="3">
        <v>0.10329197889457985</v>
      </c>
      <c r="C1651" s="3">
        <v>7.4030207323308256E-2</v>
      </c>
      <c r="D1651" s="1">
        <v>416093.26064546884</v>
      </c>
      <c r="E1651" s="1">
        <v>13431931</v>
      </c>
      <c r="F1651" s="1">
        <v>43754563</v>
      </c>
      <c r="G1651" s="16">
        <v>95271.857334690445</v>
      </c>
      <c r="H1651">
        <v>342.91</v>
      </c>
      <c r="I1651" s="1">
        <v>927.56000000000017</v>
      </c>
      <c r="J1651" s="16">
        <v>511365.1179801593</v>
      </c>
      <c r="K1651" s="5">
        <v>4.1327718548140359E-3</v>
      </c>
      <c r="L1651" s="10">
        <v>51883.691800000001</v>
      </c>
    </row>
    <row r="1652" spans="1:12" x14ac:dyDescent="0.25">
      <c r="A1652">
        <v>1651</v>
      </c>
      <c r="B1652" s="3">
        <v>0.20480842535786942</v>
      </c>
      <c r="C1652" s="3">
        <v>6.622026552262672E-2</v>
      </c>
      <c r="D1652" s="1">
        <v>93127.408024628661</v>
      </c>
      <c r="E1652" s="1">
        <v>3466294</v>
      </c>
      <c r="F1652" s="1">
        <v>17626439</v>
      </c>
      <c r="G1652" s="16">
        <v>39688.304713392856</v>
      </c>
      <c r="H1652">
        <v>297.08999999999997</v>
      </c>
      <c r="I1652" s="1">
        <v>744.82999999999993</v>
      </c>
      <c r="J1652" s="16">
        <v>132815.71273802151</v>
      </c>
      <c r="K1652" s="5">
        <v>0.15445971588323884</v>
      </c>
      <c r="L1652" s="10">
        <v>232589.85740000001</v>
      </c>
    </row>
    <row r="1653" spans="1:12" x14ac:dyDescent="0.25">
      <c r="A1653">
        <v>1652</v>
      </c>
      <c r="B1653" s="3">
        <v>0.21524436041004624</v>
      </c>
      <c r="C1653" s="3">
        <v>3.1168742109411385E-2</v>
      </c>
      <c r="D1653" s="1">
        <v>154662.61230109853</v>
      </c>
      <c r="E1653" s="1">
        <v>9725584</v>
      </c>
      <c r="F1653" s="1">
        <v>45547536</v>
      </c>
      <c r="G1653" s="16">
        <v>17725.938401738207</v>
      </c>
      <c r="H1653">
        <v>114.21</v>
      </c>
      <c r="I1653" s="1">
        <v>359.07</v>
      </c>
      <c r="J1653" s="16">
        <v>172388.55070283674</v>
      </c>
      <c r="K1653" s="5">
        <v>0.10107781868086359</v>
      </c>
      <c r="L1653" s="10">
        <v>467922.35450000002</v>
      </c>
    </row>
    <row r="1654" spans="1:12" x14ac:dyDescent="0.25">
      <c r="A1654">
        <v>1653</v>
      </c>
      <c r="B1654" s="3">
        <v>0.11158211728888959</v>
      </c>
      <c r="C1654" s="3">
        <v>4.8421336266219195E-2</v>
      </c>
      <c r="D1654" s="1">
        <v>321053.21042204852</v>
      </c>
      <c r="E1654" s="1">
        <v>9645185</v>
      </c>
      <c r="F1654" s="1">
        <v>41820259</v>
      </c>
      <c r="G1654" s="16">
        <v>61484.891204260319</v>
      </c>
      <c r="H1654">
        <v>212</v>
      </c>
      <c r="I1654" s="1">
        <v>616.20000000000005</v>
      </c>
      <c r="J1654" s="16">
        <v>382538.10162630887</v>
      </c>
      <c r="K1654" s="5">
        <v>3.782549814162043E-2</v>
      </c>
      <c r="L1654" s="10">
        <v>240615.9558</v>
      </c>
    </row>
    <row r="1655" spans="1:12" x14ac:dyDescent="0.25">
      <c r="A1655">
        <v>1654</v>
      </c>
      <c r="B1655" s="3">
        <v>0.14151694409281051</v>
      </c>
      <c r="C1655" s="3">
        <v>5.451492849419716E-2</v>
      </c>
      <c r="D1655" s="1">
        <v>180133.7750767704</v>
      </c>
      <c r="E1655" s="1">
        <v>6206851</v>
      </c>
      <c r="F1655" s="1">
        <v>24416640</v>
      </c>
      <c r="G1655" s="16">
        <v>16283.859966948161</v>
      </c>
      <c r="H1655">
        <v>61.15</v>
      </c>
      <c r="I1655" s="1">
        <v>219.49000000000004</v>
      </c>
      <c r="J1655" s="16">
        <v>196417.63504371856</v>
      </c>
      <c r="K1655" s="5">
        <v>4.4245737166696511E-2</v>
      </c>
      <c r="L1655" s="10">
        <v>143630.89170000001</v>
      </c>
    </row>
    <row r="1656" spans="1:12" x14ac:dyDescent="0.25">
      <c r="A1656">
        <v>1655</v>
      </c>
      <c r="B1656" s="3">
        <v>0.20578704546307297</v>
      </c>
      <c r="C1656" s="3">
        <v>3.1825468431288362E-2</v>
      </c>
      <c r="D1656" s="1">
        <v>110136.52054815346</v>
      </c>
      <c r="E1656" s="1">
        <v>4114565</v>
      </c>
      <c r="F1656" s="1">
        <v>18217720</v>
      </c>
      <c r="G1656" s="16">
        <v>8894.2648047959774</v>
      </c>
      <c r="H1656">
        <v>42.33</v>
      </c>
      <c r="I1656" s="1">
        <v>161.55000000000001</v>
      </c>
      <c r="J1656" s="16">
        <v>119030.78535294945</v>
      </c>
      <c r="K1656" s="5">
        <v>0.16201367779070813</v>
      </c>
      <c r="L1656" s="10">
        <v>511298.84169999999</v>
      </c>
    </row>
    <row r="1657" spans="1:12" x14ac:dyDescent="0.25">
      <c r="A1657">
        <v>1656</v>
      </c>
      <c r="B1657" s="3">
        <v>0.15826602184265626</v>
      </c>
      <c r="C1657" s="3">
        <v>2.3528344292102106E-2</v>
      </c>
      <c r="D1657" s="1">
        <v>119609.60835459171</v>
      </c>
      <c r="E1657" s="1">
        <v>4459329</v>
      </c>
      <c r="F1657" s="1">
        <v>29272141</v>
      </c>
      <c r="G1657" s="16">
        <v>28951.26801999841</v>
      </c>
      <c r="H1657">
        <v>122.56</v>
      </c>
      <c r="I1657" s="1">
        <v>342.7</v>
      </c>
      <c r="J1657" s="16">
        <v>148560.87637459012</v>
      </c>
      <c r="K1657" s="5">
        <v>1.5412164082291895E-2</v>
      </c>
      <c r="L1657" s="10">
        <v>100083.8982</v>
      </c>
    </row>
    <row r="1658" spans="1:12" x14ac:dyDescent="0.25">
      <c r="A1658">
        <v>1657</v>
      </c>
      <c r="B1658" s="3">
        <v>0.20099183615362162</v>
      </c>
      <c r="C1658" s="3">
        <v>5.8456549978022021E-2</v>
      </c>
      <c r="D1658" s="1">
        <v>130343.51223898734</v>
      </c>
      <c r="E1658" s="1">
        <v>7490939</v>
      </c>
      <c r="F1658" s="1">
        <v>48033555</v>
      </c>
      <c r="G1658" s="16">
        <v>19241.909768356309</v>
      </c>
      <c r="H1658">
        <v>139.63</v>
      </c>
      <c r="I1658" s="1">
        <v>454.53999999999996</v>
      </c>
      <c r="J1658" s="16">
        <v>149585.42200734364</v>
      </c>
      <c r="K1658" s="5">
        <v>0.107555157563998</v>
      </c>
      <c r="L1658" s="10">
        <v>236526.00349999999</v>
      </c>
    </row>
    <row r="1659" spans="1:12" x14ac:dyDescent="0.25">
      <c r="A1659">
        <v>1658</v>
      </c>
      <c r="B1659" s="3">
        <v>0.14786196126193954</v>
      </c>
      <c r="C1659" s="3">
        <v>6.241207626391454E-2</v>
      </c>
      <c r="D1659" s="1">
        <v>69549.230351225007</v>
      </c>
      <c r="E1659" s="1">
        <v>2103613</v>
      </c>
      <c r="F1659" s="1">
        <v>10753110</v>
      </c>
      <c r="G1659" s="16">
        <v>13352.2897283851</v>
      </c>
      <c r="H1659">
        <v>52.53</v>
      </c>
      <c r="I1659" s="1">
        <v>231.79999999999998</v>
      </c>
      <c r="J1659" s="16">
        <v>82901.520079610113</v>
      </c>
      <c r="K1659" s="5">
        <v>0.11916231652674546</v>
      </c>
      <c r="L1659" s="10">
        <v>110840.23970000001</v>
      </c>
    </row>
    <row r="1660" spans="1:12" x14ac:dyDescent="0.25">
      <c r="A1660">
        <v>1659</v>
      </c>
      <c r="B1660" s="3">
        <v>0.1757259445362564</v>
      </c>
      <c r="C1660" s="3">
        <v>6.3243312019894304E-2</v>
      </c>
      <c r="D1660" s="1">
        <v>113200.8092982675</v>
      </c>
      <c r="E1660" s="1">
        <v>4589505</v>
      </c>
      <c r="F1660" s="1">
        <v>27215536</v>
      </c>
      <c r="G1660" s="16">
        <v>49710.188304737589</v>
      </c>
      <c r="H1660">
        <v>289.25</v>
      </c>
      <c r="I1660" s="1">
        <v>692.93000000000006</v>
      </c>
      <c r="J1660" s="16">
        <v>162910.99760300509</v>
      </c>
      <c r="K1660" s="5">
        <v>0.10076011862807269</v>
      </c>
      <c r="L1660" s="10">
        <v>196583.76259999999</v>
      </c>
    </row>
    <row r="1661" spans="1:12" x14ac:dyDescent="0.25">
      <c r="A1661">
        <v>1660</v>
      </c>
      <c r="B1661" s="3">
        <v>0.1793376580298448</v>
      </c>
      <c r="C1661" s="3">
        <v>4.6234085558465129E-2</v>
      </c>
      <c r="D1661" s="1">
        <v>81276.220994586096</v>
      </c>
      <c r="E1661" s="1">
        <v>2752155</v>
      </c>
      <c r="F1661" s="1">
        <v>15190514</v>
      </c>
      <c r="G1661" s="16">
        <v>29647.732014103876</v>
      </c>
      <c r="H1661">
        <v>178.07</v>
      </c>
      <c r="I1661" s="1">
        <v>515.96</v>
      </c>
      <c r="J1661" s="16">
        <v>110923.95300868998</v>
      </c>
      <c r="K1661" s="5">
        <v>4.0145885611146716E-3</v>
      </c>
      <c r="L1661" s="10">
        <v>14556.7911</v>
      </c>
    </row>
    <row r="1662" spans="1:12" x14ac:dyDescent="0.25">
      <c r="A1662">
        <v>1661</v>
      </c>
      <c r="B1662" s="3">
        <v>0.11008081751358076</v>
      </c>
      <c r="C1662" s="3">
        <v>3.6206497227817033E-2</v>
      </c>
      <c r="D1662" s="1">
        <v>79052.223983700169</v>
      </c>
      <c r="E1662" s="1">
        <v>2099254</v>
      </c>
      <c r="F1662" s="1">
        <v>13359771</v>
      </c>
      <c r="G1662" s="16">
        <v>68636.128851768197</v>
      </c>
      <c r="H1662">
        <v>233.79</v>
      </c>
      <c r="I1662" s="1">
        <v>610.72</v>
      </c>
      <c r="J1662" s="16">
        <v>147688.35283546837</v>
      </c>
      <c r="K1662" s="5">
        <v>2.0180631221585168E-2</v>
      </c>
      <c r="L1662" s="10">
        <v>69979.663799999995</v>
      </c>
    </row>
    <row r="1663" spans="1:12" x14ac:dyDescent="0.25">
      <c r="A1663">
        <v>1662</v>
      </c>
      <c r="B1663" s="3">
        <v>0.2239922925156122</v>
      </c>
      <c r="C1663" s="3">
        <v>4.9031394375169277E-2</v>
      </c>
      <c r="D1663" s="1">
        <v>32881.023205327336</v>
      </c>
      <c r="E1663" s="1">
        <v>1021918</v>
      </c>
      <c r="F1663" s="1">
        <v>8291058</v>
      </c>
      <c r="G1663" s="16">
        <v>9932.0111693006438</v>
      </c>
      <c r="H1663">
        <v>68.430000000000007</v>
      </c>
      <c r="I1663" s="1">
        <v>324.04000000000002</v>
      </c>
      <c r="J1663" s="16">
        <v>42813.034374627983</v>
      </c>
      <c r="K1663" s="5">
        <v>0.20979600819574376</v>
      </c>
      <c r="L1663" s="10">
        <v>154607.13</v>
      </c>
    </row>
    <row r="1664" spans="1:12" x14ac:dyDescent="0.25">
      <c r="A1664">
        <v>1663</v>
      </c>
      <c r="B1664" s="3">
        <v>0.2033911681030845</v>
      </c>
      <c r="C1664" s="3">
        <v>3.3818748170044134E-2</v>
      </c>
      <c r="D1664" s="1">
        <v>254383.69421005019</v>
      </c>
      <c r="E1664" s="1">
        <v>11822565</v>
      </c>
      <c r="F1664" s="1">
        <v>42034877</v>
      </c>
      <c r="G1664" s="16">
        <v>32504.40216490973</v>
      </c>
      <c r="H1664">
        <v>301.86</v>
      </c>
      <c r="I1664" s="1">
        <v>789.74</v>
      </c>
      <c r="J1664" s="16">
        <v>286888.09637495992</v>
      </c>
      <c r="K1664" s="5">
        <v>8.1355743697940658E-2</v>
      </c>
      <c r="L1664" s="10">
        <v>589049.54070000001</v>
      </c>
    </row>
    <row r="1665" spans="1:12" x14ac:dyDescent="0.25">
      <c r="A1665">
        <v>1664</v>
      </c>
      <c r="B1665" s="3">
        <v>0.12457621889618931</v>
      </c>
      <c r="C1665" s="3">
        <v>7.3326547773681791E-2</v>
      </c>
      <c r="D1665" s="1">
        <v>143496.03036241344</v>
      </c>
      <c r="E1665" s="1">
        <v>4003012</v>
      </c>
      <c r="F1665" s="1">
        <v>19439259</v>
      </c>
      <c r="G1665" s="16">
        <v>28481.616529017214</v>
      </c>
      <c r="H1665">
        <v>95.19</v>
      </c>
      <c r="I1665" s="1">
        <v>369.2</v>
      </c>
      <c r="J1665" s="16">
        <v>171977.64689143066</v>
      </c>
      <c r="K1665" s="5">
        <v>9.6962332772777382E-2</v>
      </c>
      <c r="L1665" s="10">
        <v>169785.04380000001</v>
      </c>
    </row>
    <row r="1666" spans="1:12" x14ac:dyDescent="0.25">
      <c r="A1666">
        <v>1665</v>
      </c>
      <c r="B1666" s="3">
        <v>0.10930325760359384</v>
      </c>
      <c r="C1666" s="3">
        <v>3.9833085884431241E-2</v>
      </c>
      <c r="D1666" s="1">
        <v>111454.89483051062</v>
      </c>
      <c r="E1666" s="1">
        <v>2951967</v>
      </c>
      <c r="F1666" s="1">
        <v>14774398</v>
      </c>
      <c r="G1666" s="16">
        <v>16074.569381872658</v>
      </c>
      <c r="H1666">
        <v>48.49</v>
      </c>
      <c r="I1666" s="1">
        <v>224.34</v>
      </c>
      <c r="J1666" s="16">
        <v>127529.46421238327</v>
      </c>
      <c r="K1666" s="5">
        <v>0.26074640523472919</v>
      </c>
      <c r="L1666" s="10">
        <v>687350.74459999998</v>
      </c>
    </row>
    <row r="1667" spans="1:12" x14ac:dyDescent="0.25">
      <c r="A1667">
        <v>1666</v>
      </c>
      <c r="B1667" s="3">
        <v>0.13580919561658217</v>
      </c>
      <c r="C1667" s="3">
        <v>2.6417091414511887E-2</v>
      </c>
      <c r="D1667" s="1">
        <v>213430.78572280586</v>
      </c>
      <c r="E1667" s="1">
        <v>7161783</v>
      </c>
      <c r="F1667" s="1">
        <v>36193687</v>
      </c>
      <c r="G1667" s="16">
        <v>23417.215856321254</v>
      </c>
      <c r="H1667">
        <v>84.52</v>
      </c>
      <c r="I1667" s="1">
        <v>310.01</v>
      </c>
      <c r="J1667" s="16">
        <v>236848.0015791271</v>
      </c>
      <c r="K1667" s="5">
        <v>-3.7048693110705092E-3</v>
      </c>
      <c r="L1667" s="10">
        <v>21909.439600000002</v>
      </c>
    </row>
    <row r="1668" spans="1:12" x14ac:dyDescent="0.25">
      <c r="A1668">
        <v>1667</v>
      </c>
      <c r="B1668" s="3">
        <v>0.24648812244286764</v>
      </c>
      <c r="C1668" s="3">
        <v>4.4979495800646252E-2</v>
      </c>
      <c r="D1668" s="1">
        <v>160393.17425668269</v>
      </c>
      <c r="E1668" s="1">
        <v>12357714</v>
      </c>
      <c r="F1668" s="1">
        <v>49575035</v>
      </c>
      <c r="G1668" s="16">
        <v>23485.058867561467</v>
      </c>
      <c r="H1668">
        <v>340</v>
      </c>
      <c r="I1668" s="1">
        <v>845.58</v>
      </c>
      <c r="J1668" s="16">
        <v>183878.23312424414</v>
      </c>
      <c r="K1668" s="5">
        <v>9.1212360093650163E-2</v>
      </c>
      <c r="L1668" s="10">
        <v>314420.98790000001</v>
      </c>
    </row>
    <row r="1669" spans="1:12" x14ac:dyDescent="0.25">
      <c r="A1669">
        <v>1668</v>
      </c>
      <c r="B1669" s="3">
        <v>0.12149214254375923</v>
      </c>
      <c r="C1669" s="3">
        <v>7.3899862609233674E-2</v>
      </c>
      <c r="D1669" s="1">
        <v>85465.364831995917</v>
      </c>
      <c r="E1669" s="1">
        <v>2359151</v>
      </c>
      <c r="F1669" s="1">
        <v>19640302</v>
      </c>
      <c r="G1669" s="16">
        <v>57788.535005493432</v>
      </c>
      <c r="H1669">
        <v>215.3</v>
      </c>
      <c r="I1669" s="1">
        <v>653.78</v>
      </c>
      <c r="J1669" s="16">
        <v>143253.89983748936</v>
      </c>
      <c r="K1669" s="5">
        <v>2.7223883121116767E-2</v>
      </c>
      <c r="L1669" s="10">
        <v>79606.245699999999</v>
      </c>
    </row>
    <row r="1670" spans="1:12" x14ac:dyDescent="0.25">
      <c r="A1670">
        <v>1669</v>
      </c>
      <c r="B1670" s="3">
        <v>0.24441907100531302</v>
      </c>
      <c r="C1670" s="3">
        <v>4.8802661857645258E-2</v>
      </c>
      <c r="D1670" s="1">
        <v>74701.723408127655</v>
      </c>
      <c r="E1670" s="1">
        <v>4289528</v>
      </c>
      <c r="F1670" s="1">
        <v>24596119</v>
      </c>
      <c r="G1670" s="16">
        <v>12142.24831091399</v>
      </c>
      <c r="H1670">
        <v>98.16</v>
      </c>
      <c r="I1670" s="1">
        <v>343.14</v>
      </c>
      <c r="J1670" s="16">
        <v>86843.971719041641</v>
      </c>
      <c r="K1670" s="5">
        <v>-5.523711150422398E-2</v>
      </c>
      <c r="L1670" s="10">
        <v>-48457.560100000002</v>
      </c>
    </row>
    <row r="1671" spans="1:12" x14ac:dyDescent="0.25">
      <c r="A1671">
        <v>1670</v>
      </c>
      <c r="B1671" s="3">
        <v>0.13487587888472038</v>
      </c>
      <c r="C1671" s="3">
        <v>3.8646559676287974E-2</v>
      </c>
      <c r="D1671" s="1">
        <v>428697.91931856569</v>
      </c>
      <c r="E1671" s="1">
        <v>16556248</v>
      </c>
      <c r="F1671" s="1">
        <v>58357903</v>
      </c>
      <c r="G1671" s="16">
        <v>22979.612650775576</v>
      </c>
      <c r="H1671">
        <v>82.32</v>
      </c>
      <c r="I1671" s="1">
        <v>279.89</v>
      </c>
      <c r="J1671" s="16">
        <v>451677.53196934127</v>
      </c>
      <c r="K1671" s="5">
        <v>3.9896956161687827E-2</v>
      </c>
      <c r="L1671" s="10">
        <v>395074.53360000002</v>
      </c>
    </row>
    <row r="1672" spans="1:12" x14ac:dyDescent="0.25">
      <c r="A1672">
        <v>1671</v>
      </c>
      <c r="B1672" s="3">
        <v>0.14025810274755446</v>
      </c>
      <c r="C1672" s="3">
        <v>3.3507460730118427E-2</v>
      </c>
      <c r="D1672" s="1">
        <v>325010.00860148447</v>
      </c>
      <c r="E1672" s="1">
        <v>11133384</v>
      </c>
      <c r="F1672" s="1">
        <v>40244516</v>
      </c>
      <c r="G1672" s="16">
        <v>33692.546699844374</v>
      </c>
      <c r="H1672">
        <v>145.91999999999999</v>
      </c>
      <c r="I1672" s="1">
        <v>429.40999999999997</v>
      </c>
      <c r="J1672" s="16">
        <v>358702.55530132883</v>
      </c>
      <c r="K1672" s="5">
        <v>6.4238552682151534E-2</v>
      </c>
      <c r="L1672" s="10">
        <v>568538.90520000004</v>
      </c>
    </row>
    <row r="1673" spans="1:12" x14ac:dyDescent="0.25">
      <c r="A1673">
        <v>1672</v>
      </c>
      <c r="B1673" s="3">
        <v>0.14319689175778727</v>
      </c>
      <c r="C1673" s="3">
        <v>4.1598822262977689E-2</v>
      </c>
      <c r="D1673" s="1">
        <v>91691.362386524401</v>
      </c>
      <c r="E1673" s="1">
        <v>2728277</v>
      </c>
      <c r="F1673" s="1">
        <v>13105039</v>
      </c>
      <c r="G1673" s="16">
        <v>37481.843561797497</v>
      </c>
      <c r="H1673">
        <v>166.42</v>
      </c>
      <c r="I1673" s="1">
        <v>485.80999999999995</v>
      </c>
      <c r="J1673" s="16">
        <v>129173.20594832191</v>
      </c>
      <c r="K1673" s="5">
        <v>0.24363260987048102</v>
      </c>
      <c r="L1673" s="10">
        <v>598687.91680000001</v>
      </c>
    </row>
    <row r="1674" spans="1:12" x14ac:dyDescent="0.25">
      <c r="A1674">
        <v>1673</v>
      </c>
      <c r="B1674" s="3">
        <v>0.24697414943338417</v>
      </c>
      <c r="C1674" s="3">
        <v>5.2335019035739394E-2</v>
      </c>
      <c r="D1674" s="1">
        <v>77709.913192737396</v>
      </c>
      <c r="E1674" s="1">
        <v>3406040</v>
      </c>
      <c r="F1674" s="1">
        <v>20204176</v>
      </c>
      <c r="G1674" s="16">
        <v>10917.151726355823</v>
      </c>
      <c r="H1674">
        <v>119.65</v>
      </c>
      <c r="I1674" s="1">
        <v>393.54000000000008</v>
      </c>
      <c r="J1674" s="16">
        <v>88627.064919093216</v>
      </c>
      <c r="K1674" s="5">
        <v>0.1290415570094878</v>
      </c>
      <c r="L1674" s="10">
        <v>185605.23970000001</v>
      </c>
    </row>
    <row r="1675" spans="1:12" x14ac:dyDescent="0.25">
      <c r="A1675">
        <v>1674</v>
      </c>
      <c r="B1675" s="3">
        <v>0.150790411777385</v>
      </c>
      <c r="C1675" s="3">
        <v>7.406741854408673E-2</v>
      </c>
      <c r="D1675" s="1">
        <v>105551.42807225177</v>
      </c>
      <c r="E1675" s="1">
        <v>3798459</v>
      </c>
      <c r="F1675" s="1">
        <v>31400518</v>
      </c>
      <c r="G1675" s="16">
        <v>35171.457691771619</v>
      </c>
      <c r="H1675">
        <v>165.88</v>
      </c>
      <c r="I1675" s="1">
        <v>520.48</v>
      </c>
      <c r="J1675" s="16">
        <v>140722.88576402341</v>
      </c>
      <c r="K1675" s="5">
        <v>0.23458382136041603</v>
      </c>
      <c r="L1675" s="10">
        <v>379111.93689999997</v>
      </c>
    </row>
    <row r="1676" spans="1:12" x14ac:dyDescent="0.25">
      <c r="A1676">
        <v>1675</v>
      </c>
      <c r="B1676" s="3">
        <v>0.13889486431761666</v>
      </c>
      <c r="C1676" s="3">
        <v>2.7136935402791697E-2</v>
      </c>
      <c r="D1676" s="1">
        <v>125639.62445028716</v>
      </c>
      <c r="E1676" s="1">
        <v>4276655</v>
      </c>
      <c r="F1676" s="1">
        <v>21955873</v>
      </c>
      <c r="G1676" s="16">
        <v>38905.286638869293</v>
      </c>
      <c r="H1676">
        <v>167</v>
      </c>
      <c r="I1676" s="1">
        <v>561.53</v>
      </c>
      <c r="J1676" s="16">
        <v>164544.91108915646</v>
      </c>
      <c r="K1676" s="5">
        <v>0.1422510904660759</v>
      </c>
      <c r="L1676" s="10">
        <v>761402.25139999995</v>
      </c>
    </row>
    <row r="1677" spans="1:12" x14ac:dyDescent="0.25">
      <c r="A1677">
        <v>1676</v>
      </c>
      <c r="B1677" s="3">
        <v>0.14808941890162464</v>
      </c>
      <c r="C1677" s="3">
        <v>5.0763098353829778E-2</v>
      </c>
      <c r="D1677" s="1">
        <v>311634.83159484208</v>
      </c>
      <c r="E1677" s="1">
        <v>11073189</v>
      </c>
      <c r="F1677" s="1">
        <v>36841497</v>
      </c>
      <c r="G1677" s="16">
        <v>23174.463132119396</v>
      </c>
      <c r="H1677">
        <v>91.21</v>
      </c>
      <c r="I1677" s="1">
        <v>264.76</v>
      </c>
      <c r="J1677" s="16">
        <v>334809.29472696147</v>
      </c>
      <c r="K1677" s="5">
        <v>9.5588578212632946E-2</v>
      </c>
      <c r="L1677" s="10">
        <v>463863.98619999998</v>
      </c>
    </row>
    <row r="1678" spans="1:12" x14ac:dyDescent="0.25">
      <c r="A1678">
        <v>1677</v>
      </c>
      <c r="B1678" s="3">
        <v>0.16449193894366748</v>
      </c>
      <c r="C1678" s="3">
        <v>6.6979291664094456E-2</v>
      </c>
      <c r="D1678" s="1">
        <v>85321.246790419886</v>
      </c>
      <c r="E1678" s="1">
        <v>2737841</v>
      </c>
      <c r="F1678" s="1">
        <v>18513865</v>
      </c>
      <c r="G1678" s="16">
        <v>39815.639075169463</v>
      </c>
      <c r="H1678">
        <v>252.14</v>
      </c>
      <c r="I1678" s="1">
        <v>845.80000000000007</v>
      </c>
      <c r="J1678" s="16">
        <v>125136.88586558934</v>
      </c>
      <c r="K1678" s="5">
        <v>3.9817732352704978E-2</v>
      </c>
      <c r="L1678" s="10">
        <v>75781.236099999995</v>
      </c>
    </row>
    <row r="1679" spans="1:12" x14ac:dyDescent="0.25">
      <c r="A1679">
        <v>1678</v>
      </c>
      <c r="B1679" s="3">
        <v>0.18223108542222938</v>
      </c>
      <c r="C1679" s="3">
        <v>2.2198146042199659E-2</v>
      </c>
      <c r="D1679" s="1">
        <v>202426.97344329511</v>
      </c>
      <c r="E1679" s="1">
        <v>8471273</v>
      </c>
      <c r="F1679" s="1">
        <v>31175282</v>
      </c>
      <c r="G1679" s="16">
        <v>49918.402813107779</v>
      </c>
      <c r="H1679">
        <v>375.58</v>
      </c>
      <c r="I1679" s="1">
        <v>883.61999999999989</v>
      </c>
      <c r="J1679" s="16">
        <v>252345.37625640287</v>
      </c>
      <c r="K1679" s="5">
        <v>0.17938970354878284</v>
      </c>
      <c r="L1679" s="10">
        <v>1771259.4805999999</v>
      </c>
    </row>
    <row r="1680" spans="1:12" x14ac:dyDescent="0.25">
      <c r="A1680">
        <v>1679</v>
      </c>
      <c r="B1680" s="3">
        <v>0.1432101542666783</v>
      </c>
      <c r="C1680" s="3">
        <v>7.2271225845959922E-2</v>
      </c>
      <c r="D1680" s="1">
        <v>379115.13629321946</v>
      </c>
      <c r="E1680" s="1">
        <v>15367460</v>
      </c>
      <c r="F1680" s="1">
        <v>63862435</v>
      </c>
      <c r="G1680" s="16">
        <v>44406.618724494932</v>
      </c>
      <c r="H1680">
        <v>197.24</v>
      </c>
      <c r="I1680" s="1">
        <v>519.72</v>
      </c>
      <c r="J1680" s="16">
        <v>423521.7550177144</v>
      </c>
      <c r="K1680" s="5">
        <v>8.5974732098658746E-2</v>
      </c>
      <c r="L1680" s="10">
        <v>329300.6053</v>
      </c>
    </row>
    <row r="1681" spans="1:12" x14ac:dyDescent="0.25">
      <c r="A1681">
        <v>1680</v>
      </c>
      <c r="B1681" s="3">
        <v>0.15685775113680112</v>
      </c>
      <c r="C1681" s="3">
        <v>6.5376002066437094E-2</v>
      </c>
      <c r="D1681" s="1">
        <v>169137.87167903146</v>
      </c>
      <c r="E1681" s="1">
        <v>6263833</v>
      </c>
      <c r="F1681" s="1">
        <v>32780475</v>
      </c>
      <c r="G1681" s="16">
        <v>60499.705778729985</v>
      </c>
      <c r="H1681">
        <v>356.54</v>
      </c>
      <c r="I1681" s="1">
        <v>1120.7</v>
      </c>
      <c r="J1681" s="16">
        <v>229637.57745776145</v>
      </c>
      <c r="K1681" s="5">
        <v>8.7293651811359035E-2</v>
      </c>
      <c r="L1681" s="10">
        <v>245862.69209999999</v>
      </c>
    </row>
    <row r="1682" spans="1:12" x14ac:dyDescent="0.25">
      <c r="A1682">
        <v>1681</v>
      </c>
      <c r="B1682" s="3">
        <v>0.1594233149323083</v>
      </c>
      <c r="C1682" s="3">
        <v>2.1802657126394408E-2</v>
      </c>
      <c r="D1682" s="1">
        <v>128966.02131656517</v>
      </c>
      <c r="E1682" s="1">
        <v>4063927</v>
      </c>
      <c r="F1682" s="1">
        <v>16282214</v>
      </c>
      <c r="G1682" s="16">
        <v>31934.236913645022</v>
      </c>
      <c r="H1682">
        <v>162.15</v>
      </c>
      <c r="I1682" s="1">
        <v>510.64</v>
      </c>
      <c r="J1682" s="16">
        <v>160900.25823021019</v>
      </c>
      <c r="K1682" s="5">
        <v>0.13055606776803788</v>
      </c>
      <c r="L1682" s="10">
        <v>839747.6581</v>
      </c>
    </row>
    <row r="1683" spans="1:12" x14ac:dyDescent="0.25">
      <c r="A1683">
        <v>1682</v>
      </c>
      <c r="B1683" s="3">
        <v>0.14069803161249789</v>
      </c>
      <c r="C1683" s="3">
        <v>3.9578960503829114E-2</v>
      </c>
      <c r="D1683" s="1">
        <v>185250.80220955759</v>
      </c>
      <c r="E1683" s="1">
        <v>6358871</v>
      </c>
      <c r="F1683" s="1">
        <v>28277413</v>
      </c>
      <c r="G1683" s="16">
        <v>14869.631560650259</v>
      </c>
      <c r="H1683">
        <v>55.66</v>
      </c>
      <c r="I1683" s="1">
        <v>217.28</v>
      </c>
      <c r="J1683" s="16">
        <v>200120.43377020783</v>
      </c>
      <c r="K1683" s="5">
        <v>8.007967428275975E-2</v>
      </c>
      <c r="L1683" s="10">
        <v>320654.18180000002</v>
      </c>
    </row>
    <row r="1684" spans="1:12" x14ac:dyDescent="0.25">
      <c r="A1684">
        <v>1683</v>
      </c>
      <c r="B1684" s="3">
        <v>0.23220042344543726</v>
      </c>
      <c r="C1684" s="3">
        <v>2.4303484504049122E-2</v>
      </c>
      <c r="D1684" s="1">
        <v>82367.237906311726</v>
      </c>
      <c r="E1684" s="1">
        <v>4435742</v>
      </c>
      <c r="F1684" s="1">
        <v>23031344</v>
      </c>
      <c r="G1684" s="16">
        <v>20588.039476760321</v>
      </c>
      <c r="H1684">
        <v>196.82</v>
      </c>
      <c r="I1684" s="1">
        <v>745.51</v>
      </c>
      <c r="J1684" s="16">
        <v>102955.27738307204</v>
      </c>
      <c r="K1684" s="5">
        <v>0.18124748078614247</v>
      </c>
      <c r="L1684" s="10">
        <v>714383.02009999997</v>
      </c>
    </row>
    <row r="1685" spans="1:12" x14ac:dyDescent="0.25">
      <c r="A1685">
        <v>1684</v>
      </c>
      <c r="B1685" s="3">
        <v>0.17179118003804089</v>
      </c>
      <c r="C1685" s="3">
        <v>6.4537047333945163E-2</v>
      </c>
      <c r="D1685" s="1">
        <v>168964.33281699367</v>
      </c>
      <c r="E1685" s="1">
        <v>6721061</v>
      </c>
      <c r="F1685" s="1">
        <v>24622634</v>
      </c>
      <c r="G1685" s="16">
        <v>33909.873846366689</v>
      </c>
      <c r="H1685">
        <v>191.01</v>
      </c>
      <c r="I1685" s="1">
        <v>512.91000000000008</v>
      </c>
      <c r="J1685" s="16">
        <v>202874.20666336035</v>
      </c>
      <c r="K1685" s="5">
        <v>0.10917397519959855</v>
      </c>
      <c r="L1685" s="10">
        <v>234542.05040000001</v>
      </c>
    </row>
    <row r="1686" spans="1:12" x14ac:dyDescent="0.25">
      <c r="A1686">
        <v>1685</v>
      </c>
      <c r="B1686" s="3">
        <v>0.23692700136356162</v>
      </c>
      <c r="C1686" s="3">
        <v>6.0856483186323113E-2</v>
      </c>
      <c r="D1686" s="1">
        <v>117973.24234289768</v>
      </c>
      <c r="E1686" s="1">
        <v>6512115</v>
      </c>
      <c r="F1686" s="1">
        <v>35170491</v>
      </c>
      <c r="G1686" s="16">
        <v>13569.587996293498</v>
      </c>
      <c r="H1686">
        <v>103.39</v>
      </c>
      <c r="I1686" s="1">
        <v>359.26</v>
      </c>
      <c r="J1686" s="16">
        <v>131542.83033919116</v>
      </c>
      <c r="K1686" s="5">
        <v>0.27361548811055753</v>
      </c>
      <c r="L1686" s="10">
        <v>470360.6214</v>
      </c>
    </row>
    <row r="1687" spans="1:12" x14ac:dyDescent="0.25">
      <c r="A1687">
        <v>1686</v>
      </c>
      <c r="B1687" s="3">
        <v>0.13275107730290617</v>
      </c>
      <c r="C1687" s="3">
        <v>7.2700426890931702E-2</v>
      </c>
      <c r="D1687" s="1">
        <v>89956.417007622673</v>
      </c>
      <c r="E1687" s="1">
        <v>2581093</v>
      </c>
      <c r="F1687" s="1">
        <v>15962835</v>
      </c>
      <c r="G1687" s="16">
        <v>83505.625067900401</v>
      </c>
      <c r="H1687">
        <v>392.51</v>
      </c>
      <c r="I1687" s="1">
        <v>889.74</v>
      </c>
      <c r="J1687" s="16">
        <v>173462.04207552306</v>
      </c>
      <c r="K1687" s="5">
        <v>0.13765078870881745</v>
      </c>
      <c r="L1687" s="10">
        <v>224238.81150000001</v>
      </c>
    </row>
    <row r="1688" spans="1:12" x14ac:dyDescent="0.25">
      <c r="A1688">
        <v>1687</v>
      </c>
      <c r="B1688" s="3">
        <v>0.21664138580806475</v>
      </c>
      <c r="C1688" s="3">
        <v>7.1235802383979058E-2</v>
      </c>
      <c r="D1688" s="1">
        <v>134148.24574750848</v>
      </c>
      <c r="E1688" s="1">
        <v>6667231</v>
      </c>
      <c r="F1688" s="1">
        <v>36539830</v>
      </c>
      <c r="G1688" s="16">
        <v>26976.150775616898</v>
      </c>
      <c r="H1688">
        <v>224.45</v>
      </c>
      <c r="I1688" s="1">
        <v>553.21</v>
      </c>
      <c r="J1688" s="16">
        <v>161124.39652312538</v>
      </c>
      <c r="K1688" s="5">
        <v>0.13537738283112172</v>
      </c>
      <c r="L1688" s="10">
        <v>213993.49460000001</v>
      </c>
    </row>
    <row r="1689" spans="1:12" x14ac:dyDescent="0.25">
      <c r="A1689">
        <v>1688</v>
      </c>
      <c r="B1689" s="3">
        <v>0.11179215840273285</v>
      </c>
      <c r="C1689" s="3">
        <v>2.5461071597964069E-2</v>
      </c>
      <c r="D1689" s="1">
        <v>54687.71116865248</v>
      </c>
      <c r="E1689" s="1">
        <v>1460658</v>
      </c>
      <c r="F1689" s="1">
        <v>12461565</v>
      </c>
      <c r="G1689" s="16">
        <v>53201.909753364132</v>
      </c>
      <c r="H1689">
        <v>183.52</v>
      </c>
      <c r="I1689" s="1">
        <v>565.68999999999994</v>
      </c>
      <c r="J1689" s="16">
        <v>107889.62092201662</v>
      </c>
      <c r="K1689" s="5">
        <v>2.5527066357104937E-2</v>
      </c>
      <c r="L1689" s="10">
        <v>117751.6459</v>
      </c>
    </row>
    <row r="1690" spans="1:12" x14ac:dyDescent="0.25">
      <c r="A1690">
        <v>1689</v>
      </c>
      <c r="B1690" s="3">
        <v>0.12015534444746236</v>
      </c>
      <c r="C1690" s="3">
        <v>3.5568821259510441E-2</v>
      </c>
      <c r="D1690" s="1">
        <v>256017.64282339293</v>
      </c>
      <c r="E1690" s="1">
        <v>7995557</v>
      </c>
      <c r="F1690" s="1">
        <v>39028732</v>
      </c>
      <c r="G1690" s="16">
        <v>42909.286264387716</v>
      </c>
      <c r="H1690">
        <v>158.09</v>
      </c>
      <c r="I1690" s="1">
        <v>421.14</v>
      </c>
      <c r="J1690" s="16">
        <v>298926.92908778065</v>
      </c>
      <c r="K1690" s="5">
        <v>0.11511981831452681</v>
      </c>
      <c r="L1690" s="10">
        <v>795814.09530000004</v>
      </c>
    </row>
    <row r="1691" spans="1:12" x14ac:dyDescent="0.25">
      <c r="A1691">
        <v>1690</v>
      </c>
      <c r="B1691" s="3">
        <v>0.11452184832560922</v>
      </c>
      <c r="C1691" s="3">
        <v>6.5346537237197591E-2</v>
      </c>
      <c r="D1691" s="1">
        <v>109393.23967658407</v>
      </c>
      <c r="E1691" s="1">
        <v>2948899</v>
      </c>
      <c r="F1691" s="1">
        <v>17737082</v>
      </c>
      <c r="G1691" s="16">
        <v>35142.772064274279</v>
      </c>
      <c r="H1691">
        <v>109.75</v>
      </c>
      <c r="I1691" s="1">
        <v>345.9</v>
      </c>
      <c r="J1691" s="16">
        <v>144536.01174085835</v>
      </c>
      <c r="K1691" s="5">
        <v>0.32595958233902511</v>
      </c>
      <c r="L1691" s="10">
        <v>509441.45069999999</v>
      </c>
    </row>
    <row r="1692" spans="1:12" x14ac:dyDescent="0.25">
      <c r="A1692">
        <v>1691</v>
      </c>
      <c r="B1692" s="3">
        <v>0.24228562701814393</v>
      </c>
      <c r="C1692" s="3">
        <v>7.0484522598092486E-2</v>
      </c>
      <c r="D1692" s="1">
        <v>93310.871362214835</v>
      </c>
      <c r="E1692" s="1">
        <v>5298008</v>
      </c>
      <c r="F1692" s="1">
        <v>29265267</v>
      </c>
      <c r="G1692" s="16">
        <v>11317.415254466412</v>
      </c>
      <c r="H1692">
        <v>89.95</v>
      </c>
      <c r="I1692" s="1">
        <v>290.99</v>
      </c>
      <c r="J1692" s="16">
        <v>104628.28661668125</v>
      </c>
      <c r="K1692" s="5">
        <v>0.15050054269023688</v>
      </c>
      <c r="L1692" s="10">
        <v>189247.63879999999</v>
      </c>
    </row>
    <row r="1693" spans="1:12" x14ac:dyDescent="0.25">
      <c r="A1693">
        <v>1692</v>
      </c>
      <c r="B1693" s="3">
        <v>0.12840961903709536</v>
      </c>
      <c r="C1693" s="3">
        <v>7.3531077483570753E-2</v>
      </c>
      <c r="D1693" s="1">
        <v>150588.94096189336</v>
      </c>
      <c r="E1693" s="1">
        <v>4256553</v>
      </c>
      <c r="F1693" s="1">
        <v>19848250</v>
      </c>
      <c r="G1693" s="16">
        <v>11184.935691654027</v>
      </c>
      <c r="H1693">
        <v>38.36</v>
      </c>
      <c r="I1693" s="1">
        <v>200.66000000000003</v>
      </c>
      <c r="J1693" s="16">
        <v>161773.8766535474</v>
      </c>
      <c r="K1693" s="5">
        <v>0.21769166729312645</v>
      </c>
      <c r="L1693" s="10">
        <v>326849.58519999997</v>
      </c>
    </row>
    <row r="1694" spans="1:12" x14ac:dyDescent="0.25">
      <c r="A1694">
        <v>1693</v>
      </c>
      <c r="B1694" s="3">
        <v>0.2116425935016959</v>
      </c>
      <c r="C1694" s="3">
        <v>4.0730521897084801E-2</v>
      </c>
      <c r="D1694" s="1">
        <v>139923.23463732642</v>
      </c>
      <c r="E1694" s="1">
        <v>5344690</v>
      </c>
      <c r="F1694" s="1">
        <v>21301383</v>
      </c>
      <c r="G1694" s="16">
        <v>8223.1592952359897</v>
      </c>
      <c r="H1694">
        <v>51.53</v>
      </c>
      <c r="I1694" s="1">
        <v>194.26999999999998</v>
      </c>
      <c r="J1694" s="16">
        <v>148146.39393256241</v>
      </c>
      <c r="K1694" s="5">
        <v>0.15845157342741889</v>
      </c>
      <c r="L1694" s="10">
        <v>452587.27919999999</v>
      </c>
    </row>
    <row r="1695" spans="1:12" x14ac:dyDescent="0.25">
      <c r="A1695">
        <v>1694</v>
      </c>
      <c r="B1695" s="3">
        <v>0.13072345515767181</v>
      </c>
      <c r="C1695" s="3">
        <v>7.3223439916976815E-2</v>
      </c>
      <c r="D1695" s="1">
        <v>226618.31119867915</v>
      </c>
      <c r="E1695" s="1">
        <v>6456900</v>
      </c>
      <c r="F1695" s="1">
        <v>21366610</v>
      </c>
      <c r="G1695" s="16">
        <v>26433.867077268911</v>
      </c>
      <c r="H1695">
        <v>92.42</v>
      </c>
      <c r="I1695" s="1">
        <v>238.51999999999998</v>
      </c>
      <c r="J1695" s="16">
        <v>253052.17827594807</v>
      </c>
      <c r="K1695" s="5">
        <v>0.19048689678814659</v>
      </c>
      <c r="L1695" s="10">
        <v>392048.37939999998</v>
      </c>
    </row>
    <row r="1696" spans="1:12" x14ac:dyDescent="0.25">
      <c r="A1696">
        <v>1695</v>
      </c>
      <c r="B1696" s="3">
        <v>0.22403791170901916</v>
      </c>
      <c r="C1696" s="3">
        <v>4.5353267782371941E-2</v>
      </c>
      <c r="D1696" s="1">
        <v>95631.422298262027</v>
      </c>
      <c r="E1696" s="1">
        <v>4936758</v>
      </c>
      <c r="F1696" s="1">
        <v>31029565</v>
      </c>
      <c r="G1696" s="16">
        <v>20239.133924629321</v>
      </c>
      <c r="H1696">
        <v>179.78</v>
      </c>
      <c r="I1696" s="1">
        <v>614.14</v>
      </c>
      <c r="J1696" s="16">
        <v>115870.55622289135</v>
      </c>
      <c r="K1696" s="5">
        <v>0.11001473672649632</v>
      </c>
      <c r="L1696" s="10">
        <v>266792.19689999998</v>
      </c>
    </row>
    <row r="1697" spans="1:12" x14ac:dyDescent="0.25">
      <c r="A1697">
        <v>1696</v>
      </c>
      <c r="B1697" s="3">
        <v>0.12939152915402963</v>
      </c>
      <c r="C1697" s="3">
        <v>7.1315233249462179E-2</v>
      </c>
      <c r="D1697" s="1">
        <v>101860.80695085708</v>
      </c>
      <c r="E1697" s="1">
        <v>3318320</v>
      </c>
      <c r="F1697" s="1">
        <v>22539514</v>
      </c>
      <c r="G1697" s="16">
        <v>30696.322760175168</v>
      </c>
      <c r="H1697">
        <v>106.11</v>
      </c>
      <c r="I1697" s="1">
        <v>353.58</v>
      </c>
      <c r="J1697" s="16">
        <v>132557.12971103223</v>
      </c>
      <c r="K1697" s="5">
        <v>0.12974559872075886</v>
      </c>
      <c r="L1697" s="10">
        <v>187806.0099</v>
      </c>
    </row>
    <row r="1698" spans="1:12" x14ac:dyDescent="0.25">
      <c r="A1698">
        <v>1697</v>
      </c>
      <c r="B1698" s="3">
        <v>0.1925103039959101</v>
      </c>
      <c r="C1698" s="3">
        <v>2.825392166015607E-2</v>
      </c>
      <c r="D1698" s="1">
        <v>110198.11519076445</v>
      </c>
      <c r="E1698" s="1">
        <v>4850978</v>
      </c>
      <c r="F1698" s="1">
        <v>22986696</v>
      </c>
      <c r="G1698" s="16">
        <v>19762.519637477446</v>
      </c>
      <c r="H1698">
        <v>132.88</v>
      </c>
      <c r="I1698" s="1">
        <v>405.68</v>
      </c>
      <c r="J1698" s="16">
        <v>129960.63482824189</v>
      </c>
      <c r="K1698" s="5">
        <v>0.23171989383187849</v>
      </c>
      <c r="L1698" s="10">
        <v>901050.2402</v>
      </c>
    </row>
    <row r="1699" spans="1:12" x14ac:dyDescent="0.25">
      <c r="A1699">
        <v>1698</v>
      </c>
      <c r="B1699" s="3">
        <v>0.22751728010408101</v>
      </c>
      <c r="C1699" s="3">
        <v>7.8077232084379347E-2</v>
      </c>
      <c r="D1699" s="1">
        <v>62368.985702829908</v>
      </c>
      <c r="E1699" s="1">
        <v>2532242</v>
      </c>
      <c r="F1699" s="1">
        <v>19937609</v>
      </c>
      <c r="G1699" s="16">
        <v>7362.5476430817325</v>
      </c>
      <c r="H1699">
        <v>40.24</v>
      </c>
      <c r="I1699" s="1">
        <v>183.07000000000002</v>
      </c>
      <c r="J1699" s="16">
        <v>69731.533345911637</v>
      </c>
      <c r="K1699" s="5">
        <v>0.13512841543281925</v>
      </c>
      <c r="L1699" s="10">
        <v>90651.901800000007</v>
      </c>
    </row>
    <row r="1700" spans="1:12" x14ac:dyDescent="0.25">
      <c r="A1700">
        <v>1699</v>
      </c>
      <c r="B1700" s="3">
        <v>0.23742096858397838</v>
      </c>
      <c r="C1700" s="3">
        <v>3.3210544065127093E-2</v>
      </c>
      <c r="D1700" s="1">
        <v>119016.08491394478</v>
      </c>
      <c r="E1700" s="1">
        <v>6586716</v>
      </c>
      <c r="F1700" s="1">
        <v>26474136</v>
      </c>
      <c r="G1700" s="16">
        <v>21924.2062602435</v>
      </c>
      <c r="H1700">
        <v>219.98</v>
      </c>
      <c r="I1700" s="1">
        <v>634.02</v>
      </c>
      <c r="J1700" s="16">
        <v>140940.29117418829</v>
      </c>
      <c r="K1700" s="5">
        <v>0.17338308933906388</v>
      </c>
      <c r="L1700" s="10">
        <v>638045.46270000003</v>
      </c>
    </row>
    <row r="1701" spans="1:12" x14ac:dyDescent="0.25">
      <c r="A1701">
        <v>1700</v>
      </c>
      <c r="B1701" s="3">
        <v>0.15028514388978609</v>
      </c>
      <c r="C1701" s="3">
        <v>7.463680090765297E-2</v>
      </c>
      <c r="D1701" s="1">
        <v>163959.4098996403</v>
      </c>
      <c r="E1701" s="1">
        <v>5886349</v>
      </c>
      <c r="F1701" s="1">
        <v>25817692</v>
      </c>
      <c r="G1701" s="16">
        <v>107681.05910309507</v>
      </c>
      <c r="H1701">
        <v>700.77</v>
      </c>
      <c r="I1701" s="1">
        <v>1563.78</v>
      </c>
      <c r="J1701" s="16">
        <v>271640.46900273539</v>
      </c>
      <c r="K1701" s="5">
        <v>0.11994488014080956</v>
      </c>
      <c r="L1701" s="10">
        <v>296075.84629999998</v>
      </c>
    </row>
    <row r="1702" spans="1:12" x14ac:dyDescent="0.25">
      <c r="A1702">
        <v>1701</v>
      </c>
      <c r="B1702" s="3">
        <v>0.17360482023584645</v>
      </c>
      <c r="C1702" s="3">
        <v>4.3750817103562156E-2</v>
      </c>
      <c r="D1702" s="1">
        <v>78352.03406917231</v>
      </c>
      <c r="E1702" s="1">
        <v>3144144</v>
      </c>
      <c r="F1702" s="1">
        <v>22544450</v>
      </c>
      <c r="G1702" s="16">
        <v>23457.609923628261</v>
      </c>
      <c r="H1702">
        <v>110.68</v>
      </c>
      <c r="I1702" s="1">
        <v>348.17</v>
      </c>
      <c r="J1702" s="16">
        <v>101809.64399280057</v>
      </c>
      <c r="K1702" s="5">
        <v>5.9343261124023203E-2</v>
      </c>
      <c r="L1702" s="10">
        <v>120886.71219999999</v>
      </c>
    </row>
    <row r="1703" spans="1:12" x14ac:dyDescent="0.25">
      <c r="A1703">
        <v>1702</v>
      </c>
      <c r="B1703" s="3">
        <v>0.18170352223652775</v>
      </c>
      <c r="C1703" s="3">
        <v>5.8284329217735714E-2</v>
      </c>
      <c r="D1703" s="1">
        <v>99247.670197028099</v>
      </c>
      <c r="E1703" s="1">
        <v>3389931</v>
      </c>
      <c r="F1703" s="1">
        <v>18686175</v>
      </c>
      <c r="G1703" s="16">
        <v>14387.236836910068</v>
      </c>
      <c r="H1703">
        <v>72.069999999999993</v>
      </c>
      <c r="I1703" s="1">
        <v>210.75</v>
      </c>
      <c r="J1703" s="16">
        <v>113634.90703393817</v>
      </c>
      <c r="K1703" s="5">
        <v>7.5317845916631571E-2</v>
      </c>
      <c r="L1703" s="10">
        <v>109788.14380000001</v>
      </c>
    </row>
    <row r="1704" spans="1:12" x14ac:dyDescent="0.25">
      <c r="A1704">
        <v>1703</v>
      </c>
      <c r="B1704" s="3">
        <v>0.19118168072895209</v>
      </c>
      <c r="C1704" s="3">
        <v>5.1667275718986341E-2</v>
      </c>
      <c r="D1704" s="1">
        <v>81605.764172782976</v>
      </c>
      <c r="E1704" s="1">
        <v>2886492</v>
      </c>
      <c r="F1704" s="1">
        <v>18124677</v>
      </c>
      <c r="G1704" s="16">
        <v>26017.905276802219</v>
      </c>
      <c r="H1704">
        <v>172.81</v>
      </c>
      <c r="I1704" s="1">
        <v>538.68000000000006</v>
      </c>
      <c r="J1704" s="16">
        <v>107623.6694495852</v>
      </c>
      <c r="K1704" s="5">
        <v>6.9142557644605973E-2</v>
      </c>
      <c r="L1704" s="10">
        <v>140591.07320000001</v>
      </c>
    </row>
    <row r="1705" spans="1:12" x14ac:dyDescent="0.25">
      <c r="A1705">
        <v>1704</v>
      </c>
      <c r="B1705" s="3">
        <v>0.19841429338374783</v>
      </c>
      <c r="C1705" s="3">
        <v>7.5095999590462009E-2</v>
      </c>
      <c r="D1705" s="1">
        <v>119815.96181265423</v>
      </c>
      <c r="E1705" s="1">
        <v>5431480</v>
      </c>
      <c r="F1705" s="1">
        <v>25036487</v>
      </c>
      <c r="G1705" s="16">
        <v>32374.309875104787</v>
      </c>
      <c r="H1705">
        <v>228.76</v>
      </c>
      <c r="I1705" s="1">
        <v>557.94000000000005</v>
      </c>
      <c r="J1705" s="16">
        <v>152190.27168775903</v>
      </c>
      <c r="K1705" s="5">
        <v>0.17305455608229683</v>
      </c>
      <c r="L1705" s="10">
        <v>241099.58489999999</v>
      </c>
    </row>
    <row r="1706" spans="1:12" x14ac:dyDescent="0.25">
      <c r="A1706">
        <v>1705</v>
      </c>
      <c r="B1706" s="3">
        <v>0.2306146251277745</v>
      </c>
      <c r="C1706" s="3">
        <v>7.4887132934134723E-2</v>
      </c>
      <c r="D1706" s="1">
        <v>128869.20191354597</v>
      </c>
      <c r="E1706" s="1">
        <v>6882978</v>
      </c>
      <c r="F1706" s="1">
        <v>32723683</v>
      </c>
      <c r="G1706" s="16">
        <v>18199.947147192383</v>
      </c>
      <c r="H1706">
        <v>171.48</v>
      </c>
      <c r="I1706" s="1">
        <v>548.34</v>
      </c>
      <c r="J1706" s="16">
        <v>147069.14906073836</v>
      </c>
      <c r="K1706" s="5">
        <v>0.10007994068334272</v>
      </c>
      <c r="L1706" s="10">
        <v>145695.8027</v>
      </c>
    </row>
    <row r="1707" spans="1:12" x14ac:dyDescent="0.25">
      <c r="A1707">
        <v>1706</v>
      </c>
      <c r="B1707" s="3">
        <v>0.12240819595563177</v>
      </c>
      <c r="C1707" s="3">
        <v>4.7033451611054683E-2</v>
      </c>
      <c r="D1707" s="1">
        <v>353624.72568652127</v>
      </c>
      <c r="E1707" s="1">
        <v>11157721</v>
      </c>
      <c r="F1707" s="1">
        <v>39662723</v>
      </c>
      <c r="G1707" s="16">
        <v>35615.350688780745</v>
      </c>
      <c r="H1707">
        <v>133.68</v>
      </c>
      <c r="I1707" s="1">
        <v>490.79</v>
      </c>
      <c r="J1707" s="16">
        <v>389240.07637530204</v>
      </c>
      <c r="K1707" s="5">
        <v>-4.5013757993444148E-2</v>
      </c>
      <c r="L1707" s="10">
        <v>-280064.51779999997</v>
      </c>
    </row>
    <row r="1708" spans="1:12" x14ac:dyDescent="0.25">
      <c r="A1708">
        <v>1707</v>
      </c>
      <c r="B1708" s="3">
        <v>0.18930083487126487</v>
      </c>
      <c r="C1708" s="3">
        <v>3.5277109300379791E-2</v>
      </c>
      <c r="D1708" s="1">
        <v>216510.46060147314</v>
      </c>
      <c r="E1708" s="1">
        <v>9380859</v>
      </c>
      <c r="F1708" s="1">
        <v>39416265</v>
      </c>
      <c r="G1708" s="16">
        <v>15019.784811334066</v>
      </c>
      <c r="H1708">
        <v>79.55</v>
      </c>
      <c r="I1708" s="1">
        <v>283.04000000000002</v>
      </c>
      <c r="J1708" s="16">
        <v>231530.24541280721</v>
      </c>
      <c r="K1708" s="5">
        <v>2.6783577394011472E-3</v>
      </c>
      <c r="L1708" s="10">
        <v>5236.5690999999997</v>
      </c>
    </row>
    <row r="1709" spans="1:12" x14ac:dyDescent="0.25">
      <c r="A1709">
        <v>1708</v>
      </c>
      <c r="B1709" s="3">
        <v>0.11634033922036117</v>
      </c>
      <c r="C1709" s="3">
        <v>2.459931923426353E-2</v>
      </c>
      <c r="D1709" s="1">
        <v>104617.51691644486</v>
      </c>
      <c r="E1709" s="1">
        <v>3211197</v>
      </c>
      <c r="F1709" s="1">
        <v>22412119</v>
      </c>
      <c r="G1709" s="16">
        <v>30017.433583049351</v>
      </c>
      <c r="H1709">
        <v>95.09</v>
      </c>
      <c r="I1709" s="1">
        <v>304.69000000000005</v>
      </c>
      <c r="J1709" s="16">
        <v>134634.95049949421</v>
      </c>
      <c r="K1709" s="5">
        <v>0.1007669763973585</v>
      </c>
      <c r="L1709" s="10">
        <v>547829.02220000001</v>
      </c>
    </row>
    <row r="1710" spans="1:12" x14ac:dyDescent="0.25">
      <c r="A1710">
        <v>1709</v>
      </c>
      <c r="B1710" s="3">
        <v>0.16514735111975445</v>
      </c>
      <c r="C1710" s="3">
        <v>2.9164408033166958E-2</v>
      </c>
      <c r="D1710" s="1">
        <v>148191.58373988807</v>
      </c>
      <c r="E1710" s="1">
        <v>5709358</v>
      </c>
      <c r="F1710" s="1">
        <v>26283456</v>
      </c>
      <c r="G1710" s="16">
        <v>67312.952500193293</v>
      </c>
      <c r="H1710">
        <v>428.94</v>
      </c>
      <c r="I1710" s="1">
        <v>1042.42</v>
      </c>
      <c r="J1710" s="16">
        <v>215504.53624008136</v>
      </c>
      <c r="K1710" s="5">
        <v>2.0618910076198121E-2</v>
      </c>
      <c r="L1710" s="10">
        <v>157325.72899999999</v>
      </c>
    </row>
    <row r="1711" spans="1:12" x14ac:dyDescent="0.25">
      <c r="A1711">
        <v>1710</v>
      </c>
      <c r="B1711" s="3">
        <v>0.14768304635841736</v>
      </c>
      <c r="C1711" s="3">
        <v>5.8813870370692758E-2</v>
      </c>
      <c r="D1711" s="1">
        <v>204729.5552586478</v>
      </c>
      <c r="E1711" s="1">
        <v>7260705</v>
      </c>
      <c r="F1711" s="1">
        <v>36962564</v>
      </c>
      <c r="G1711" s="16">
        <v>28178.578750964691</v>
      </c>
      <c r="H1711">
        <v>110.49</v>
      </c>
      <c r="I1711" s="1">
        <v>305.82</v>
      </c>
      <c r="J1711" s="16">
        <v>232908.13400961249</v>
      </c>
      <c r="K1711" s="5">
        <v>0.2190429415415861</v>
      </c>
      <c r="L1711" s="10">
        <v>656842.12219999998</v>
      </c>
    </row>
    <row r="1712" spans="1:12" x14ac:dyDescent="0.25">
      <c r="A1712">
        <v>1711</v>
      </c>
      <c r="B1712" s="3">
        <v>0.15869267530024767</v>
      </c>
      <c r="C1712" s="3">
        <v>7.4454016161361408E-2</v>
      </c>
      <c r="D1712" s="1">
        <v>116321.02367588879</v>
      </c>
      <c r="E1712" s="1">
        <v>3655922</v>
      </c>
      <c r="F1712" s="1">
        <v>15507344</v>
      </c>
      <c r="G1712" s="16">
        <v>24628.204783023444</v>
      </c>
      <c r="H1712">
        <v>104.43</v>
      </c>
      <c r="I1712" s="1">
        <v>325.52</v>
      </c>
      <c r="J1712" s="16">
        <v>140949.22845891223</v>
      </c>
      <c r="K1712" s="5">
        <v>-2.2434914935994497E-2</v>
      </c>
      <c r="L1712" s="10">
        <v>-12017.120999999999</v>
      </c>
    </row>
    <row r="1713" spans="1:12" x14ac:dyDescent="0.25">
      <c r="A1713">
        <v>1712</v>
      </c>
      <c r="B1713" s="3">
        <v>0.2131073798099975</v>
      </c>
      <c r="C1713" s="3">
        <v>3.7118290665564845E-2</v>
      </c>
      <c r="D1713" s="1">
        <v>46692.386899437122</v>
      </c>
      <c r="E1713" s="1">
        <v>1793505</v>
      </c>
      <c r="F1713" s="1">
        <v>17629027</v>
      </c>
      <c r="G1713" s="16">
        <v>14133.209425513523</v>
      </c>
      <c r="H1713">
        <v>89.42</v>
      </c>
      <c r="I1713" s="1">
        <v>271.08</v>
      </c>
      <c r="J1713" s="16">
        <v>60825.596324950646</v>
      </c>
      <c r="K1713" s="5">
        <v>0.18266410026003663</v>
      </c>
      <c r="L1713" s="10">
        <v>284439.86810000002</v>
      </c>
    </row>
    <row r="1714" spans="1:12" x14ac:dyDescent="0.25">
      <c r="A1714">
        <v>1713</v>
      </c>
      <c r="B1714" s="3">
        <v>0.17144139218287729</v>
      </c>
      <c r="C1714" s="3">
        <v>7.8063531275532172E-2</v>
      </c>
      <c r="D1714" s="1">
        <v>218256.55443016652</v>
      </c>
      <c r="E1714" s="1">
        <v>10460542</v>
      </c>
      <c r="F1714" s="1">
        <v>46793998</v>
      </c>
      <c r="G1714" s="16">
        <v>29706.878085873799</v>
      </c>
      <c r="H1714">
        <v>166.87</v>
      </c>
      <c r="I1714" s="1">
        <v>453.28999999999996</v>
      </c>
      <c r="J1714" s="16">
        <v>247963.43251604031</v>
      </c>
      <c r="K1714" s="5">
        <v>9.7726742687699319E-2</v>
      </c>
      <c r="L1714" s="10">
        <v>230222.29</v>
      </c>
    </row>
    <row r="1715" spans="1:12" x14ac:dyDescent="0.25">
      <c r="A1715">
        <v>1714</v>
      </c>
      <c r="B1715" s="3">
        <v>0.16107017750452551</v>
      </c>
      <c r="C1715" s="3">
        <v>4.035947475359479E-2</v>
      </c>
      <c r="D1715" s="1">
        <v>81075.945262007357</v>
      </c>
      <c r="E1715" s="1">
        <v>2569912</v>
      </c>
      <c r="F1715" s="1">
        <v>17249751</v>
      </c>
      <c r="G1715" s="16">
        <v>19964.719820052214</v>
      </c>
      <c r="H1715">
        <v>86.06</v>
      </c>
      <c r="I1715" s="1">
        <v>343.64</v>
      </c>
      <c r="J1715" s="16">
        <v>101040.66508205957</v>
      </c>
      <c r="K1715" s="5">
        <v>0.26623551791239802</v>
      </c>
      <c r="L1715" s="10">
        <v>581251.54220000003</v>
      </c>
    </row>
    <row r="1716" spans="1:12" x14ac:dyDescent="0.25">
      <c r="A1716">
        <v>1715</v>
      </c>
      <c r="B1716" s="3">
        <v>0.11743827862346284</v>
      </c>
      <c r="C1716" s="3">
        <v>4.4141946802970518E-2</v>
      </c>
      <c r="D1716" s="1">
        <v>224212.25915882757</v>
      </c>
      <c r="E1716" s="1">
        <v>6916430</v>
      </c>
      <c r="F1716" s="1">
        <v>25405376</v>
      </c>
      <c r="G1716" s="16">
        <v>40239.599508117433</v>
      </c>
      <c r="H1716">
        <v>128.24</v>
      </c>
      <c r="I1716" s="1">
        <v>352.87</v>
      </c>
      <c r="J1716" s="16">
        <v>264451.85866694502</v>
      </c>
      <c r="K1716" s="5">
        <v>0.1440060663586496</v>
      </c>
      <c r="L1716" s="10">
        <v>683256.56169999996</v>
      </c>
    </row>
    <row r="1717" spans="1:12" x14ac:dyDescent="0.25">
      <c r="A1717">
        <v>1716</v>
      </c>
      <c r="B1717" s="3">
        <v>0.17604511125961886</v>
      </c>
      <c r="C1717" s="3">
        <v>3.2505750332389595E-2</v>
      </c>
      <c r="D1717" s="1">
        <v>57038.374578338698</v>
      </c>
      <c r="E1717" s="1">
        <v>1908357</v>
      </c>
      <c r="F1717" s="1">
        <v>12648052</v>
      </c>
      <c r="G1717" s="16">
        <v>13503.429776119105</v>
      </c>
      <c r="H1717">
        <v>64.98</v>
      </c>
      <c r="I1717" s="1">
        <v>282.45000000000005</v>
      </c>
      <c r="J1717" s="16">
        <v>70541.804354457796</v>
      </c>
      <c r="K1717" s="5">
        <v>0.15619863248832749</v>
      </c>
      <c r="L1717" s="10">
        <v>292838.91970000003</v>
      </c>
    </row>
    <row r="1718" spans="1:12" x14ac:dyDescent="0.25">
      <c r="A1718">
        <v>1717</v>
      </c>
      <c r="B1718" s="3">
        <v>0.11962804357655281</v>
      </c>
      <c r="C1718" s="3">
        <v>4.0233837706874206E-2</v>
      </c>
      <c r="D1718" s="1">
        <v>65281.497858482828</v>
      </c>
      <c r="E1718" s="1">
        <v>1576376</v>
      </c>
      <c r="F1718" s="1">
        <v>10704707</v>
      </c>
      <c r="G1718" s="16">
        <v>67832.577005418265</v>
      </c>
      <c r="H1718">
        <v>282.75</v>
      </c>
      <c r="I1718" s="1">
        <v>820.09999999999991</v>
      </c>
      <c r="J1718" s="16">
        <v>133114.0748639011</v>
      </c>
      <c r="K1718" s="5">
        <v>9.4978081663063069E-2</v>
      </c>
      <c r="L1718" s="10">
        <v>278605.3015</v>
      </c>
    </row>
    <row r="1719" spans="1:12" x14ac:dyDescent="0.25">
      <c r="A1719">
        <v>1718</v>
      </c>
      <c r="B1719" s="3">
        <v>0.12901293395242616</v>
      </c>
      <c r="C1719" s="3">
        <v>7.5998717260793644E-2</v>
      </c>
      <c r="D1719" s="1">
        <v>249308.99165990847</v>
      </c>
      <c r="E1719" s="1">
        <v>8107629</v>
      </c>
      <c r="F1719" s="1">
        <v>34125401</v>
      </c>
      <c r="G1719" s="16">
        <v>84829.958881159881</v>
      </c>
      <c r="H1719">
        <v>385.41</v>
      </c>
      <c r="I1719" s="1">
        <v>971.42000000000007</v>
      </c>
      <c r="J1719" s="16">
        <v>334138.95054106833</v>
      </c>
      <c r="K1719" s="5">
        <v>5.7724884951505642E-2</v>
      </c>
      <c r="L1719" s="10">
        <v>173796.6379</v>
      </c>
    </row>
    <row r="1720" spans="1:12" x14ac:dyDescent="0.25">
      <c r="A1720">
        <v>1719</v>
      </c>
      <c r="B1720" s="3">
        <v>0.11318837495397807</v>
      </c>
      <c r="C1720" s="3">
        <v>4.7741719364836371E-2</v>
      </c>
      <c r="D1720" s="1">
        <v>161310.34832327947</v>
      </c>
      <c r="E1720" s="1">
        <v>4881348</v>
      </c>
      <c r="F1720" s="1">
        <v>28940353</v>
      </c>
      <c r="G1720" s="16">
        <v>35628.646834867708</v>
      </c>
      <c r="H1720">
        <v>124.19</v>
      </c>
      <c r="I1720" s="1">
        <v>402.94</v>
      </c>
      <c r="J1720" s="16">
        <v>196938.99515814718</v>
      </c>
      <c r="K1720" s="5">
        <v>0.14028936266015915</v>
      </c>
      <c r="L1720" s="10">
        <v>499404.81550000003</v>
      </c>
    </row>
    <row r="1721" spans="1:12" x14ac:dyDescent="0.25">
      <c r="A1721">
        <v>1720</v>
      </c>
      <c r="B1721" s="3">
        <v>0.19252789578928431</v>
      </c>
      <c r="C1721" s="3">
        <v>3.3059279696294561E-2</v>
      </c>
      <c r="D1721" s="1">
        <v>192179.09542812212</v>
      </c>
      <c r="E1721" s="1">
        <v>10477824</v>
      </c>
      <c r="F1721" s="1">
        <v>49950093</v>
      </c>
      <c r="G1721" s="16">
        <v>12304.660340663262</v>
      </c>
      <c r="H1721">
        <v>66.84</v>
      </c>
      <c r="I1721" s="1">
        <v>223.9</v>
      </c>
      <c r="J1721" s="16">
        <v>204483.75576878537</v>
      </c>
      <c r="K1721" s="5">
        <v>0.15287017253418503</v>
      </c>
      <c r="L1721" s="10">
        <v>785756.18330000003</v>
      </c>
    </row>
    <row r="1722" spans="1:12" x14ac:dyDescent="0.25">
      <c r="A1722">
        <v>1721</v>
      </c>
      <c r="B1722" s="3">
        <v>0.21111555374700347</v>
      </c>
      <c r="C1722" s="3">
        <v>6.1570831965980663E-2</v>
      </c>
      <c r="D1722" s="1">
        <v>58928.405618235454</v>
      </c>
      <c r="E1722" s="1">
        <v>2246401</v>
      </c>
      <c r="F1722" s="1">
        <v>16556470</v>
      </c>
      <c r="G1722" s="16">
        <v>32200.114447004304</v>
      </c>
      <c r="H1722">
        <v>254.73</v>
      </c>
      <c r="I1722" s="1">
        <v>676.03</v>
      </c>
      <c r="J1722" s="16">
        <v>91128.520065239762</v>
      </c>
      <c r="K1722" s="5">
        <v>1.111658231650893E-2</v>
      </c>
      <c r="L1722" s="10">
        <v>42879.986100000002</v>
      </c>
    </row>
    <row r="1723" spans="1:12" x14ac:dyDescent="0.25">
      <c r="A1723">
        <v>1722</v>
      </c>
      <c r="B1723" s="3">
        <v>0.15031492792165127</v>
      </c>
      <c r="C1723" s="3">
        <v>4.2839907702665665E-2</v>
      </c>
      <c r="D1723" s="1">
        <v>341141.10335381434</v>
      </c>
      <c r="E1723" s="1">
        <v>14416073</v>
      </c>
      <c r="F1723" s="1">
        <v>47027272</v>
      </c>
      <c r="G1723" s="16">
        <v>17456.044142248</v>
      </c>
      <c r="H1723">
        <v>69.67</v>
      </c>
      <c r="I1723" s="1">
        <v>241.95999999999998</v>
      </c>
      <c r="J1723" s="16">
        <v>358597.14749606233</v>
      </c>
      <c r="K1723" s="5">
        <v>9.7804717974163152E-2</v>
      </c>
      <c r="L1723" s="10">
        <v>628091.66</v>
      </c>
    </row>
    <row r="1724" spans="1:12" x14ac:dyDescent="0.25">
      <c r="A1724">
        <v>1723</v>
      </c>
      <c r="B1724" s="3">
        <v>0.17471607620015711</v>
      </c>
      <c r="C1724" s="3">
        <v>6.5096178699160678E-2</v>
      </c>
      <c r="D1724" s="1">
        <v>253967.55300701736</v>
      </c>
      <c r="E1724" s="1">
        <v>10246310</v>
      </c>
      <c r="F1724" s="1">
        <v>33326532</v>
      </c>
      <c r="G1724" s="16">
        <v>27263.563364352252</v>
      </c>
      <c r="H1724">
        <v>129.68</v>
      </c>
      <c r="I1724" s="1">
        <v>383.46000000000004</v>
      </c>
      <c r="J1724" s="16">
        <v>281231.11637136963</v>
      </c>
      <c r="K1724" s="5">
        <v>9.7753100924158995E-2</v>
      </c>
      <c r="L1724" s="10">
        <v>294518.76949999999</v>
      </c>
    </row>
    <row r="1725" spans="1:12" x14ac:dyDescent="0.25">
      <c r="A1725">
        <v>1724</v>
      </c>
      <c r="B1725" s="3">
        <v>0.22244007299354265</v>
      </c>
      <c r="C1725" s="3">
        <v>2.6408697893135658E-2</v>
      </c>
      <c r="D1725" s="1">
        <v>141481.48452678224</v>
      </c>
      <c r="E1725" s="1">
        <v>7243801</v>
      </c>
      <c r="F1725" s="1">
        <v>22262614</v>
      </c>
      <c r="G1725" s="16">
        <v>16087.789451204288</v>
      </c>
      <c r="H1725">
        <v>140.81</v>
      </c>
      <c r="I1725" s="1">
        <v>488.16</v>
      </c>
      <c r="J1725" s="16">
        <v>157569.27397798654</v>
      </c>
      <c r="K1725" s="5">
        <v>0.18944958850235738</v>
      </c>
      <c r="L1725" s="10">
        <v>949672.32460000005</v>
      </c>
    </row>
    <row r="1726" spans="1:12" x14ac:dyDescent="0.25">
      <c r="A1726">
        <v>1725</v>
      </c>
      <c r="B1726" s="3">
        <v>0.23965457720762998</v>
      </c>
      <c r="C1726" s="3">
        <v>4.5548335985221219E-2</v>
      </c>
      <c r="D1726" s="1">
        <v>108267.96528264561</v>
      </c>
      <c r="E1726" s="1">
        <v>6062606</v>
      </c>
      <c r="F1726" s="1">
        <v>33605968</v>
      </c>
      <c r="G1726" s="16">
        <v>19681.975600630285</v>
      </c>
      <c r="H1726">
        <v>264.99</v>
      </c>
      <c r="I1726" s="1">
        <v>776.49</v>
      </c>
      <c r="J1726" s="16">
        <v>127949.94088327591</v>
      </c>
      <c r="K1726" s="5">
        <v>-8.6792291902572496E-2</v>
      </c>
      <c r="L1726" s="10">
        <v>-181470.13620000001</v>
      </c>
    </row>
    <row r="1727" spans="1:12" x14ac:dyDescent="0.25">
      <c r="A1727">
        <v>1726</v>
      </c>
      <c r="B1727" s="3">
        <v>0.2192667747309896</v>
      </c>
      <c r="C1727" s="3">
        <v>3.8783025305905841E-2</v>
      </c>
      <c r="D1727" s="1">
        <v>201281.69258973215</v>
      </c>
      <c r="E1727" s="1">
        <v>10139025</v>
      </c>
      <c r="F1727" s="1">
        <v>33970325</v>
      </c>
      <c r="G1727" s="16">
        <v>11884.964503875042</v>
      </c>
      <c r="H1727">
        <v>79.06</v>
      </c>
      <c r="I1727" s="1">
        <v>258.24</v>
      </c>
      <c r="J1727" s="16">
        <v>213166.65709360718</v>
      </c>
      <c r="K1727" s="5">
        <v>0.20912615501975548</v>
      </c>
      <c r="L1727" s="10">
        <v>891455.59809999994</v>
      </c>
    </row>
    <row r="1728" spans="1:12" x14ac:dyDescent="0.25">
      <c r="A1728">
        <v>1727</v>
      </c>
      <c r="B1728" s="3">
        <v>0.13085391134550939</v>
      </c>
      <c r="C1728" s="3">
        <v>3.8040958982932083E-2</v>
      </c>
      <c r="D1728" s="1">
        <v>111878.50043552667</v>
      </c>
      <c r="E1728" s="1">
        <v>3189125</v>
      </c>
      <c r="F1728" s="1">
        <v>12220486</v>
      </c>
      <c r="G1728" s="16">
        <v>22379.531858507278</v>
      </c>
      <c r="H1728">
        <v>78.06</v>
      </c>
      <c r="I1728" s="1">
        <v>321.89999999999998</v>
      </c>
      <c r="J1728" s="16">
        <v>134258.03229403394</v>
      </c>
      <c r="K1728" s="5">
        <v>0.18292526846096083</v>
      </c>
      <c r="L1728" s="10">
        <v>505160.27220000001</v>
      </c>
    </row>
    <row r="1729" spans="1:12" x14ac:dyDescent="0.25">
      <c r="A1729">
        <v>1728</v>
      </c>
      <c r="B1729" s="3">
        <v>0.21436693440450405</v>
      </c>
      <c r="C1729" s="3">
        <v>2.7292605352252822E-2</v>
      </c>
      <c r="D1729" s="1">
        <v>145997.54241957539</v>
      </c>
      <c r="E1729" s="1">
        <v>7172477</v>
      </c>
      <c r="F1729" s="1">
        <v>32981349</v>
      </c>
      <c r="G1729" s="16">
        <v>20679.007551055813</v>
      </c>
      <c r="H1729">
        <v>168.51</v>
      </c>
      <c r="I1729" s="1">
        <v>521.55999999999995</v>
      </c>
      <c r="J1729" s="16">
        <v>166676.5499706312</v>
      </c>
      <c r="K1729" s="5">
        <v>-3.3810622882411837E-2</v>
      </c>
      <c r="L1729" s="10">
        <v>-139486.42910000001</v>
      </c>
    </row>
    <row r="1730" spans="1:12" x14ac:dyDescent="0.25">
      <c r="A1730">
        <v>1729</v>
      </c>
      <c r="B1730" s="3">
        <v>0.21857956999538125</v>
      </c>
      <c r="C1730" s="3">
        <v>3.3014881442135678E-2</v>
      </c>
      <c r="D1730" s="1">
        <v>245828.89069623142</v>
      </c>
      <c r="E1730" s="1">
        <v>15791075</v>
      </c>
      <c r="F1730" s="1">
        <v>69893320</v>
      </c>
      <c r="G1730" s="16">
        <v>31638.250650606198</v>
      </c>
      <c r="H1730">
        <v>267.38</v>
      </c>
      <c r="I1730" s="1">
        <v>605.4</v>
      </c>
      <c r="J1730" s="16">
        <v>277467.14134683763</v>
      </c>
      <c r="K1730" s="5">
        <v>3.9160877998916113E-2</v>
      </c>
      <c r="L1730" s="10">
        <v>341554.21509999997</v>
      </c>
    </row>
    <row r="1731" spans="1:12" x14ac:dyDescent="0.25">
      <c r="A1731">
        <v>1730</v>
      </c>
      <c r="B1731" s="3">
        <v>0.24643974215490505</v>
      </c>
      <c r="C1731" s="3">
        <v>4.3402091881680482E-2</v>
      </c>
      <c r="D1731" s="1">
        <v>121327.05175786045</v>
      </c>
      <c r="E1731" s="1">
        <v>7041887</v>
      </c>
      <c r="F1731" s="1">
        <v>29503519</v>
      </c>
      <c r="G1731" s="16">
        <v>13247.86605906713</v>
      </c>
      <c r="H1731">
        <v>108.7</v>
      </c>
      <c r="I1731" s="1">
        <v>362.35</v>
      </c>
      <c r="J1731" s="16">
        <v>134574.91781692757</v>
      </c>
      <c r="K1731" s="5">
        <v>0.18282190783975449</v>
      </c>
      <c r="L1731" s="10">
        <v>471385.74469999998</v>
      </c>
    </row>
    <row r="1732" spans="1:12" x14ac:dyDescent="0.25">
      <c r="A1732">
        <v>1731</v>
      </c>
      <c r="B1732" s="3">
        <v>0.17950426893056964</v>
      </c>
      <c r="C1732" s="3">
        <v>2.5658789689163089E-2</v>
      </c>
      <c r="D1732" s="1">
        <v>152547.97387948746</v>
      </c>
      <c r="E1732" s="1">
        <v>6299463</v>
      </c>
      <c r="F1732" s="1">
        <v>33260568</v>
      </c>
      <c r="G1732" s="16">
        <v>18235.578597085176</v>
      </c>
      <c r="H1732">
        <v>90.04</v>
      </c>
      <c r="I1732" s="1">
        <v>356.71</v>
      </c>
      <c r="J1732" s="16">
        <v>170783.55247657263</v>
      </c>
      <c r="K1732" s="5">
        <v>6.6444160612468606E-2</v>
      </c>
      <c r="L1732" s="10">
        <v>441453.8187</v>
      </c>
    </row>
    <row r="1733" spans="1:12" x14ac:dyDescent="0.25">
      <c r="A1733">
        <v>1732</v>
      </c>
      <c r="B1733" s="3">
        <v>0.21576170010202972</v>
      </c>
      <c r="C1733" s="3">
        <v>5.7227251983171384E-2</v>
      </c>
      <c r="D1733" s="1">
        <v>186758.52882097577</v>
      </c>
      <c r="E1733" s="1">
        <v>11782644</v>
      </c>
      <c r="F1733" s="1">
        <v>51921267</v>
      </c>
      <c r="G1733" s="16">
        <v>15081.842635925799</v>
      </c>
      <c r="H1733">
        <v>97.53</v>
      </c>
      <c r="I1733" s="1">
        <v>337.23</v>
      </c>
      <c r="J1733" s="16">
        <v>201840.37145690157</v>
      </c>
      <c r="K1733" s="5">
        <v>5.9777710277918512E-2</v>
      </c>
      <c r="L1733" s="10">
        <v>210329.30189999999</v>
      </c>
    </row>
    <row r="1734" spans="1:12" x14ac:dyDescent="0.25">
      <c r="A1734">
        <v>1733</v>
      </c>
      <c r="B1734" s="3">
        <v>0.20701913639860214</v>
      </c>
      <c r="C1734" s="3">
        <v>4.4245680933007445E-2</v>
      </c>
      <c r="D1734" s="1">
        <v>80869.772418924811</v>
      </c>
      <c r="E1734" s="1">
        <v>3035295</v>
      </c>
      <c r="F1734" s="1">
        <v>18478260</v>
      </c>
      <c r="G1734" s="16">
        <v>21414.126460850817</v>
      </c>
      <c r="H1734">
        <v>163.38</v>
      </c>
      <c r="I1734" s="1">
        <v>413.29</v>
      </c>
      <c r="J1734" s="16">
        <v>102283.89887977563</v>
      </c>
      <c r="K1734" s="5">
        <v>7.7639851138809057E-2</v>
      </c>
      <c r="L1734" s="10">
        <v>152612.5625</v>
      </c>
    </row>
    <row r="1735" spans="1:12" x14ac:dyDescent="0.25">
      <c r="A1735">
        <v>1734</v>
      </c>
      <c r="B1735" s="3">
        <v>0.17177749891048544</v>
      </c>
      <c r="C1735" s="3">
        <v>7.8022221789730284E-2</v>
      </c>
      <c r="D1735" s="1">
        <v>167118.91147341917</v>
      </c>
      <c r="E1735" s="1">
        <v>5505377</v>
      </c>
      <c r="F1735" s="1">
        <v>21451173</v>
      </c>
      <c r="G1735" s="16">
        <v>28819.366546605452</v>
      </c>
      <c r="H1735">
        <v>162.09</v>
      </c>
      <c r="I1735" s="1">
        <v>676.64</v>
      </c>
      <c r="J1735" s="16">
        <v>195938.27802002462</v>
      </c>
      <c r="K1735" s="5">
        <v>-6.1793663068498393E-2</v>
      </c>
      <c r="L1735" s="10">
        <v>-73442.1829</v>
      </c>
    </row>
    <row r="1736" spans="1:12" x14ac:dyDescent="0.25">
      <c r="A1736">
        <v>1735</v>
      </c>
      <c r="B1736" s="3">
        <v>0.12648290304404794</v>
      </c>
      <c r="C1736" s="3">
        <v>3.7608701201662799E-2</v>
      </c>
      <c r="D1736" s="1">
        <v>395231.13890131767</v>
      </c>
      <c r="E1736" s="1">
        <v>14544437</v>
      </c>
      <c r="F1736" s="1">
        <v>45396323</v>
      </c>
      <c r="G1736" s="16">
        <v>58114.910610891617</v>
      </c>
      <c r="H1736">
        <v>225.4</v>
      </c>
      <c r="I1736" s="1">
        <v>601.92999999999995</v>
      </c>
      <c r="J1736" s="16">
        <v>453346.04951220925</v>
      </c>
      <c r="K1736" s="5">
        <v>-4.9660638782059764E-2</v>
      </c>
      <c r="L1736" s="10">
        <v>-401789.20850000001</v>
      </c>
    </row>
    <row r="1737" spans="1:12" x14ac:dyDescent="0.25">
      <c r="A1737">
        <v>1736</v>
      </c>
      <c r="B1737" s="3">
        <v>0.14355099995641329</v>
      </c>
      <c r="C1737" s="3">
        <v>3.7722306716250723E-2</v>
      </c>
      <c r="D1737" s="1">
        <v>136160.38415108013</v>
      </c>
      <c r="E1737" s="1">
        <v>4056486</v>
      </c>
      <c r="F1737" s="1">
        <v>14270626</v>
      </c>
      <c r="G1737" s="16">
        <v>34644.703983000181</v>
      </c>
      <c r="H1737">
        <v>154.11000000000001</v>
      </c>
      <c r="I1737" s="1">
        <v>573.73</v>
      </c>
      <c r="J1737" s="16">
        <v>170805.08813408032</v>
      </c>
      <c r="K1737" s="5">
        <v>0.16156464677374638</v>
      </c>
      <c r="L1737" s="10">
        <v>587033.74320000003</v>
      </c>
    </row>
    <row r="1738" spans="1:12" x14ac:dyDescent="0.25">
      <c r="A1738">
        <v>1737</v>
      </c>
      <c r="B1738" s="3">
        <v>0.13472120269142926</v>
      </c>
      <c r="C1738" s="3">
        <v>5.4527983987597714E-2</v>
      </c>
      <c r="D1738" s="1">
        <v>336588.3813242123</v>
      </c>
      <c r="E1738" s="1">
        <v>11237713</v>
      </c>
      <c r="F1738" s="1">
        <v>36816702</v>
      </c>
      <c r="G1738" s="16">
        <v>19501.723156745731</v>
      </c>
      <c r="H1738">
        <v>70.05</v>
      </c>
      <c r="I1738" s="1">
        <v>238.14</v>
      </c>
      <c r="J1738" s="16">
        <v>356090.10448095802</v>
      </c>
      <c r="K1738" s="5">
        <v>0.17917104037212389</v>
      </c>
      <c r="L1738" s="10">
        <v>835439.62210000004</v>
      </c>
    </row>
    <row r="1739" spans="1:12" x14ac:dyDescent="0.25">
      <c r="A1739">
        <v>1738</v>
      </c>
      <c r="B1739" s="3">
        <v>0.13087507856202263</v>
      </c>
      <c r="C1739" s="3">
        <v>3.9931665393395391E-2</v>
      </c>
      <c r="D1739" s="1">
        <v>118969.8777032863</v>
      </c>
      <c r="E1739" s="1">
        <v>3391507</v>
      </c>
      <c r="F1739" s="1">
        <v>14715873</v>
      </c>
      <c r="G1739" s="16">
        <v>111203.3180575311</v>
      </c>
      <c r="H1739">
        <v>514.38</v>
      </c>
      <c r="I1739" s="1">
        <v>1483.8400000000001</v>
      </c>
      <c r="J1739" s="16">
        <v>230173.19576081738</v>
      </c>
      <c r="K1739" s="5">
        <v>0.13719537779370464</v>
      </c>
      <c r="L1739" s="10">
        <v>594737.86259999999</v>
      </c>
    </row>
    <row r="1740" spans="1:12" x14ac:dyDescent="0.25">
      <c r="A1740">
        <v>1739</v>
      </c>
      <c r="B1740" s="3">
        <v>0.19355379978664705</v>
      </c>
      <c r="C1740" s="3">
        <v>7.96152091142069E-2</v>
      </c>
      <c r="D1740" s="1">
        <v>99412.180602577762</v>
      </c>
      <c r="E1740" s="1">
        <v>3547450</v>
      </c>
      <c r="F1740" s="1">
        <v>20797664</v>
      </c>
      <c r="G1740" s="16">
        <v>32060.658610844825</v>
      </c>
      <c r="H1740">
        <v>217.64</v>
      </c>
      <c r="I1740" s="1">
        <v>713.93999999999994</v>
      </c>
      <c r="J1740" s="16">
        <v>131472.83921342259</v>
      </c>
      <c r="K1740" s="5">
        <v>7.1320541122502801E-2</v>
      </c>
      <c r="L1740" s="10">
        <v>76878.803499999995</v>
      </c>
    </row>
    <row r="1741" spans="1:12" x14ac:dyDescent="0.25">
      <c r="A1741">
        <v>1740</v>
      </c>
      <c r="B1741" s="3">
        <v>0.2087705297593821</v>
      </c>
      <c r="C1741" s="3">
        <v>6.9574713595401086E-2</v>
      </c>
      <c r="D1741" s="1">
        <v>62729.351185308427</v>
      </c>
      <c r="E1741" s="1">
        <v>2370098</v>
      </c>
      <c r="F1741" s="1">
        <v>13309032</v>
      </c>
      <c r="G1741" s="16">
        <v>14884.864132803528</v>
      </c>
      <c r="H1741">
        <v>115.43</v>
      </c>
      <c r="I1741" s="1">
        <v>488.87</v>
      </c>
      <c r="J1741" s="16">
        <v>77614.21531811195</v>
      </c>
      <c r="K1741" s="5">
        <v>-3.1027050033283186E-2</v>
      </c>
      <c r="L1741" s="10">
        <v>-3750.9450999999999</v>
      </c>
    </row>
    <row r="1742" spans="1:12" x14ac:dyDescent="0.25">
      <c r="A1742">
        <v>1741</v>
      </c>
      <c r="B1742" s="3">
        <v>0.24016921929682217</v>
      </c>
      <c r="C1742" s="3">
        <v>6.0899262144452515E-2</v>
      </c>
      <c r="D1742" s="1">
        <v>56343.425464962798</v>
      </c>
      <c r="E1742" s="1">
        <v>2403787</v>
      </c>
      <c r="F1742" s="1">
        <v>16873010</v>
      </c>
      <c r="G1742" s="16">
        <v>6932.7943709926203</v>
      </c>
      <c r="H1742">
        <v>54.21</v>
      </c>
      <c r="I1742" s="1">
        <v>199.27</v>
      </c>
      <c r="J1742" s="16">
        <v>63276.219835955417</v>
      </c>
      <c r="K1742" s="5">
        <v>0.27810025525302862</v>
      </c>
      <c r="L1742" s="10">
        <v>228580.14689999999</v>
      </c>
    </row>
    <row r="1743" spans="1:12" x14ac:dyDescent="0.25">
      <c r="A1743">
        <v>1742</v>
      </c>
      <c r="B1743" s="3">
        <v>0.16618857354930688</v>
      </c>
      <c r="C1743" s="3">
        <v>2.1320964053554742E-2</v>
      </c>
      <c r="D1743" s="1">
        <v>93003.268692524274</v>
      </c>
      <c r="E1743" s="1">
        <v>3601055</v>
      </c>
      <c r="F1743" s="1">
        <v>30267672</v>
      </c>
      <c r="G1743" s="16">
        <v>35975.54107795305</v>
      </c>
      <c r="H1743">
        <v>192.77</v>
      </c>
      <c r="I1743" s="1">
        <v>494.63</v>
      </c>
      <c r="J1743" s="16">
        <v>128978.80977047732</v>
      </c>
      <c r="K1743" s="5">
        <v>8.1248127304621734E-2</v>
      </c>
      <c r="L1743" s="10">
        <v>472663.12199999997</v>
      </c>
    </row>
    <row r="1744" spans="1:12" x14ac:dyDescent="0.25">
      <c r="A1744">
        <v>1743</v>
      </c>
      <c r="B1744" s="3">
        <v>0.19854554303001953</v>
      </c>
      <c r="C1744" s="3">
        <v>7.3445564353338488E-2</v>
      </c>
      <c r="D1744" s="1">
        <v>60743.808070809493</v>
      </c>
      <c r="E1744" s="1">
        <v>2208351</v>
      </c>
      <c r="F1744" s="1">
        <v>18210908</v>
      </c>
      <c r="G1744" s="16">
        <v>39936.721156485779</v>
      </c>
      <c r="H1744">
        <v>352.54</v>
      </c>
      <c r="I1744" s="1">
        <v>1062.77</v>
      </c>
      <c r="J1744" s="16">
        <v>100680.52922729528</v>
      </c>
      <c r="K1744" s="5">
        <v>8.7409595399702694E-2</v>
      </c>
      <c r="L1744" s="10">
        <v>101048.34110000001</v>
      </c>
    </row>
    <row r="1745" spans="1:12" x14ac:dyDescent="0.25">
      <c r="A1745">
        <v>1744</v>
      </c>
      <c r="B1745" s="3">
        <v>0.17694102341156673</v>
      </c>
      <c r="C1745" s="3">
        <v>2.1685595168782632E-2</v>
      </c>
      <c r="D1745" s="1">
        <v>57830.650266060504</v>
      </c>
      <c r="E1745" s="1">
        <v>1941192</v>
      </c>
      <c r="F1745" s="1">
        <v>11853588</v>
      </c>
      <c r="G1745" s="16">
        <v>39090.180947661058</v>
      </c>
      <c r="H1745">
        <v>229.42</v>
      </c>
      <c r="I1745" s="1">
        <v>715.89</v>
      </c>
      <c r="J1745" s="16">
        <v>96920.831213721569</v>
      </c>
      <c r="K1745" s="5">
        <v>2.7277016906268291E-2</v>
      </c>
      <c r="L1745" s="10">
        <v>133853.1789</v>
      </c>
    </row>
    <row r="1746" spans="1:12" x14ac:dyDescent="0.25">
      <c r="A1746">
        <v>1745</v>
      </c>
      <c r="B1746" s="3">
        <v>0.1284503477445198</v>
      </c>
      <c r="C1746" s="3">
        <v>3.8732234186771929E-2</v>
      </c>
      <c r="D1746" s="1">
        <v>122556.77837661744</v>
      </c>
      <c r="E1746" s="1">
        <v>3464686</v>
      </c>
      <c r="F1746" s="1">
        <v>20673623</v>
      </c>
      <c r="G1746" s="16">
        <v>20797.749994862494</v>
      </c>
      <c r="H1746">
        <v>71.5</v>
      </c>
      <c r="I1746" s="1">
        <v>307.64999999999998</v>
      </c>
      <c r="J1746" s="16">
        <v>143354.52837147994</v>
      </c>
      <c r="K1746" s="5">
        <v>0.24112699634190143</v>
      </c>
      <c r="L1746" s="10">
        <v>729748.45889999997</v>
      </c>
    </row>
    <row r="1747" spans="1:12" x14ac:dyDescent="0.25">
      <c r="A1747">
        <v>1746</v>
      </c>
      <c r="B1747" s="3">
        <v>0.18396350844352694</v>
      </c>
      <c r="C1747" s="3">
        <v>7.7479255954842577E-2</v>
      </c>
      <c r="D1747" s="1">
        <v>47190.381495593676</v>
      </c>
      <c r="E1747" s="1">
        <v>1625276</v>
      </c>
      <c r="F1747" s="1">
        <v>11225341</v>
      </c>
      <c r="G1747" s="16">
        <v>27741.095406941186</v>
      </c>
      <c r="H1747">
        <v>173.15</v>
      </c>
      <c r="I1747" s="1">
        <v>594.38</v>
      </c>
      <c r="J1747" s="16">
        <v>74931.476902534865</v>
      </c>
      <c r="K1747" s="5">
        <v>0.19102454310244973</v>
      </c>
      <c r="L1747" s="10">
        <v>147444.01070000001</v>
      </c>
    </row>
    <row r="1748" spans="1:12" x14ac:dyDescent="0.25">
      <c r="A1748">
        <v>1747</v>
      </c>
      <c r="B1748" s="3">
        <v>0.1259935524878282</v>
      </c>
      <c r="C1748" s="3">
        <v>6.4929355209278422E-2</v>
      </c>
      <c r="D1748" s="1">
        <v>141594.33173508602</v>
      </c>
      <c r="E1748" s="1">
        <v>3969216</v>
      </c>
      <c r="F1748" s="1">
        <v>18215591</v>
      </c>
      <c r="G1748" s="16">
        <v>11567.065807325927</v>
      </c>
      <c r="H1748">
        <v>34.07</v>
      </c>
      <c r="I1748" s="1">
        <v>171.19</v>
      </c>
      <c r="J1748" s="16">
        <v>153161.39754241196</v>
      </c>
      <c r="K1748" s="5">
        <v>0.24130532815749717</v>
      </c>
      <c r="L1748" s="10">
        <v>397068.62699999998</v>
      </c>
    </row>
    <row r="1749" spans="1:12" x14ac:dyDescent="0.25">
      <c r="A1749">
        <v>1748</v>
      </c>
      <c r="B1749" s="3">
        <v>0.23302470292669486</v>
      </c>
      <c r="C1749" s="3">
        <v>6.6127336722003258E-2</v>
      </c>
      <c r="D1749" s="1">
        <v>101977.49063083129</v>
      </c>
      <c r="E1749" s="1">
        <v>4230218</v>
      </c>
      <c r="F1749" s="1">
        <v>16423759</v>
      </c>
      <c r="G1749" s="16">
        <v>13563.758356169448</v>
      </c>
      <c r="H1749">
        <v>100.36</v>
      </c>
      <c r="I1749" s="1">
        <v>339.43</v>
      </c>
      <c r="J1749" s="16">
        <v>115541.24898700074</v>
      </c>
      <c r="K1749" s="5">
        <v>6.062473191790204E-2</v>
      </c>
      <c r="L1749" s="10">
        <v>84958.815600000002</v>
      </c>
    </row>
    <row r="1750" spans="1:12" x14ac:dyDescent="0.25">
      <c r="A1750">
        <v>1749</v>
      </c>
      <c r="B1750" s="3">
        <v>0.21805142616778719</v>
      </c>
      <c r="C1750" s="3">
        <v>4.7348309483865425E-2</v>
      </c>
      <c r="D1750" s="1">
        <v>58496.522577943244</v>
      </c>
      <c r="E1750" s="1">
        <v>2289806</v>
      </c>
      <c r="F1750" s="1">
        <v>11402456</v>
      </c>
      <c r="G1750" s="16">
        <v>40247.533563170502</v>
      </c>
      <c r="H1750">
        <v>433.15</v>
      </c>
      <c r="I1750" s="1">
        <v>973.6</v>
      </c>
      <c r="J1750" s="16">
        <v>98744.056141113746</v>
      </c>
      <c r="K1750" s="5">
        <v>0.14813770394283182</v>
      </c>
      <c r="L1750" s="10">
        <v>243818.72560000001</v>
      </c>
    </row>
    <row r="1751" spans="1:12" x14ac:dyDescent="0.25">
      <c r="A1751">
        <v>1750</v>
      </c>
      <c r="B1751" s="3">
        <v>0.12310252596296552</v>
      </c>
      <c r="C1751" s="3">
        <v>7.4014113478580987E-2</v>
      </c>
      <c r="D1751" s="1">
        <v>359073.23470099602</v>
      </c>
      <c r="E1751" s="1">
        <v>12961103</v>
      </c>
      <c r="F1751" s="1">
        <v>56410674</v>
      </c>
      <c r="G1751" s="16">
        <v>35887.989638515071</v>
      </c>
      <c r="H1751">
        <v>118.78</v>
      </c>
      <c r="I1751" s="1">
        <v>338.85</v>
      </c>
      <c r="J1751" s="16">
        <v>394961.22433951107</v>
      </c>
      <c r="K1751" s="5">
        <v>-1.3404044818976946E-2</v>
      </c>
      <c r="L1751" s="10">
        <v>-48160.635000000002</v>
      </c>
    </row>
    <row r="1752" spans="1:12" x14ac:dyDescent="0.25">
      <c r="A1752">
        <v>1751</v>
      </c>
      <c r="B1752" s="3">
        <v>0.19136344040374398</v>
      </c>
      <c r="C1752" s="3">
        <v>4.6816885674153062E-2</v>
      </c>
      <c r="D1752" s="1">
        <v>138797.15718277229</v>
      </c>
      <c r="E1752" s="1">
        <v>4912727</v>
      </c>
      <c r="F1752" s="1">
        <v>20640562</v>
      </c>
      <c r="G1752" s="16">
        <v>37239.927197239063</v>
      </c>
      <c r="H1752">
        <v>247.86</v>
      </c>
      <c r="I1752" s="1">
        <v>696.02</v>
      </c>
      <c r="J1752" s="16">
        <v>176037.08438001137</v>
      </c>
      <c r="K1752" s="5">
        <v>0.24678607618921217</v>
      </c>
      <c r="L1752" s="10">
        <v>710241.09739999997</v>
      </c>
    </row>
    <row r="1753" spans="1:12" x14ac:dyDescent="0.25">
      <c r="A1753">
        <v>1752</v>
      </c>
      <c r="B1753" s="3">
        <v>0.21097432996212284</v>
      </c>
      <c r="C1753" s="3">
        <v>3.4381582070575192E-2</v>
      </c>
      <c r="D1753" s="1">
        <v>28847.157414224235</v>
      </c>
      <c r="E1753" s="1">
        <v>867210</v>
      </c>
      <c r="F1753" s="1">
        <v>8225771</v>
      </c>
      <c r="G1753" s="16">
        <v>26396.466985977204</v>
      </c>
      <c r="H1753">
        <v>208.33</v>
      </c>
      <c r="I1753" s="1">
        <v>535.31000000000006</v>
      </c>
      <c r="J1753" s="16">
        <v>55243.624400201443</v>
      </c>
      <c r="K1753" s="5">
        <v>0.13907769840030582</v>
      </c>
      <c r="L1753" s="10">
        <v>200749.47260000001</v>
      </c>
    </row>
    <row r="1754" spans="1:12" x14ac:dyDescent="0.25">
      <c r="A1754">
        <v>1753</v>
      </c>
      <c r="B1754" s="3">
        <v>0.23615219489131417</v>
      </c>
      <c r="C1754" s="3">
        <v>7.8499398198174961E-2</v>
      </c>
      <c r="D1754" s="1">
        <v>34150.388384280173</v>
      </c>
      <c r="E1754" s="1">
        <v>1095432</v>
      </c>
      <c r="F1754" s="1">
        <v>10538862</v>
      </c>
      <c r="G1754" s="16">
        <v>14009.872199138466</v>
      </c>
      <c r="H1754">
        <v>106.06</v>
      </c>
      <c r="I1754" s="1">
        <v>382.39000000000004</v>
      </c>
      <c r="J1754" s="16">
        <v>48160.26058341864</v>
      </c>
      <c r="K1754" s="5">
        <v>-8.6101621857276031E-2</v>
      </c>
      <c r="L1754" s="10">
        <v>-22026.3521</v>
      </c>
    </row>
    <row r="1755" spans="1:12" x14ac:dyDescent="0.25">
      <c r="A1755">
        <v>1754</v>
      </c>
      <c r="B1755" s="3">
        <v>0.15722928053255025</v>
      </c>
      <c r="C1755" s="3">
        <v>4.1880390311026389E-2</v>
      </c>
      <c r="D1755" s="1">
        <v>277440.50948401785</v>
      </c>
      <c r="E1755" s="1">
        <v>12213088</v>
      </c>
      <c r="F1755" s="1">
        <v>52618682</v>
      </c>
      <c r="G1755" s="16">
        <v>18229.993094533682</v>
      </c>
      <c r="H1755">
        <v>90.82</v>
      </c>
      <c r="I1755" s="1">
        <v>387.34000000000003</v>
      </c>
      <c r="J1755" s="16">
        <v>295670.50257855153</v>
      </c>
      <c r="K1755" s="5">
        <v>0.12222964096539429</v>
      </c>
      <c r="L1755" s="10">
        <v>718807.45389999996</v>
      </c>
    </row>
    <row r="1756" spans="1:12" x14ac:dyDescent="0.25">
      <c r="A1756">
        <v>1755</v>
      </c>
      <c r="B1756" s="3">
        <v>0.24091442246008485</v>
      </c>
      <c r="C1756" s="3">
        <v>7.4651000223293462E-2</v>
      </c>
      <c r="D1756" s="1">
        <v>92426.547637495023</v>
      </c>
      <c r="E1756" s="1">
        <v>5209985</v>
      </c>
      <c r="F1756" s="1">
        <v>25305037</v>
      </c>
      <c r="G1756" s="16">
        <v>24145.270522930081</v>
      </c>
      <c r="H1756">
        <v>329.43</v>
      </c>
      <c r="I1756" s="1">
        <v>919.54</v>
      </c>
      <c r="J1756" s="16">
        <v>116571.8181604251</v>
      </c>
      <c r="K1756" s="5">
        <v>8.6760815512458025E-2</v>
      </c>
      <c r="L1756" s="10">
        <v>127606.6039</v>
      </c>
    </row>
    <row r="1757" spans="1:12" x14ac:dyDescent="0.25">
      <c r="A1757">
        <v>1756</v>
      </c>
      <c r="B1757" s="3">
        <v>0.23855628754333527</v>
      </c>
      <c r="C1757" s="3">
        <v>2.2437789422499601E-2</v>
      </c>
      <c r="D1757" s="1">
        <v>42947.978147623529</v>
      </c>
      <c r="E1757" s="1">
        <v>1820673</v>
      </c>
      <c r="F1757" s="1">
        <v>12819173</v>
      </c>
      <c r="G1757" s="16">
        <v>20628.014984167807</v>
      </c>
      <c r="H1757">
        <v>209.07</v>
      </c>
      <c r="I1757" s="1">
        <v>660.85</v>
      </c>
      <c r="J1757" s="16">
        <v>63575.993131791336</v>
      </c>
      <c r="K1757" s="5">
        <v>-5.2927400605460695E-2</v>
      </c>
      <c r="L1757" s="10">
        <v>-112409.781</v>
      </c>
    </row>
    <row r="1758" spans="1:12" x14ac:dyDescent="0.25">
      <c r="A1758">
        <v>1757</v>
      </c>
      <c r="B1758" s="3">
        <v>0.16391532555105509</v>
      </c>
      <c r="C1758" s="3">
        <v>7.032675740975948E-2</v>
      </c>
      <c r="D1758" s="1">
        <v>98321.501863768441</v>
      </c>
      <c r="E1758" s="1">
        <v>3765739</v>
      </c>
      <c r="F1758" s="1">
        <v>29149915</v>
      </c>
      <c r="G1758" s="16">
        <v>35404.145243631283</v>
      </c>
      <c r="H1758">
        <v>186.38</v>
      </c>
      <c r="I1758" s="1">
        <v>679.37</v>
      </c>
      <c r="J1758" s="16">
        <v>133725.64710739971</v>
      </c>
      <c r="K1758" s="5">
        <v>0.23067828161211132</v>
      </c>
      <c r="L1758" s="10">
        <v>339537.84330000001</v>
      </c>
    </row>
    <row r="1759" spans="1:12" x14ac:dyDescent="0.25">
      <c r="A1759">
        <v>1758</v>
      </c>
      <c r="B1759" s="3">
        <v>0.12920416770840554</v>
      </c>
      <c r="C1759" s="3">
        <v>6.5953184636749942E-2</v>
      </c>
      <c r="D1759" s="1">
        <v>353817.27930198429</v>
      </c>
      <c r="E1759" s="1">
        <v>13225158</v>
      </c>
      <c r="F1759" s="1">
        <v>45569540</v>
      </c>
      <c r="G1759" s="16">
        <v>33325.308714150073</v>
      </c>
      <c r="H1759">
        <v>115.12</v>
      </c>
      <c r="I1759" s="1">
        <v>371.81</v>
      </c>
      <c r="J1759" s="16">
        <v>387142.58801613434</v>
      </c>
      <c r="K1759" s="5">
        <v>0.16746691599124913</v>
      </c>
      <c r="L1759" s="10">
        <v>666855.53370000003</v>
      </c>
    </row>
    <row r="1760" spans="1:12" x14ac:dyDescent="0.25">
      <c r="A1760">
        <v>1759</v>
      </c>
      <c r="B1760" s="3">
        <v>0.19434701483646774</v>
      </c>
      <c r="C1760" s="3">
        <v>4.8342108040723308E-2</v>
      </c>
      <c r="D1760" s="1">
        <v>123102.59734153911</v>
      </c>
      <c r="E1760" s="1">
        <v>5468618</v>
      </c>
      <c r="F1760" s="1">
        <v>27948588</v>
      </c>
      <c r="G1760" s="16">
        <v>35290.381522793577</v>
      </c>
      <c r="H1760">
        <v>299.06</v>
      </c>
      <c r="I1760" s="1">
        <v>816.19</v>
      </c>
      <c r="J1760" s="16">
        <v>158392.97886433269</v>
      </c>
      <c r="K1760" s="5">
        <v>0.17464386271041935</v>
      </c>
      <c r="L1760" s="10">
        <v>448305.52409999998</v>
      </c>
    </row>
    <row r="1761" spans="1:12" x14ac:dyDescent="0.25">
      <c r="A1761">
        <v>1760</v>
      </c>
      <c r="B1761" s="3">
        <v>0.14204212558920909</v>
      </c>
      <c r="C1761" s="3">
        <v>3.3811228094545745E-2</v>
      </c>
      <c r="D1761" s="1">
        <v>209527.29170840929</v>
      </c>
      <c r="E1761" s="1">
        <v>7237347</v>
      </c>
      <c r="F1761" s="1">
        <v>35414119</v>
      </c>
      <c r="G1761" s="16">
        <v>61166.158257236908</v>
      </c>
      <c r="H1761">
        <v>268.91000000000003</v>
      </c>
      <c r="I1761" s="1">
        <v>746.52</v>
      </c>
      <c r="J1761" s="16">
        <v>270693.4499656462</v>
      </c>
      <c r="K1761" s="5">
        <v>0.17874292206702183</v>
      </c>
      <c r="L1761" s="10">
        <v>1212148.8511000001</v>
      </c>
    </row>
    <row r="1762" spans="1:12" x14ac:dyDescent="0.25">
      <c r="A1762">
        <v>1761</v>
      </c>
      <c r="B1762" s="3">
        <v>0.11492885053694418</v>
      </c>
      <c r="C1762" s="3">
        <v>7.4609477436132013E-2</v>
      </c>
      <c r="D1762" s="1">
        <v>35899.127143384947</v>
      </c>
      <c r="E1762" s="1">
        <v>857689</v>
      </c>
      <c r="F1762" s="1">
        <v>6543940</v>
      </c>
      <c r="G1762" s="16">
        <v>24141.534805726569</v>
      </c>
      <c r="H1762">
        <v>75.69</v>
      </c>
      <c r="I1762" s="1">
        <v>254.47</v>
      </c>
      <c r="J1762" s="16">
        <v>60040.661949111513</v>
      </c>
      <c r="K1762" s="5">
        <v>0.10057617655786046</v>
      </c>
      <c r="L1762" s="10">
        <v>57263.936999999998</v>
      </c>
    </row>
    <row r="1763" spans="1:12" x14ac:dyDescent="0.25">
      <c r="A1763">
        <v>1762</v>
      </c>
      <c r="B1763" s="3">
        <v>0.10822940947716428</v>
      </c>
      <c r="C1763" s="3">
        <v>2.6746597501754975E-2</v>
      </c>
      <c r="D1763" s="1">
        <v>87177.496965218103</v>
      </c>
      <c r="E1763" s="1">
        <v>2051637</v>
      </c>
      <c r="F1763" s="1">
        <v>10547365</v>
      </c>
      <c r="G1763" s="16">
        <v>35818.542057964522</v>
      </c>
      <c r="H1763">
        <v>107.01</v>
      </c>
      <c r="I1763" s="1">
        <v>341.79</v>
      </c>
      <c r="J1763" s="16">
        <v>122996.03902318262</v>
      </c>
      <c r="K1763" s="5">
        <v>6.8659741805330979E-2</v>
      </c>
      <c r="L1763" s="10">
        <v>263485.85029999999</v>
      </c>
    </row>
    <row r="1764" spans="1:12" x14ac:dyDescent="0.25">
      <c r="A1764">
        <v>1763</v>
      </c>
      <c r="B1764" s="3">
        <v>0.24466840261543712</v>
      </c>
      <c r="C1764" s="3">
        <v>2.9453488631261938E-2</v>
      </c>
      <c r="D1764" s="1">
        <v>269838.87294249207</v>
      </c>
      <c r="E1764" s="1">
        <v>20540894</v>
      </c>
      <c r="F1764" s="1">
        <v>84536186</v>
      </c>
      <c r="G1764" s="16">
        <v>5608.8564907599548</v>
      </c>
      <c r="H1764">
        <v>45.46</v>
      </c>
      <c r="I1764" s="1">
        <v>246.3</v>
      </c>
      <c r="J1764" s="16">
        <v>275447.72943325201</v>
      </c>
      <c r="K1764" s="5">
        <v>0.10597560842243151</v>
      </c>
      <c r="L1764" s="10">
        <v>846662.89339999994</v>
      </c>
    </row>
    <row r="1765" spans="1:12" x14ac:dyDescent="0.25">
      <c r="A1765">
        <v>1764</v>
      </c>
      <c r="B1765" s="3">
        <v>0.18094152702655281</v>
      </c>
      <c r="C1765" s="3">
        <v>4.1086403971842531E-2</v>
      </c>
      <c r="D1765" s="1">
        <v>374280.28370908229</v>
      </c>
      <c r="E1765" s="1">
        <v>19003148</v>
      </c>
      <c r="F1765" s="1">
        <v>71719730</v>
      </c>
      <c r="G1765" s="16">
        <v>11316.644230297894</v>
      </c>
      <c r="H1765">
        <v>56.38</v>
      </c>
      <c r="I1765" s="1">
        <v>211.22</v>
      </c>
      <c r="J1765" s="16">
        <v>385596.92793938017</v>
      </c>
      <c r="K1765" s="5">
        <v>5.6365346493248078E-2</v>
      </c>
      <c r="L1765" s="10">
        <v>412705.4939</v>
      </c>
    </row>
    <row r="1766" spans="1:12" x14ac:dyDescent="0.25">
      <c r="A1766">
        <v>1765</v>
      </c>
      <c r="B1766" s="3">
        <v>0.15411308517292688</v>
      </c>
      <c r="C1766" s="3">
        <v>5.4744886073076815E-2</v>
      </c>
      <c r="D1766" s="1">
        <v>210771.43479936704</v>
      </c>
      <c r="E1766" s="1">
        <v>7704867</v>
      </c>
      <c r="F1766" s="1">
        <v>31547757</v>
      </c>
      <c r="G1766" s="16">
        <v>23329.398113898384</v>
      </c>
      <c r="H1766">
        <v>95.7</v>
      </c>
      <c r="I1766" s="1">
        <v>294.84000000000003</v>
      </c>
      <c r="J1766" s="16">
        <v>234100.83291326542</v>
      </c>
      <c r="K1766" s="5">
        <v>0.31146506511209548</v>
      </c>
      <c r="L1766" s="10">
        <v>974239.77549999999</v>
      </c>
    </row>
    <row r="1767" spans="1:12" x14ac:dyDescent="0.25">
      <c r="A1767">
        <v>1766</v>
      </c>
      <c r="B1767" s="3">
        <v>0.12838101533170435</v>
      </c>
      <c r="C1767" s="3">
        <v>3.5010894127271708E-2</v>
      </c>
      <c r="D1767" s="1">
        <v>91276.063428525056</v>
      </c>
      <c r="E1767" s="1">
        <v>2579765</v>
      </c>
      <c r="F1767" s="1">
        <v>13264865</v>
      </c>
      <c r="G1767" s="16">
        <v>11739.88420650941</v>
      </c>
      <c r="H1767">
        <v>40.31</v>
      </c>
      <c r="I1767" s="1">
        <v>219.34</v>
      </c>
      <c r="J1767" s="16">
        <v>103015.94763503446</v>
      </c>
      <c r="K1767" s="5">
        <v>6.5541615333260694E-2</v>
      </c>
      <c r="L1767" s="10">
        <v>173424.1391</v>
      </c>
    </row>
    <row r="1768" spans="1:12" x14ac:dyDescent="0.25">
      <c r="A1768">
        <v>1767</v>
      </c>
      <c r="B1768" s="3">
        <v>0.22777169493489552</v>
      </c>
      <c r="C1768" s="3">
        <v>3.6313216999409724E-2</v>
      </c>
      <c r="D1768" s="1">
        <v>214750.25459608287</v>
      </c>
      <c r="E1768" s="1">
        <v>14635521</v>
      </c>
      <c r="F1768" s="1">
        <v>60958037</v>
      </c>
      <c r="G1768" s="16">
        <v>6045.9951926017202</v>
      </c>
      <c r="H1768">
        <v>33.18</v>
      </c>
      <c r="I1768" s="1">
        <v>163.43</v>
      </c>
      <c r="J1768" s="16">
        <v>220796.2497886846</v>
      </c>
      <c r="K1768" s="5">
        <v>0.13392462774601976</v>
      </c>
      <c r="L1768" s="10">
        <v>683484.77480000001</v>
      </c>
    </row>
    <row r="1769" spans="1:12" x14ac:dyDescent="0.25">
      <c r="A1769">
        <v>1768</v>
      </c>
      <c r="B1769" s="3">
        <v>0.17728681388086107</v>
      </c>
      <c r="C1769" s="3">
        <v>2.7004132083035443E-2</v>
      </c>
      <c r="D1769" s="1">
        <v>139824.57789103183</v>
      </c>
      <c r="E1769" s="1">
        <v>5712055</v>
      </c>
      <c r="F1769" s="1">
        <v>34165221</v>
      </c>
      <c r="G1769" s="16">
        <v>34730.17009271682</v>
      </c>
      <c r="H1769">
        <v>248.69</v>
      </c>
      <c r="I1769" s="1">
        <v>1107.0899999999999</v>
      </c>
      <c r="J1769" s="16">
        <v>174554.74798374865</v>
      </c>
      <c r="K1769" s="5">
        <v>-2.5223284089379704E-2</v>
      </c>
      <c r="L1769" s="10">
        <v>-117946.36109999999</v>
      </c>
    </row>
    <row r="1770" spans="1:12" x14ac:dyDescent="0.25">
      <c r="A1770">
        <v>1769</v>
      </c>
      <c r="B1770" s="3">
        <v>0.19165392852544888</v>
      </c>
      <c r="C1770" s="3">
        <v>3.553230468893908E-2</v>
      </c>
      <c r="D1770" s="1">
        <v>125864.67339428181</v>
      </c>
      <c r="E1770" s="1">
        <v>4459795</v>
      </c>
      <c r="F1770" s="1">
        <v>19311343</v>
      </c>
      <c r="G1770" s="16">
        <v>23980.999291967666</v>
      </c>
      <c r="H1770">
        <v>160.1</v>
      </c>
      <c r="I1770" s="1">
        <v>617.12</v>
      </c>
      <c r="J1770" s="16">
        <v>149845.67268624948</v>
      </c>
      <c r="K1770" s="5">
        <v>0.20094571000738076</v>
      </c>
      <c r="L1770" s="10">
        <v>692427.36919999996</v>
      </c>
    </row>
    <row r="1771" spans="1:12" x14ac:dyDescent="0.25">
      <c r="A1771">
        <v>1770</v>
      </c>
      <c r="B1771" s="3">
        <v>0.16992872049361499</v>
      </c>
      <c r="C1771" s="3">
        <v>6.71060445924163E-2</v>
      </c>
      <c r="D1771" s="1">
        <v>94253.423827812847</v>
      </c>
      <c r="E1771" s="1">
        <v>3084288</v>
      </c>
      <c r="F1771" s="1">
        <v>12604556</v>
      </c>
      <c r="G1771" s="16">
        <v>10259.769788141346</v>
      </c>
      <c r="H1771">
        <v>39.119999999999997</v>
      </c>
      <c r="I1771" s="1">
        <v>142.27000000000001</v>
      </c>
      <c r="J1771" s="16">
        <v>104513.19361595419</v>
      </c>
      <c r="K1771" s="5">
        <v>-3.6455869774395085E-2</v>
      </c>
      <c r="L1771" s="10">
        <v>-31899.7559</v>
      </c>
    </row>
    <row r="1772" spans="1:12" x14ac:dyDescent="0.25">
      <c r="A1772">
        <v>1771</v>
      </c>
      <c r="B1772" s="3">
        <v>0.11122915967279581</v>
      </c>
      <c r="C1772" s="3">
        <v>5.6117334777491701E-2</v>
      </c>
      <c r="D1772" s="1">
        <v>178836.20754535875</v>
      </c>
      <c r="E1772" s="1">
        <v>5364128</v>
      </c>
      <c r="F1772" s="1">
        <v>25505324</v>
      </c>
      <c r="G1772" s="16">
        <v>64126.89989297594</v>
      </c>
      <c r="H1772">
        <v>247.67</v>
      </c>
      <c r="I1772" s="1">
        <v>809.4</v>
      </c>
      <c r="J1772" s="16">
        <v>242963.10743833467</v>
      </c>
      <c r="K1772" s="5">
        <v>0.29736699940326322</v>
      </c>
      <c r="L1772" s="10">
        <v>917626.81499999994</v>
      </c>
    </row>
    <row r="1773" spans="1:12" x14ac:dyDescent="0.25">
      <c r="A1773">
        <v>1772</v>
      </c>
      <c r="B1773" s="3">
        <v>0.14888302211529286</v>
      </c>
      <c r="C1773" s="3">
        <v>6.1026798809448377E-2</v>
      </c>
      <c r="D1773" s="1">
        <v>273481.16613062884</v>
      </c>
      <c r="E1773" s="1">
        <v>9753770</v>
      </c>
      <c r="F1773" s="1">
        <v>38727990</v>
      </c>
      <c r="G1773" s="16">
        <v>14256.619084280448</v>
      </c>
      <c r="H1773">
        <v>48.02</v>
      </c>
      <c r="I1773" s="1">
        <v>175.28</v>
      </c>
      <c r="J1773" s="16">
        <v>287737.78521490929</v>
      </c>
      <c r="K1773" s="5">
        <v>0.23204255423066728</v>
      </c>
      <c r="L1773" s="10">
        <v>763346.51980000001</v>
      </c>
    </row>
    <row r="1774" spans="1:12" x14ac:dyDescent="0.25">
      <c r="A1774">
        <v>1773</v>
      </c>
      <c r="B1774" s="3">
        <v>0.13379631135147879</v>
      </c>
      <c r="C1774" s="3">
        <v>5.9098566720677093E-2</v>
      </c>
      <c r="D1774" s="1">
        <v>46597.963185892419</v>
      </c>
      <c r="E1774" s="1">
        <v>1162333</v>
      </c>
      <c r="F1774" s="1">
        <v>9911078</v>
      </c>
      <c r="G1774" s="16">
        <v>61166.512967461123</v>
      </c>
      <c r="H1774">
        <v>251.5</v>
      </c>
      <c r="I1774" s="1">
        <v>708.63</v>
      </c>
      <c r="J1774" s="16">
        <v>107764.47615335355</v>
      </c>
      <c r="K1774" s="5">
        <v>0.20795883861043074</v>
      </c>
      <c r="L1774" s="10">
        <v>287748.39779999998</v>
      </c>
    </row>
    <row r="1775" spans="1:12" x14ac:dyDescent="0.25">
      <c r="A1775">
        <v>1774</v>
      </c>
      <c r="B1775" s="3">
        <v>0.22106047871123335</v>
      </c>
      <c r="C1775" s="3">
        <v>4.0965778785852523E-2</v>
      </c>
      <c r="D1775" s="1">
        <v>119648.55551937003</v>
      </c>
      <c r="E1775" s="1">
        <v>6082677</v>
      </c>
      <c r="F1775" s="1">
        <v>24572542</v>
      </c>
      <c r="G1775" s="16">
        <v>29738.58310832283</v>
      </c>
      <c r="H1775">
        <v>330.4</v>
      </c>
      <c r="I1775" s="1">
        <v>920.18999999999994</v>
      </c>
      <c r="J1775" s="16">
        <v>149387.13862769285</v>
      </c>
      <c r="K1775" s="5">
        <v>2.3408041998048221E-2</v>
      </c>
      <c r="L1775" s="10">
        <v>98688.899799999999</v>
      </c>
    </row>
    <row r="1776" spans="1:12" x14ac:dyDescent="0.25">
      <c r="A1776">
        <v>1775</v>
      </c>
      <c r="B1776" s="3">
        <v>0.17829105605255374</v>
      </c>
      <c r="C1776" s="3">
        <v>6.333867284951461E-2</v>
      </c>
      <c r="D1776" s="1">
        <v>278730.59855298529</v>
      </c>
      <c r="E1776" s="1">
        <v>13925064</v>
      </c>
      <c r="F1776" s="1">
        <v>43118332</v>
      </c>
      <c r="G1776" s="16">
        <v>8468.0256980921276</v>
      </c>
      <c r="H1776">
        <v>33.97</v>
      </c>
      <c r="I1776" s="1">
        <v>166.57</v>
      </c>
      <c r="J1776" s="16">
        <v>287198.62425107742</v>
      </c>
      <c r="K1776" s="5">
        <v>-1.9708185877437005E-2</v>
      </c>
      <c r="L1776" s="10">
        <v>-28244.552</v>
      </c>
    </row>
    <row r="1777" spans="1:12" x14ac:dyDescent="0.25">
      <c r="A1777">
        <v>1776</v>
      </c>
      <c r="B1777" s="3">
        <v>0.10461939711766258</v>
      </c>
      <c r="C1777" s="3">
        <v>2.3878855435979552E-2</v>
      </c>
      <c r="D1777" s="1">
        <v>165965.02020320218</v>
      </c>
      <c r="E1777" s="1">
        <v>4832684</v>
      </c>
      <c r="F1777" s="1">
        <v>24678411</v>
      </c>
      <c r="G1777" s="16">
        <v>50570.755770220247</v>
      </c>
      <c r="H1777">
        <v>164.92</v>
      </c>
      <c r="I1777" s="1">
        <v>502.9</v>
      </c>
      <c r="J1777" s="16">
        <v>216535.77597342242</v>
      </c>
      <c r="K1777" s="5">
        <v>7.1187180515342147E-2</v>
      </c>
      <c r="L1777" s="10">
        <v>561518.49129999999</v>
      </c>
    </row>
    <row r="1778" spans="1:12" x14ac:dyDescent="0.25">
      <c r="A1778">
        <v>1777</v>
      </c>
      <c r="B1778" s="3">
        <v>0.14023567960175293</v>
      </c>
      <c r="C1778" s="3">
        <v>4.2102983815586408E-2</v>
      </c>
      <c r="D1778" s="1">
        <v>467340.46253014152</v>
      </c>
      <c r="E1778" s="1">
        <v>18618264</v>
      </c>
      <c r="F1778" s="1">
        <v>73661604</v>
      </c>
      <c r="G1778" s="16">
        <v>65494.743227237799</v>
      </c>
      <c r="H1778">
        <v>329.94</v>
      </c>
      <c r="I1778" s="1">
        <v>836.58999999999992</v>
      </c>
      <c r="J1778" s="16">
        <v>532835.2057573793</v>
      </c>
      <c r="K1778" s="5">
        <v>5.8621846809955538E-2</v>
      </c>
      <c r="L1778" s="10">
        <v>589209.94270000001</v>
      </c>
    </row>
    <row r="1779" spans="1:12" x14ac:dyDescent="0.25">
      <c r="A1779">
        <v>1778</v>
      </c>
      <c r="B1779" s="3">
        <v>0.19350524266900532</v>
      </c>
      <c r="C1779" s="3">
        <v>7.2352179059636867E-2</v>
      </c>
      <c r="D1779" s="1">
        <v>157817.76638844717</v>
      </c>
      <c r="E1779" s="1">
        <v>6981562</v>
      </c>
      <c r="F1779" s="1">
        <v>34348748</v>
      </c>
      <c r="G1779" s="16">
        <v>32541.750389450597</v>
      </c>
      <c r="H1779">
        <v>220.42</v>
      </c>
      <c r="I1779" s="1">
        <v>630.34999999999991</v>
      </c>
      <c r="J1779" s="16">
        <v>190359.51677789778</v>
      </c>
      <c r="K1779" s="5">
        <v>0.16782322381365511</v>
      </c>
      <c r="L1779" s="10">
        <v>305577.47930000001</v>
      </c>
    </row>
    <row r="1780" spans="1:12" x14ac:dyDescent="0.25">
      <c r="A1780">
        <v>1779</v>
      </c>
      <c r="B1780" s="3">
        <v>0.23507594156841102</v>
      </c>
      <c r="C1780" s="3">
        <v>7.3011691140503626E-2</v>
      </c>
      <c r="D1780" s="1">
        <v>122534.82054544013</v>
      </c>
      <c r="E1780" s="1">
        <v>6698670</v>
      </c>
      <c r="F1780" s="1">
        <v>24263612</v>
      </c>
      <c r="G1780" s="16">
        <v>7759.315511082581</v>
      </c>
      <c r="H1780">
        <v>58.3</v>
      </c>
      <c r="I1780" s="1">
        <v>208.10000000000002</v>
      </c>
      <c r="J1780" s="16">
        <v>130294.13605652271</v>
      </c>
      <c r="K1780" s="5">
        <v>2.6218013792247318E-2</v>
      </c>
      <c r="L1780" s="10">
        <v>45742.339</v>
      </c>
    </row>
    <row r="1781" spans="1:12" x14ac:dyDescent="0.25">
      <c r="A1781">
        <v>1780</v>
      </c>
      <c r="B1781" s="3">
        <v>0.17803719166113019</v>
      </c>
      <c r="C1781" s="3">
        <v>3.6659391121664664E-2</v>
      </c>
      <c r="D1781" s="1">
        <v>206467.41993487664</v>
      </c>
      <c r="E1781" s="1">
        <v>8465361</v>
      </c>
      <c r="F1781" s="1">
        <v>37388983</v>
      </c>
      <c r="G1781" s="16">
        <v>27605.397218073871</v>
      </c>
      <c r="H1781">
        <v>134.82</v>
      </c>
      <c r="I1781" s="1">
        <v>352.12</v>
      </c>
      <c r="J1781" s="16">
        <v>234072.81715295051</v>
      </c>
      <c r="K1781" s="5">
        <v>0.17706748581211371</v>
      </c>
      <c r="L1781" s="10">
        <v>901476.60719999997</v>
      </c>
    </row>
    <row r="1782" spans="1:12" x14ac:dyDescent="0.25">
      <c r="A1782">
        <v>1781</v>
      </c>
      <c r="B1782" s="3">
        <v>0.2414979156198144</v>
      </c>
      <c r="C1782" s="3">
        <v>5.7506380516239936E-2</v>
      </c>
      <c r="D1782" s="1">
        <v>117772.87135338882</v>
      </c>
      <c r="E1782" s="1">
        <v>6659180</v>
      </c>
      <c r="F1782" s="1">
        <v>37170544</v>
      </c>
      <c r="G1782" s="16">
        <v>7990.3462019410454</v>
      </c>
      <c r="H1782">
        <v>63.15</v>
      </c>
      <c r="I1782" s="1">
        <v>217.48000000000002</v>
      </c>
      <c r="J1782" s="16">
        <v>125763.21755532987</v>
      </c>
      <c r="K1782" s="5">
        <v>0.15635772888107252</v>
      </c>
      <c r="L1782" s="10">
        <v>268296.43979999999</v>
      </c>
    </row>
    <row r="1783" spans="1:12" x14ac:dyDescent="0.25">
      <c r="A1783">
        <v>1782</v>
      </c>
      <c r="B1783" s="3">
        <v>0.12249091604715731</v>
      </c>
      <c r="C1783" s="3">
        <v>3.6413568309017319E-2</v>
      </c>
      <c r="D1783" s="1">
        <v>157639.92660095444</v>
      </c>
      <c r="E1783" s="1">
        <v>4975799</v>
      </c>
      <c r="F1783" s="1">
        <v>36375025</v>
      </c>
      <c r="G1783" s="16">
        <v>78056.04940475733</v>
      </c>
      <c r="H1783">
        <v>333.85</v>
      </c>
      <c r="I1783" s="1">
        <v>809.75</v>
      </c>
      <c r="J1783" s="16">
        <v>235695.97600571177</v>
      </c>
      <c r="K1783" s="5">
        <v>-0.10965237227193281</v>
      </c>
      <c r="L1783" s="10">
        <v>-532180.93519999995</v>
      </c>
    </row>
    <row r="1784" spans="1:12" x14ac:dyDescent="0.25">
      <c r="A1784">
        <v>1783</v>
      </c>
      <c r="B1784" s="3">
        <v>0.24982719329791719</v>
      </c>
      <c r="C1784" s="3">
        <v>7.8806536626006021E-2</v>
      </c>
      <c r="D1784" s="1">
        <v>308678.86445201217</v>
      </c>
      <c r="E1784" s="1">
        <v>24316582</v>
      </c>
      <c r="F1784" s="1">
        <v>75490567</v>
      </c>
      <c r="G1784" s="16">
        <v>6129.3697388196297</v>
      </c>
      <c r="H1784">
        <v>51.78</v>
      </c>
      <c r="I1784" s="1">
        <v>216.45000000000002</v>
      </c>
      <c r="J1784" s="16">
        <v>314808.23419083178</v>
      </c>
      <c r="K1784" s="5">
        <v>0.14425063313857953</v>
      </c>
      <c r="L1784" s="10">
        <v>374660.55849999998</v>
      </c>
    </row>
    <row r="1785" spans="1:12" x14ac:dyDescent="0.25">
      <c r="A1785">
        <v>1784</v>
      </c>
      <c r="B1785" s="3">
        <v>0.1693769276175085</v>
      </c>
      <c r="C1785" s="3">
        <v>4.4781393802594556E-2</v>
      </c>
      <c r="D1785" s="1">
        <v>156120.18147632579</v>
      </c>
      <c r="E1785" s="1">
        <v>6138267</v>
      </c>
      <c r="F1785" s="1">
        <v>31687367</v>
      </c>
      <c r="G1785" s="16">
        <v>36041.244519186163</v>
      </c>
      <c r="H1785">
        <v>198.9</v>
      </c>
      <c r="I1785" s="1">
        <v>699.18999999999994</v>
      </c>
      <c r="J1785" s="16">
        <v>192161.42599551193</v>
      </c>
      <c r="K1785" s="5">
        <v>0.10842652374950115</v>
      </c>
      <c r="L1785" s="10">
        <v>385193.3064</v>
      </c>
    </row>
    <row r="1786" spans="1:12" x14ac:dyDescent="0.25">
      <c r="A1786">
        <v>1785</v>
      </c>
      <c r="B1786" s="3">
        <v>0.22687373538615363</v>
      </c>
      <c r="C1786" s="3">
        <v>5.0914347265156978E-2</v>
      </c>
      <c r="D1786" s="1">
        <v>52820.146742805788</v>
      </c>
      <c r="E1786" s="1">
        <v>2139200</v>
      </c>
      <c r="F1786" s="1">
        <v>13878580</v>
      </c>
      <c r="G1786" s="16">
        <v>11311.315795963283</v>
      </c>
      <c r="H1786">
        <v>79.8</v>
      </c>
      <c r="I1786" s="1">
        <v>258.97999999999996</v>
      </c>
      <c r="J1786" s="16">
        <v>64131.462538769068</v>
      </c>
      <c r="K1786" s="5">
        <v>8.5571512518186565E-2</v>
      </c>
      <c r="L1786" s="10">
        <v>104490.41899999999</v>
      </c>
    </row>
    <row r="1787" spans="1:12" x14ac:dyDescent="0.25">
      <c r="A1787">
        <v>1786</v>
      </c>
      <c r="B1787" s="3">
        <v>0.13692593223769808</v>
      </c>
      <c r="C1787" s="3">
        <v>2.4194374032767585E-2</v>
      </c>
      <c r="D1787" s="1">
        <v>160221.4988061944</v>
      </c>
      <c r="E1787" s="1">
        <v>5404200</v>
      </c>
      <c r="F1787" s="1">
        <v>24761897</v>
      </c>
      <c r="G1787" s="16">
        <v>36840.44330050829</v>
      </c>
      <c r="H1787">
        <v>155.38</v>
      </c>
      <c r="I1787" s="1">
        <v>440.40999999999997</v>
      </c>
      <c r="J1787" s="16">
        <v>197061.94210670269</v>
      </c>
      <c r="K1787" s="5">
        <v>0.3636302345305214</v>
      </c>
      <c r="L1787" s="10">
        <v>2556035.2955999998</v>
      </c>
    </row>
    <row r="1788" spans="1:12" x14ac:dyDescent="0.25">
      <c r="A1788">
        <v>1787</v>
      </c>
      <c r="B1788" s="3">
        <v>0.16312051772977043</v>
      </c>
      <c r="C1788" s="3">
        <v>6.9048093084089157E-2</v>
      </c>
      <c r="D1788" s="1">
        <v>103077.96487807273</v>
      </c>
      <c r="E1788" s="1">
        <v>3291395</v>
      </c>
      <c r="F1788" s="1">
        <v>13539042</v>
      </c>
      <c r="G1788" s="16">
        <v>14741.171613154662</v>
      </c>
      <c r="H1788">
        <v>64.55</v>
      </c>
      <c r="I1788" s="1">
        <v>238.60000000000002</v>
      </c>
      <c r="J1788" s="16">
        <v>117819.13649122739</v>
      </c>
      <c r="K1788" s="5">
        <v>0.1139732676492454</v>
      </c>
      <c r="L1788" s="10">
        <v>126571.5024</v>
      </c>
    </row>
    <row r="1789" spans="1:12" x14ac:dyDescent="0.25">
      <c r="A1789">
        <v>1788</v>
      </c>
      <c r="B1789" s="3">
        <v>0.19953081752648921</v>
      </c>
      <c r="C1789" s="3">
        <v>3.5621670139252055E-2</v>
      </c>
      <c r="D1789" s="1">
        <v>276280.53130344697</v>
      </c>
      <c r="E1789" s="1">
        <v>15733654</v>
      </c>
      <c r="F1789" s="1">
        <v>66850579</v>
      </c>
      <c r="G1789" s="16">
        <v>9011.9938104877201</v>
      </c>
      <c r="H1789">
        <v>41.23</v>
      </c>
      <c r="I1789" s="1">
        <v>173.1</v>
      </c>
      <c r="J1789" s="16">
        <v>285292.52511393471</v>
      </c>
      <c r="K1789" s="5">
        <v>0.17665686024855731</v>
      </c>
      <c r="L1789" s="10">
        <v>1147041.8108000001</v>
      </c>
    </row>
    <row r="1790" spans="1:12" x14ac:dyDescent="0.25">
      <c r="A1790">
        <v>1789</v>
      </c>
      <c r="B1790" s="3">
        <v>0.23531277190696603</v>
      </c>
      <c r="C1790" s="3">
        <v>5.4556286893452446E-2</v>
      </c>
      <c r="D1790" s="1">
        <v>93759.212288959039</v>
      </c>
      <c r="E1790" s="1">
        <v>3924333</v>
      </c>
      <c r="F1790" s="1">
        <v>16905663</v>
      </c>
      <c r="G1790" s="16">
        <v>15847.615367178891</v>
      </c>
      <c r="H1790">
        <v>119.26</v>
      </c>
      <c r="I1790" s="1">
        <v>355.90000000000003</v>
      </c>
      <c r="J1790" s="16">
        <v>109606.82765613793</v>
      </c>
      <c r="K1790" s="5">
        <v>1.9373537427340187E-2</v>
      </c>
      <c r="L1790" s="10">
        <v>28124.411899999999</v>
      </c>
    </row>
    <row r="1791" spans="1:12" x14ac:dyDescent="0.25">
      <c r="A1791">
        <v>1790</v>
      </c>
      <c r="B1791" s="3">
        <v>0.24970792784444046</v>
      </c>
      <c r="C1791" s="3">
        <v>6.1626876445310008E-2</v>
      </c>
      <c r="D1791" s="1">
        <v>67244.73979940945</v>
      </c>
      <c r="E1791" s="1">
        <v>2979683</v>
      </c>
      <c r="F1791" s="1">
        <v>11464778</v>
      </c>
      <c r="G1791" s="16">
        <v>12520.625267901822</v>
      </c>
      <c r="H1791">
        <v>140.88</v>
      </c>
      <c r="I1791" s="1">
        <v>524.76</v>
      </c>
      <c r="J1791" s="16">
        <v>79765.365067311272</v>
      </c>
      <c r="K1791" s="5">
        <v>0.10691594197605883</v>
      </c>
      <c r="L1791" s="10">
        <v>101309.6917</v>
      </c>
    </row>
    <row r="1792" spans="1:12" x14ac:dyDescent="0.25">
      <c r="A1792">
        <v>1791</v>
      </c>
      <c r="B1792" s="3">
        <v>0.16412085215925126</v>
      </c>
      <c r="C1792" s="3">
        <v>4.8415893024674889E-2</v>
      </c>
      <c r="D1792" s="1">
        <v>196555.38180837283</v>
      </c>
      <c r="E1792" s="1">
        <v>7535524</v>
      </c>
      <c r="F1792" s="1">
        <v>31047967</v>
      </c>
      <c r="G1792" s="16">
        <v>31201.079898073272</v>
      </c>
      <c r="H1792">
        <v>164.93</v>
      </c>
      <c r="I1792" s="1">
        <v>577.17000000000007</v>
      </c>
      <c r="J1792" s="16">
        <v>227756.46170644611</v>
      </c>
      <c r="K1792" s="5">
        <v>-1.3195261529322322E-2</v>
      </c>
      <c r="L1792" s="10">
        <v>9352.6823999999997</v>
      </c>
    </row>
    <row r="1793" spans="1:12" x14ac:dyDescent="0.25">
      <c r="A1793">
        <v>1792</v>
      </c>
      <c r="B1793" s="3">
        <v>0.15394666311085142</v>
      </c>
      <c r="C1793" s="3">
        <v>6.0767262640276931E-2</v>
      </c>
      <c r="D1793" s="1">
        <v>259379.85962069704</v>
      </c>
      <c r="E1793" s="1">
        <v>11198257</v>
      </c>
      <c r="F1793" s="1">
        <v>45889849</v>
      </c>
      <c r="G1793" s="16">
        <v>52767.974802474535</v>
      </c>
      <c r="H1793">
        <v>256.17</v>
      </c>
      <c r="I1793" s="1">
        <v>668.52</v>
      </c>
      <c r="J1793" s="16">
        <v>312147.83442317159</v>
      </c>
      <c r="K1793" s="5">
        <v>6.2858576875957098E-2</v>
      </c>
      <c r="L1793" s="10">
        <v>278382.84629999998</v>
      </c>
    </row>
    <row r="1794" spans="1:12" x14ac:dyDescent="0.25">
      <c r="A1794">
        <v>1793</v>
      </c>
      <c r="B1794" s="3">
        <v>0.22044768993872432</v>
      </c>
      <c r="C1794" s="3">
        <v>5.8555380320552158E-2</v>
      </c>
      <c r="D1794" s="1">
        <v>111756.25131977886</v>
      </c>
      <c r="E1794" s="1">
        <v>5663614</v>
      </c>
      <c r="F1794" s="1">
        <v>25612250</v>
      </c>
      <c r="G1794" s="16">
        <v>11359.561569265654</v>
      </c>
      <c r="H1794">
        <v>59.3</v>
      </c>
      <c r="I1794" s="1">
        <v>176.13</v>
      </c>
      <c r="J1794" s="16">
        <v>123115.81288904452</v>
      </c>
      <c r="K1794" s="5">
        <v>3.2420411591625314E-2</v>
      </c>
      <c r="L1794" s="10">
        <v>71819.152400000006</v>
      </c>
    </row>
    <row r="1795" spans="1:12" x14ac:dyDescent="0.25">
      <c r="A1795">
        <v>1794</v>
      </c>
      <c r="B1795" s="3">
        <v>0.14686348729208837</v>
      </c>
      <c r="C1795" s="3">
        <v>2.2593230268471917E-2</v>
      </c>
      <c r="D1795" s="1">
        <v>115267.90077130211</v>
      </c>
      <c r="E1795" s="1">
        <v>3474201</v>
      </c>
      <c r="F1795" s="1">
        <v>18428207</v>
      </c>
      <c r="G1795" s="16">
        <v>24228.760558706963</v>
      </c>
      <c r="H1795">
        <v>110.71</v>
      </c>
      <c r="I1795" s="1">
        <v>400.39</v>
      </c>
      <c r="J1795" s="16">
        <v>139496.66133000908</v>
      </c>
      <c r="K1795" s="5">
        <v>0.10817361874227777</v>
      </c>
      <c r="L1795" s="10">
        <v>627091.37069999997</v>
      </c>
    </row>
    <row r="1796" spans="1:12" x14ac:dyDescent="0.25">
      <c r="A1796">
        <v>1795</v>
      </c>
      <c r="B1796" s="3">
        <v>0.1415618901334981</v>
      </c>
      <c r="C1796" s="3">
        <v>4.2684012418090764E-2</v>
      </c>
      <c r="D1796" s="1">
        <v>144076.10371136048</v>
      </c>
      <c r="E1796" s="1">
        <v>4262530</v>
      </c>
      <c r="F1796" s="1">
        <v>15759679</v>
      </c>
      <c r="G1796" s="16">
        <v>57277.232469867085</v>
      </c>
      <c r="H1796">
        <v>291.81</v>
      </c>
      <c r="I1796" s="1">
        <v>792.95</v>
      </c>
      <c r="J1796" s="16">
        <v>201353.33618122758</v>
      </c>
      <c r="K1796" s="5">
        <v>0.13529251628258168</v>
      </c>
      <c r="L1796" s="10">
        <v>505532.79300000001</v>
      </c>
    </row>
    <row r="1797" spans="1:12" x14ac:dyDescent="0.25">
      <c r="A1797">
        <v>1796</v>
      </c>
      <c r="B1797" s="3">
        <v>0.10570427824928082</v>
      </c>
      <c r="C1797" s="3">
        <v>2.194110021568595E-2</v>
      </c>
      <c r="D1797" s="1">
        <v>606916.06748023361</v>
      </c>
      <c r="E1797" s="1">
        <v>19857558</v>
      </c>
      <c r="F1797" s="1">
        <v>64258163</v>
      </c>
      <c r="G1797" s="16">
        <v>19956.858971434445</v>
      </c>
      <c r="H1797">
        <v>58.64</v>
      </c>
      <c r="I1797" s="1">
        <v>205.99</v>
      </c>
      <c r="J1797" s="16">
        <v>626872.92645166803</v>
      </c>
      <c r="K1797" s="5">
        <v>0.17947782800460921</v>
      </c>
      <c r="L1797" s="10">
        <v>4383796.6490000002</v>
      </c>
    </row>
    <row r="1798" spans="1:12" x14ac:dyDescent="0.25">
      <c r="A1798">
        <v>1797</v>
      </c>
      <c r="B1798" s="3">
        <v>0.1696643220908548</v>
      </c>
      <c r="C1798" s="3">
        <v>2.8298209410693886E-2</v>
      </c>
      <c r="D1798" s="1">
        <v>333039.79302959866</v>
      </c>
      <c r="E1798" s="1">
        <v>13112466</v>
      </c>
      <c r="F1798" s="1">
        <v>37031125</v>
      </c>
      <c r="G1798" s="16">
        <v>20813.702031388151</v>
      </c>
      <c r="H1798">
        <v>95.42</v>
      </c>
      <c r="I1798" s="1">
        <v>256.14999999999998</v>
      </c>
      <c r="J1798" s="16">
        <v>353853.49506098684</v>
      </c>
      <c r="K1798" s="5">
        <v>0.13608023995497415</v>
      </c>
      <c r="L1798" s="10">
        <v>1371786.1276</v>
      </c>
    </row>
    <row r="1799" spans="1:12" x14ac:dyDescent="0.25">
      <c r="A1799">
        <v>1798</v>
      </c>
      <c r="B1799" s="3">
        <v>0.1895233862960706</v>
      </c>
      <c r="C1799" s="3">
        <v>3.4975020709605203E-2</v>
      </c>
      <c r="D1799" s="1">
        <v>358772.80172896624</v>
      </c>
      <c r="E1799" s="1">
        <v>19200817</v>
      </c>
      <c r="F1799" s="1">
        <v>56173664</v>
      </c>
      <c r="G1799" s="16">
        <v>14730.498500301232</v>
      </c>
      <c r="H1799">
        <v>78.180000000000007</v>
      </c>
      <c r="I1799" s="1">
        <v>260.42999999999995</v>
      </c>
      <c r="J1799" s="16">
        <v>373503.30022926745</v>
      </c>
      <c r="K1799" s="5">
        <v>0.33316899571169117</v>
      </c>
      <c r="L1799" s="10">
        <v>2846341.0452000001</v>
      </c>
    </row>
    <row r="1800" spans="1:12" x14ac:dyDescent="0.25">
      <c r="A1800">
        <v>1799</v>
      </c>
      <c r="B1800" s="3">
        <v>0.16882785839388337</v>
      </c>
      <c r="C1800" s="3">
        <v>5.5059276681215963E-2</v>
      </c>
      <c r="D1800" s="1">
        <v>68433.661034360164</v>
      </c>
      <c r="E1800" s="1">
        <v>2230485</v>
      </c>
      <c r="F1800" s="1">
        <v>12785774</v>
      </c>
      <c r="G1800" s="16">
        <v>44880.667615103499</v>
      </c>
      <c r="H1800">
        <v>246.64</v>
      </c>
      <c r="I1800" s="1">
        <v>713.81999999999994</v>
      </c>
      <c r="J1800" s="16">
        <v>113314.32864946366</v>
      </c>
      <c r="K1800" s="5">
        <v>2.0489854429726308E-2</v>
      </c>
      <c r="L1800" s="10">
        <v>40159.0262</v>
      </c>
    </row>
    <row r="1801" spans="1:12" x14ac:dyDescent="0.25">
      <c r="A1801">
        <v>1800</v>
      </c>
      <c r="B1801" s="3">
        <v>0.21371345466249397</v>
      </c>
      <c r="C1801" s="3">
        <v>5.3958793122156443E-2</v>
      </c>
      <c r="D1801" s="1">
        <v>42473.057195467074</v>
      </c>
      <c r="E1801" s="1">
        <v>1635212</v>
      </c>
      <c r="F1801" s="1">
        <v>15367362</v>
      </c>
      <c r="G1801" s="16">
        <v>23091.203925761827</v>
      </c>
      <c r="H1801">
        <v>187.12</v>
      </c>
      <c r="I1801" s="1">
        <v>660.24</v>
      </c>
      <c r="J1801" s="16">
        <v>65564.261121228905</v>
      </c>
      <c r="K1801" s="5">
        <v>-4.7039173092484093E-2</v>
      </c>
      <c r="L1801" s="10">
        <v>-22646.500599999999</v>
      </c>
    </row>
    <row r="1802" spans="1:12" x14ac:dyDescent="0.25">
      <c r="A1802">
        <v>1801</v>
      </c>
      <c r="B1802" s="3">
        <v>0.11097969666554436</v>
      </c>
      <c r="C1802" s="3">
        <v>7.858733291186179E-2</v>
      </c>
      <c r="D1802" s="1">
        <v>235929.12995236961</v>
      </c>
      <c r="E1802" s="1">
        <v>7068667</v>
      </c>
      <c r="F1802" s="1">
        <v>35272681</v>
      </c>
      <c r="G1802" s="16">
        <v>58828.673217700794</v>
      </c>
      <c r="H1802">
        <v>201.73</v>
      </c>
      <c r="I1802" s="1">
        <v>664.57</v>
      </c>
      <c r="J1802" s="16">
        <v>294757.8031700704</v>
      </c>
      <c r="K1802" s="5">
        <v>9.833357060817649E-2</v>
      </c>
      <c r="L1802" s="10">
        <v>273086.16019999998</v>
      </c>
    </row>
    <row r="1803" spans="1:12" x14ac:dyDescent="0.25">
      <c r="A1803">
        <v>1802</v>
      </c>
      <c r="B1803" s="3">
        <v>0.21117220810499909</v>
      </c>
      <c r="C1803" s="3">
        <v>3.3724763979355872E-2</v>
      </c>
      <c r="D1803" s="1">
        <v>319253.53788919764</v>
      </c>
      <c r="E1803" s="1">
        <v>19562648</v>
      </c>
      <c r="F1803" s="1">
        <v>60726563</v>
      </c>
      <c r="G1803" s="16">
        <v>14248.335597747393</v>
      </c>
      <c r="H1803">
        <v>88.83</v>
      </c>
      <c r="I1803" s="1">
        <v>221.51999999999998</v>
      </c>
      <c r="J1803" s="16">
        <v>333501.87348694506</v>
      </c>
      <c r="K1803" s="5">
        <v>0.19674823089724242</v>
      </c>
      <c r="L1803" s="10">
        <v>1613903.3277</v>
      </c>
    </row>
    <row r="1804" spans="1:12" x14ac:dyDescent="0.25">
      <c r="A1804">
        <v>1803</v>
      </c>
      <c r="B1804" s="3">
        <v>0.12695307023938399</v>
      </c>
      <c r="C1804" s="3">
        <v>2.9713303485786744E-2</v>
      </c>
      <c r="D1804" s="1">
        <v>199838.92645679877</v>
      </c>
      <c r="E1804" s="1">
        <v>6437725</v>
      </c>
      <c r="F1804" s="1">
        <v>25371583</v>
      </c>
      <c r="G1804" s="16">
        <v>35109.346743208676</v>
      </c>
      <c r="H1804">
        <v>136.53</v>
      </c>
      <c r="I1804" s="1">
        <v>453.29999999999995</v>
      </c>
      <c r="J1804" s="16">
        <v>234948.27320000745</v>
      </c>
      <c r="K1804" s="5">
        <v>0.21071156907243993</v>
      </c>
      <c r="L1804" s="10">
        <v>1437001.21</v>
      </c>
    </row>
    <row r="1805" spans="1:12" x14ac:dyDescent="0.25">
      <c r="A1805">
        <v>1804</v>
      </c>
      <c r="B1805" s="3">
        <v>0.205178541593802</v>
      </c>
      <c r="C1805" s="3">
        <v>3.8372100943979373E-2</v>
      </c>
      <c r="D1805" s="1">
        <v>90486.52278949703</v>
      </c>
      <c r="E1805" s="1">
        <v>3372706</v>
      </c>
      <c r="F1805" s="1">
        <v>16735565</v>
      </c>
      <c r="G1805" s="16">
        <v>32980.863915331087</v>
      </c>
      <c r="H1805">
        <v>248.18</v>
      </c>
      <c r="I1805" s="1">
        <v>631.54999999999995</v>
      </c>
      <c r="J1805" s="16">
        <v>123467.38670482812</v>
      </c>
      <c r="K1805" s="5">
        <v>0.10969000435657036</v>
      </c>
      <c r="L1805" s="10">
        <v>310777.85239999997</v>
      </c>
    </row>
    <row r="1806" spans="1:12" x14ac:dyDescent="0.25">
      <c r="A1806">
        <v>1805</v>
      </c>
      <c r="B1806" s="3">
        <v>0.11161143667929256</v>
      </c>
      <c r="C1806" s="3">
        <v>3.6455550483058027E-2</v>
      </c>
      <c r="D1806" s="1">
        <v>292830.69369128678</v>
      </c>
      <c r="E1806" s="1">
        <v>9903865</v>
      </c>
      <c r="F1806" s="1">
        <v>54143319</v>
      </c>
      <c r="G1806" s="16">
        <v>95848.918397801855</v>
      </c>
      <c r="H1806">
        <v>371.69</v>
      </c>
      <c r="I1806" s="1">
        <v>1026.54</v>
      </c>
      <c r="J1806" s="16">
        <v>388679.61208908865</v>
      </c>
      <c r="K1806" s="5">
        <v>7.6922937704308608E-3</v>
      </c>
      <c r="L1806" s="10">
        <v>89723.601699999999</v>
      </c>
    </row>
    <row r="1807" spans="1:12" x14ac:dyDescent="0.25">
      <c r="A1807">
        <v>1806</v>
      </c>
      <c r="B1807" s="3">
        <v>0.20950690666987315</v>
      </c>
      <c r="C1807" s="3">
        <v>7.784099938502341E-2</v>
      </c>
      <c r="D1807" s="1">
        <v>66655.317524152939</v>
      </c>
      <c r="E1807" s="1">
        <v>3194812</v>
      </c>
      <c r="F1807" s="1">
        <v>23127201</v>
      </c>
      <c r="G1807" s="16">
        <v>27588.159932063951</v>
      </c>
      <c r="H1807">
        <v>214.92</v>
      </c>
      <c r="I1807" s="1">
        <v>654.64</v>
      </c>
      <c r="J1807" s="16">
        <v>94243.47745621689</v>
      </c>
      <c r="K1807" s="5">
        <v>0.10547014977008262</v>
      </c>
      <c r="L1807" s="10">
        <v>121556.8581</v>
      </c>
    </row>
    <row r="1808" spans="1:12" x14ac:dyDescent="0.25">
      <c r="A1808">
        <v>1807</v>
      </c>
      <c r="B1808" s="3">
        <v>0.15150364361644211</v>
      </c>
      <c r="C1808" s="3">
        <v>5.7034601807967392E-2</v>
      </c>
      <c r="D1808" s="1">
        <v>330629.25305210747</v>
      </c>
      <c r="E1808" s="1">
        <v>11938348</v>
      </c>
      <c r="F1808" s="1">
        <v>39928458</v>
      </c>
      <c r="G1808" s="16">
        <v>80504.603502441823</v>
      </c>
      <c r="H1808">
        <v>450.69</v>
      </c>
      <c r="I1808" s="1">
        <v>1097.67</v>
      </c>
      <c r="J1808" s="16">
        <v>411133.8565545493</v>
      </c>
      <c r="K1808" s="5">
        <v>0.24838534817008801</v>
      </c>
      <c r="L1808" s="10">
        <v>1236034.3417</v>
      </c>
    </row>
    <row r="1809" spans="1:12" x14ac:dyDescent="0.25">
      <c r="A1809">
        <v>1808</v>
      </c>
      <c r="B1809" s="3">
        <v>0.23102679101609838</v>
      </c>
      <c r="C1809" s="3">
        <v>5.6856651837092417E-2</v>
      </c>
      <c r="D1809" s="1">
        <v>81869.261491366342</v>
      </c>
      <c r="E1809" s="1">
        <v>3369696</v>
      </c>
      <c r="F1809" s="1">
        <v>16159545</v>
      </c>
      <c r="G1809" s="16">
        <v>26076.719309698976</v>
      </c>
      <c r="H1809">
        <v>246.48</v>
      </c>
      <c r="I1809" s="1">
        <v>651.33000000000004</v>
      </c>
      <c r="J1809" s="16">
        <v>107945.98080106532</v>
      </c>
      <c r="K1809" s="5">
        <v>0.19268388502696956</v>
      </c>
      <c r="L1809" s="10">
        <v>270811.55109999998</v>
      </c>
    </row>
    <row r="1810" spans="1:12" x14ac:dyDescent="0.25">
      <c r="A1810">
        <v>1809</v>
      </c>
      <c r="B1810" s="3">
        <v>0.21424358391236265</v>
      </c>
      <c r="C1810" s="3">
        <v>5.1990817508530907E-2</v>
      </c>
      <c r="D1810" s="1">
        <v>47177.243773392394</v>
      </c>
      <c r="E1810" s="1">
        <v>1819999</v>
      </c>
      <c r="F1810" s="1">
        <v>12482007</v>
      </c>
      <c r="G1810" s="16">
        <v>16696.306453716064</v>
      </c>
      <c r="H1810">
        <v>135.82</v>
      </c>
      <c r="I1810" s="1">
        <v>393.83</v>
      </c>
      <c r="J1810" s="16">
        <v>63873.550227108455</v>
      </c>
      <c r="K1810" s="5">
        <v>5.0034773541705491E-2</v>
      </c>
      <c r="L1810" s="10">
        <v>75219.454899999997</v>
      </c>
    </row>
    <row r="1811" spans="1:12" x14ac:dyDescent="0.25">
      <c r="A1811">
        <v>1810</v>
      </c>
      <c r="B1811" s="3">
        <v>0.10517024747175659</v>
      </c>
      <c r="C1811" s="3">
        <v>3.0451835665783356E-2</v>
      </c>
      <c r="D1811" s="1">
        <v>28560.943697321323</v>
      </c>
      <c r="E1811" s="1">
        <v>667561</v>
      </c>
      <c r="F1811" s="1">
        <v>5834842</v>
      </c>
      <c r="G1811" s="16">
        <v>87402.799930434616</v>
      </c>
      <c r="H1811">
        <v>320.23</v>
      </c>
      <c r="I1811" s="1">
        <v>1039.23</v>
      </c>
      <c r="J1811" s="16">
        <v>115963.74362775593</v>
      </c>
      <c r="K1811" s="5">
        <v>9.2347141697605273E-2</v>
      </c>
      <c r="L1811" s="10">
        <v>299407.02649999998</v>
      </c>
    </row>
    <row r="1812" spans="1:12" x14ac:dyDescent="0.25">
      <c r="A1812">
        <v>1811</v>
      </c>
      <c r="B1812" s="3">
        <v>0.19103272947446681</v>
      </c>
      <c r="C1812" s="3">
        <v>5.1796981805142014E-2</v>
      </c>
      <c r="D1812" s="1">
        <v>391423.13982035825</v>
      </c>
      <c r="E1812" s="1">
        <v>21144359</v>
      </c>
      <c r="F1812" s="1">
        <v>65436052</v>
      </c>
      <c r="G1812" s="16">
        <v>16029.348396901096</v>
      </c>
      <c r="H1812">
        <v>86.2</v>
      </c>
      <c r="I1812" s="1">
        <v>330.03</v>
      </c>
      <c r="J1812" s="16">
        <v>407452.48821725935</v>
      </c>
      <c r="K1812" s="5">
        <v>0.1205852247518055</v>
      </c>
      <c r="L1812" s="10">
        <v>729039.22869999998</v>
      </c>
    </row>
    <row r="1813" spans="1:12" x14ac:dyDescent="0.25">
      <c r="A1813">
        <v>1812</v>
      </c>
      <c r="B1813" s="3">
        <v>0.11786974879862754</v>
      </c>
      <c r="C1813" s="3">
        <v>4.7783038225366177E-2</v>
      </c>
      <c r="D1813" s="1">
        <v>338813.07634943223</v>
      </c>
      <c r="E1813" s="1">
        <v>11871332</v>
      </c>
      <c r="F1813" s="1">
        <v>57981071</v>
      </c>
      <c r="G1813" s="16">
        <v>77788.113131494043</v>
      </c>
      <c r="H1813">
        <v>319.32</v>
      </c>
      <c r="I1813" s="1">
        <v>796.54</v>
      </c>
      <c r="J1813" s="16">
        <v>416601.18948092626</v>
      </c>
      <c r="K1813" s="5">
        <v>0.14426620509450488</v>
      </c>
      <c r="L1813" s="10">
        <v>977001.85190000001</v>
      </c>
    </row>
    <row r="1814" spans="1:12" x14ac:dyDescent="0.25">
      <c r="A1814">
        <v>1813</v>
      </c>
      <c r="B1814" s="3">
        <v>0.14671722809005727</v>
      </c>
      <c r="C1814" s="3">
        <v>4.9209775089606306E-2</v>
      </c>
      <c r="D1814" s="1">
        <v>147645.03959249149</v>
      </c>
      <c r="E1814" s="1">
        <v>5212543</v>
      </c>
      <c r="F1814" s="1">
        <v>27321031</v>
      </c>
      <c r="G1814" s="16">
        <v>24208.951648332946</v>
      </c>
      <c r="H1814">
        <v>94.14</v>
      </c>
      <c r="I1814" s="1">
        <v>341.16999999999996</v>
      </c>
      <c r="J1814" s="16">
        <v>171853.99124082443</v>
      </c>
      <c r="K1814" s="5">
        <v>0.21005061331552086</v>
      </c>
      <c r="L1814" s="10">
        <v>571709.72549999994</v>
      </c>
    </row>
    <row r="1815" spans="1:12" x14ac:dyDescent="0.25">
      <c r="A1815">
        <v>1814</v>
      </c>
      <c r="B1815" s="3">
        <v>0.21739274219423005</v>
      </c>
      <c r="C1815" s="3">
        <v>5.6802675301445671E-2</v>
      </c>
      <c r="D1815" s="1">
        <v>103027.1225292304</v>
      </c>
      <c r="E1815" s="1">
        <v>6568025</v>
      </c>
      <c r="F1815" s="1">
        <v>51123906</v>
      </c>
      <c r="G1815" s="16">
        <v>18419.830868795445</v>
      </c>
      <c r="H1815">
        <v>153.99</v>
      </c>
      <c r="I1815" s="1">
        <v>529.16</v>
      </c>
      <c r="J1815" s="16">
        <v>121446.95339802584</v>
      </c>
      <c r="K1815" s="5">
        <v>0.11436939265279991</v>
      </c>
      <c r="L1815" s="10">
        <v>243424.5503</v>
      </c>
    </row>
    <row r="1816" spans="1:12" x14ac:dyDescent="0.25">
      <c r="A1816">
        <v>1815</v>
      </c>
      <c r="B1816" s="3">
        <v>0.21252985313166306</v>
      </c>
      <c r="C1816" s="3">
        <v>6.2405678454381219E-2</v>
      </c>
      <c r="D1816" s="1">
        <v>57970.347300011381</v>
      </c>
      <c r="E1816" s="1">
        <v>2221807</v>
      </c>
      <c r="F1816" s="1">
        <v>16728939</v>
      </c>
      <c r="G1816" s="16">
        <v>18353.298334036885</v>
      </c>
      <c r="H1816">
        <v>115.93</v>
      </c>
      <c r="I1816" s="1">
        <v>342.96000000000004</v>
      </c>
      <c r="J1816" s="16">
        <v>76323.645634048269</v>
      </c>
      <c r="K1816" s="5">
        <v>-2.6810773272348352E-2</v>
      </c>
      <c r="L1816" s="10">
        <v>-20147.3397</v>
      </c>
    </row>
    <row r="1817" spans="1:12" x14ac:dyDescent="0.25">
      <c r="A1817">
        <v>1816</v>
      </c>
      <c r="B1817" s="3">
        <v>0.15299447337334432</v>
      </c>
      <c r="C1817" s="3">
        <v>2.6460832234289862E-2</v>
      </c>
      <c r="D1817" s="1">
        <v>173134.98072043998</v>
      </c>
      <c r="E1817" s="1">
        <v>6295685</v>
      </c>
      <c r="F1817" s="1">
        <v>30102645</v>
      </c>
      <c r="G1817" s="16">
        <v>55908.303060739789</v>
      </c>
      <c r="H1817">
        <v>317.25</v>
      </c>
      <c r="I1817" s="1">
        <v>888.3</v>
      </c>
      <c r="J1817" s="16">
        <v>229043.28378117978</v>
      </c>
      <c r="K1817" s="5">
        <v>7.0326303106568164E-2</v>
      </c>
      <c r="L1817" s="10">
        <v>575867.34739999997</v>
      </c>
    </row>
    <row r="1818" spans="1:12" x14ac:dyDescent="0.25">
      <c r="A1818">
        <v>1817</v>
      </c>
      <c r="B1818" s="3">
        <v>0.14244080958677074</v>
      </c>
      <c r="C1818" s="3">
        <v>3.2847735485342248E-2</v>
      </c>
      <c r="D1818" s="1">
        <v>173813.75502520276</v>
      </c>
      <c r="E1818" s="1">
        <v>6014930</v>
      </c>
      <c r="F1818" s="1">
        <v>26014497</v>
      </c>
      <c r="G1818" s="16">
        <v>11745.773944073084</v>
      </c>
      <c r="H1818">
        <v>38.130000000000003</v>
      </c>
      <c r="I1818" s="1">
        <v>169.62</v>
      </c>
      <c r="J1818" s="16">
        <v>185559.52896927585</v>
      </c>
      <c r="K1818" s="5">
        <v>0.14864864450503731</v>
      </c>
      <c r="L1818" s="10">
        <v>713138.94019999995</v>
      </c>
    </row>
    <row r="1819" spans="1:12" x14ac:dyDescent="0.25">
      <c r="A1819">
        <v>1818</v>
      </c>
      <c r="B1819" s="3">
        <v>0.19438367066283857</v>
      </c>
      <c r="C1819" s="3">
        <v>6.2089276398117871E-2</v>
      </c>
      <c r="D1819" s="1">
        <v>269070.30088716961</v>
      </c>
      <c r="E1819" s="1">
        <v>14839763</v>
      </c>
      <c r="F1819" s="1">
        <v>52136030</v>
      </c>
      <c r="G1819" s="16">
        <v>38829.235465049416</v>
      </c>
      <c r="H1819">
        <v>265.45</v>
      </c>
      <c r="I1819" s="1">
        <v>757.52</v>
      </c>
      <c r="J1819" s="16">
        <v>307899.536352219</v>
      </c>
      <c r="K1819" s="5">
        <v>0.16576630005526913</v>
      </c>
      <c r="L1819" s="10">
        <v>585721.59039999999</v>
      </c>
    </row>
    <row r="1820" spans="1:12" x14ac:dyDescent="0.25">
      <c r="A1820">
        <v>1819</v>
      </c>
      <c r="B1820" s="3">
        <v>0.21656329194351448</v>
      </c>
      <c r="C1820" s="3">
        <v>3.2111540694135361E-2</v>
      </c>
      <c r="D1820" s="1">
        <v>117660.66923389782</v>
      </c>
      <c r="E1820" s="1">
        <v>5845463</v>
      </c>
      <c r="F1820" s="1">
        <v>28781723</v>
      </c>
      <c r="G1820" s="16">
        <v>29581.912138557473</v>
      </c>
      <c r="H1820">
        <v>313.56</v>
      </c>
      <c r="I1820" s="1">
        <v>916.72</v>
      </c>
      <c r="J1820" s="16">
        <v>147242.58137245529</v>
      </c>
      <c r="K1820" s="5">
        <v>1.0668753039304521E-2</v>
      </c>
      <c r="L1820" s="10">
        <v>75246.6155</v>
      </c>
    </row>
    <row r="1821" spans="1:12" x14ac:dyDescent="0.25">
      <c r="A1821">
        <v>1820</v>
      </c>
      <c r="B1821" s="3">
        <v>0.1294622267332475</v>
      </c>
      <c r="C1821" s="3">
        <v>4.8690584164505654E-2</v>
      </c>
      <c r="D1821" s="1">
        <v>107589.70266971606</v>
      </c>
      <c r="E1821" s="1">
        <v>3052187</v>
      </c>
      <c r="F1821" s="1">
        <v>20075933</v>
      </c>
      <c r="G1821" s="16">
        <v>29490.257069341049</v>
      </c>
      <c r="H1821">
        <v>117.04</v>
      </c>
      <c r="I1821" s="1">
        <v>417.45</v>
      </c>
      <c r="J1821" s="16">
        <v>137079.95973905711</v>
      </c>
      <c r="K1821" s="5">
        <v>-1.6189250954234485E-2</v>
      </c>
      <c r="L1821" s="10">
        <v>-17902.875599999999</v>
      </c>
    </row>
    <row r="1822" spans="1:12" x14ac:dyDescent="0.25">
      <c r="A1822">
        <v>1821</v>
      </c>
      <c r="B1822" s="3">
        <v>0.10991774074123704</v>
      </c>
      <c r="C1822" s="3">
        <v>2.3798082165993856E-2</v>
      </c>
      <c r="D1822" s="1">
        <v>517162.65200059244</v>
      </c>
      <c r="E1822" s="1">
        <v>17325255</v>
      </c>
      <c r="F1822" s="1">
        <v>55276742</v>
      </c>
      <c r="G1822" s="16">
        <v>145658.07252534688</v>
      </c>
      <c r="H1822">
        <v>624.20000000000005</v>
      </c>
      <c r="I1822" s="1">
        <v>1802.39</v>
      </c>
      <c r="J1822" s="16">
        <v>662820.72452593932</v>
      </c>
      <c r="K1822" s="5">
        <v>6.2012588154681011E-2</v>
      </c>
      <c r="L1822" s="10">
        <v>1504375.4693</v>
      </c>
    </row>
    <row r="1823" spans="1:12" x14ac:dyDescent="0.25">
      <c r="A1823">
        <v>1822</v>
      </c>
      <c r="B1823" s="3">
        <v>0.24556819656596479</v>
      </c>
      <c r="C1823" s="3">
        <v>5.845943846929369E-2</v>
      </c>
      <c r="D1823" s="1">
        <v>141006.91944530376</v>
      </c>
      <c r="E1823" s="1">
        <v>8146358</v>
      </c>
      <c r="F1823" s="1">
        <v>42561719</v>
      </c>
      <c r="G1823" s="16">
        <v>28415.882381607502</v>
      </c>
      <c r="H1823">
        <v>306.93</v>
      </c>
      <c r="I1823" s="1">
        <v>711.9</v>
      </c>
      <c r="J1823" s="16">
        <v>169422.80182691128</v>
      </c>
      <c r="K1823" s="5">
        <v>0.19699999660499312</v>
      </c>
      <c r="L1823" s="10">
        <v>442817.1655</v>
      </c>
    </row>
    <row r="1824" spans="1:12" x14ac:dyDescent="0.25">
      <c r="A1824">
        <v>1823</v>
      </c>
      <c r="B1824" s="3">
        <v>0.21629825198420155</v>
      </c>
      <c r="C1824" s="3">
        <v>5.5364993722324451E-2</v>
      </c>
      <c r="D1824" s="1">
        <v>184409.55523871252</v>
      </c>
      <c r="E1824" s="1">
        <v>9149190</v>
      </c>
      <c r="F1824" s="1">
        <v>41153736</v>
      </c>
      <c r="G1824" s="16">
        <v>13410.383466662664</v>
      </c>
      <c r="H1824">
        <v>68.290000000000006</v>
      </c>
      <c r="I1824" s="1">
        <v>185.3</v>
      </c>
      <c r="J1824" s="16">
        <v>197819.93870537519</v>
      </c>
      <c r="K1824" s="5">
        <v>3.012060006855078E-2</v>
      </c>
      <c r="L1824" s="10">
        <v>101560.8214</v>
      </c>
    </row>
    <row r="1825" spans="1:12" x14ac:dyDescent="0.25">
      <c r="A1825">
        <v>1824</v>
      </c>
      <c r="B1825" s="3">
        <v>0.16790852610571616</v>
      </c>
      <c r="C1825" s="3">
        <v>4.4802952440128288E-2</v>
      </c>
      <c r="D1825" s="1">
        <v>119694.11378007784</v>
      </c>
      <c r="E1825" s="1">
        <v>4672953</v>
      </c>
      <c r="F1825" s="1">
        <v>30372637</v>
      </c>
      <c r="G1825" s="16">
        <v>39241.686866321077</v>
      </c>
      <c r="H1825">
        <v>213.85</v>
      </c>
      <c r="I1825" s="1">
        <v>590.63</v>
      </c>
      <c r="J1825" s="16">
        <v>158935.80064639891</v>
      </c>
      <c r="K1825" s="5">
        <v>-1.5226084383867088E-2</v>
      </c>
      <c r="L1825" s="10">
        <v>11707.43</v>
      </c>
    </row>
    <row r="1826" spans="1:12" x14ac:dyDescent="0.25">
      <c r="A1826">
        <v>1825</v>
      </c>
      <c r="B1826" s="3">
        <v>0.2239638523557555</v>
      </c>
      <c r="C1826" s="3">
        <v>2.9512559518504667E-2</v>
      </c>
      <c r="D1826" s="1">
        <v>279426.48269589478</v>
      </c>
      <c r="E1826" s="1">
        <v>18580627</v>
      </c>
      <c r="F1826" s="1">
        <v>63486740</v>
      </c>
      <c r="G1826" s="16">
        <v>15215.070309432456</v>
      </c>
      <c r="H1826">
        <v>135.05000000000001</v>
      </c>
      <c r="I1826" s="1">
        <v>455.11</v>
      </c>
      <c r="J1826" s="16">
        <v>294641.55300532724</v>
      </c>
      <c r="K1826" s="5">
        <v>2.0290110960916159E-2</v>
      </c>
      <c r="L1826" s="10">
        <v>180037.5368</v>
      </c>
    </row>
    <row r="1827" spans="1:12" x14ac:dyDescent="0.25">
      <c r="A1827">
        <v>1826</v>
      </c>
      <c r="B1827" s="3">
        <v>0.14404973719591793</v>
      </c>
      <c r="C1827" s="3">
        <v>4.3992161562752055E-2</v>
      </c>
      <c r="D1827" s="1">
        <v>132603.91362961149</v>
      </c>
      <c r="E1827" s="1">
        <v>4623443</v>
      </c>
      <c r="F1827" s="1">
        <v>25280324</v>
      </c>
      <c r="G1827" s="16">
        <v>46978.107101475354</v>
      </c>
      <c r="H1827">
        <v>209.94</v>
      </c>
      <c r="I1827" s="1">
        <v>723.33999999999992</v>
      </c>
      <c r="J1827" s="16">
        <v>179582.02073108684</v>
      </c>
      <c r="K1827" s="5">
        <v>0.14828557877880333</v>
      </c>
      <c r="L1827" s="10">
        <v>510899.18609999999</v>
      </c>
    </row>
    <row r="1828" spans="1:12" x14ac:dyDescent="0.25">
      <c r="A1828">
        <v>1827</v>
      </c>
      <c r="B1828" s="3">
        <v>0.24320055067705185</v>
      </c>
      <c r="C1828" s="3">
        <v>3.7737547655085066E-2</v>
      </c>
      <c r="D1828" s="1">
        <v>122700.13401859348</v>
      </c>
      <c r="E1828" s="1">
        <v>5297924</v>
      </c>
      <c r="F1828" s="1">
        <v>20605485</v>
      </c>
      <c r="G1828" s="16">
        <v>14245.384695310702</v>
      </c>
      <c r="H1828">
        <v>150.93</v>
      </c>
      <c r="I1828" s="1">
        <v>421.92</v>
      </c>
      <c r="J1828" s="16">
        <v>136945.5187139042</v>
      </c>
      <c r="K1828" s="5">
        <v>0.12628138448788853</v>
      </c>
      <c r="L1828" s="10">
        <v>354631.2058</v>
      </c>
    </row>
    <row r="1829" spans="1:12" x14ac:dyDescent="0.25">
      <c r="A1829">
        <v>1828</v>
      </c>
      <c r="B1829" s="3">
        <v>0.21989535711504782</v>
      </c>
      <c r="C1829" s="3">
        <v>4.263346902868935E-2</v>
      </c>
      <c r="D1829" s="1">
        <v>124918.96832504848</v>
      </c>
      <c r="E1829" s="1">
        <v>6312773</v>
      </c>
      <c r="F1829" s="1">
        <v>36829831</v>
      </c>
      <c r="G1829" s="16">
        <v>22057.266542719692</v>
      </c>
      <c r="H1829">
        <v>147.09</v>
      </c>
      <c r="I1829" s="1">
        <v>336.1</v>
      </c>
      <c r="J1829" s="16">
        <v>146976.23486776819</v>
      </c>
      <c r="K1829" s="5">
        <v>0.20725234756045846</v>
      </c>
      <c r="L1829" s="10">
        <v>618808.6888</v>
      </c>
    </row>
    <row r="1830" spans="1:12" x14ac:dyDescent="0.25">
      <c r="A1830">
        <v>1829</v>
      </c>
      <c r="B1830" s="3">
        <v>0.19663564198554911</v>
      </c>
      <c r="C1830" s="3">
        <v>7.4569884161010777E-2</v>
      </c>
      <c r="D1830" s="1">
        <v>263690.96689666365</v>
      </c>
      <c r="E1830" s="1">
        <v>11848068</v>
      </c>
      <c r="F1830" s="1">
        <v>39734255</v>
      </c>
      <c r="G1830" s="16">
        <v>21793.18371533553</v>
      </c>
      <c r="H1830">
        <v>121.97</v>
      </c>
      <c r="I1830" s="1">
        <v>373.78999999999996</v>
      </c>
      <c r="J1830" s="16">
        <v>285484.15061199921</v>
      </c>
      <c r="K1830" s="5">
        <v>8.2773216687252793E-2</v>
      </c>
      <c r="L1830" s="10">
        <v>208657.54130000001</v>
      </c>
    </row>
    <row r="1831" spans="1:12" x14ac:dyDescent="0.25">
      <c r="A1831">
        <v>1830</v>
      </c>
      <c r="B1831" s="3">
        <v>0.1357434860995223</v>
      </c>
      <c r="C1831" s="3">
        <v>4.0829999279393778E-2</v>
      </c>
      <c r="D1831" s="1">
        <v>157990.93816761478</v>
      </c>
      <c r="E1831" s="1">
        <v>5299862</v>
      </c>
      <c r="F1831" s="1">
        <v>34135806</v>
      </c>
      <c r="G1831" s="16">
        <v>118749.10674558984</v>
      </c>
      <c r="H1831">
        <v>574.53</v>
      </c>
      <c r="I1831" s="1">
        <v>1322.42</v>
      </c>
      <c r="J1831" s="16">
        <v>276740.04491320462</v>
      </c>
      <c r="K1831" s="5">
        <v>-4.2511396057640302E-2</v>
      </c>
      <c r="L1831" s="10">
        <v>-194718.4423</v>
      </c>
    </row>
    <row r="1832" spans="1:12" x14ac:dyDescent="0.25">
      <c r="A1832">
        <v>1831</v>
      </c>
      <c r="B1832" s="3">
        <v>0.19237382649375517</v>
      </c>
      <c r="C1832" s="3">
        <v>7.1629613785419669E-2</v>
      </c>
      <c r="D1832" s="1">
        <v>55175.578313478953</v>
      </c>
      <c r="E1832" s="1">
        <v>1960279</v>
      </c>
      <c r="F1832" s="1">
        <v>12746650</v>
      </c>
      <c r="G1832" s="16">
        <v>23909.668793622408</v>
      </c>
      <c r="H1832">
        <v>160.30000000000001</v>
      </c>
      <c r="I1832" s="1">
        <v>411.25</v>
      </c>
      <c r="J1832" s="16">
        <v>79085.247107101357</v>
      </c>
      <c r="K1832" s="5">
        <v>0.10692541071249657</v>
      </c>
      <c r="L1832" s="10">
        <v>87944.210699999996</v>
      </c>
    </row>
    <row r="1833" spans="1:12" x14ac:dyDescent="0.25">
      <c r="A1833">
        <v>1832</v>
      </c>
      <c r="B1833" s="3">
        <v>0.11638414514411835</v>
      </c>
      <c r="C1833" s="3">
        <v>5.3698965839469093E-2</v>
      </c>
      <c r="D1833" s="1">
        <v>174288.48641448931</v>
      </c>
      <c r="E1833" s="1">
        <v>4728038</v>
      </c>
      <c r="F1833" s="1">
        <v>17883614</v>
      </c>
      <c r="G1833" s="16">
        <v>27720.140627485209</v>
      </c>
      <c r="H1833">
        <v>87.61</v>
      </c>
      <c r="I1833" s="1">
        <v>332.37</v>
      </c>
      <c r="J1833" s="16">
        <v>202008.62704197451</v>
      </c>
      <c r="K1833" s="5">
        <v>0.19191894897931608</v>
      </c>
      <c r="L1833" s="10">
        <v>517570.67859999998</v>
      </c>
    </row>
    <row r="1834" spans="1:12" x14ac:dyDescent="0.25">
      <c r="A1834">
        <v>1833</v>
      </c>
      <c r="B1834" s="3">
        <v>0.21572794378368176</v>
      </c>
      <c r="C1834" s="3">
        <v>3.5417770290366864E-2</v>
      </c>
      <c r="D1834" s="1">
        <v>226659.45929807491</v>
      </c>
      <c r="E1834" s="1">
        <v>14296930</v>
      </c>
      <c r="F1834" s="1">
        <v>45642923</v>
      </c>
      <c r="G1834" s="16">
        <v>13691.724634948929</v>
      </c>
      <c r="H1834">
        <v>88.68</v>
      </c>
      <c r="I1834" s="1">
        <v>286.45000000000005</v>
      </c>
      <c r="J1834" s="16">
        <v>240351.18393302383</v>
      </c>
      <c r="K1834" s="5">
        <v>7.0858781887922329E-2</v>
      </c>
      <c r="L1834" s="10">
        <v>385979.28769999999</v>
      </c>
    </row>
    <row r="1835" spans="1:12" x14ac:dyDescent="0.25">
      <c r="A1835">
        <v>1834</v>
      </c>
      <c r="B1835" s="3">
        <v>0.14174237265554268</v>
      </c>
      <c r="C1835" s="3">
        <v>2.2460673315034225E-2</v>
      </c>
      <c r="D1835" s="1">
        <v>397361.83296405786</v>
      </c>
      <c r="E1835" s="1">
        <v>15969848</v>
      </c>
      <c r="F1835" s="1">
        <v>68558557</v>
      </c>
      <c r="G1835" s="16">
        <v>66056.991621016641</v>
      </c>
      <c r="H1835">
        <v>337.76</v>
      </c>
      <c r="I1835" s="1">
        <v>1006.81</v>
      </c>
      <c r="J1835" s="16">
        <v>463418.8245850745</v>
      </c>
      <c r="K1835" s="5">
        <v>0.17582911646776794</v>
      </c>
      <c r="L1835" s="10">
        <v>3197612.5192</v>
      </c>
    </row>
    <row r="1836" spans="1:12" x14ac:dyDescent="0.25">
      <c r="A1836">
        <v>1835</v>
      </c>
      <c r="B1836" s="3">
        <v>0.20870369892931645</v>
      </c>
      <c r="C1836" s="3">
        <v>3.1241498667475227E-2</v>
      </c>
      <c r="D1836" s="1">
        <v>48653.966479381212</v>
      </c>
      <c r="E1836" s="1">
        <v>1837822</v>
      </c>
      <c r="F1836" s="1">
        <v>18443490</v>
      </c>
      <c r="G1836" s="16">
        <v>10926.374770463826</v>
      </c>
      <c r="H1836">
        <v>66.959999999999994</v>
      </c>
      <c r="I1836" s="1">
        <v>227.64999999999998</v>
      </c>
      <c r="J1836" s="16">
        <v>59580.341249845034</v>
      </c>
      <c r="K1836" s="5">
        <v>0.11544556028863064</v>
      </c>
      <c r="L1836" s="10">
        <v>203501.60980000001</v>
      </c>
    </row>
    <row r="1837" spans="1:12" x14ac:dyDescent="0.25">
      <c r="A1837">
        <v>1836</v>
      </c>
      <c r="B1837" s="3">
        <v>0.14318693288465628</v>
      </c>
      <c r="C1837" s="3">
        <v>4.9134157503175679E-2</v>
      </c>
      <c r="D1837" s="1">
        <v>578848.93048974313</v>
      </c>
      <c r="E1837" s="1">
        <v>23460486</v>
      </c>
      <c r="F1837" s="1">
        <v>68101154</v>
      </c>
      <c r="G1837" s="16">
        <v>58737.967496719073</v>
      </c>
      <c r="H1837">
        <v>304.10000000000002</v>
      </c>
      <c r="I1837" s="1">
        <v>938.61</v>
      </c>
      <c r="J1837" s="16">
        <v>637586.89798646222</v>
      </c>
      <c r="K1837" s="5">
        <v>0.12170713044570583</v>
      </c>
      <c r="L1837" s="10">
        <v>1150301.3528</v>
      </c>
    </row>
    <row r="1838" spans="1:12" x14ac:dyDescent="0.25">
      <c r="A1838">
        <v>1837</v>
      </c>
      <c r="B1838" s="3">
        <v>0.18615959987129993</v>
      </c>
      <c r="C1838" s="3">
        <v>2.0777236316795386E-2</v>
      </c>
      <c r="D1838" s="1">
        <v>126535.34385457089</v>
      </c>
      <c r="E1838" s="1">
        <v>4393369</v>
      </c>
      <c r="F1838" s="1">
        <v>20776552</v>
      </c>
      <c r="G1838" s="16">
        <v>19740.897765429036</v>
      </c>
      <c r="H1838">
        <v>102.31</v>
      </c>
      <c r="I1838" s="1">
        <v>295.13</v>
      </c>
      <c r="J1838" s="16">
        <v>146276.24161999993</v>
      </c>
      <c r="K1838" s="5">
        <v>0.15837401435283466</v>
      </c>
      <c r="L1838" s="10">
        <v>986659.58799999999</v>
      </c>
    </row>
    <row r="1839" spans="1:12" x14ac:dyDescent="0.25">
      <c r="A1839">
        <v>1838</v>
      </c>
      <c r="B1839" s="3">
        <v>0.17033695793026324</v>
      </c>
      <c r="C1839" s="3">
        <v>6.6326185080958402E-2</v>
      </c>
      <c r="D1839" s="1">
        <v>71632.063853015192</v>
      </c>
      <c r="E1839" s="1">
        <v>2347495</v>
      </c>
      <c r="F1839" s="1">
        <v>16603542</v>
      </c>
      <c r="G1839" s="16">
        <v>12988.213037685364</v>
      </c>
      <c r="H1839">
        <v>49.73</v>
      </c>
      <c r="I1839" s="1">
        <v>168.48</v>
      </c>
      <c r="J1839" s="16">
        <v>84620.276890700552</v>
      </c>
      <c r="K1839" s="5">
        <v>0.16127281753103678</v>
      </c>
      <c r="L1839" s="10">
        <v>173017.15289999999</v>
      </c>
    </row>
    <row r="1840" spans="1:12" x14ac:dyDescent="0.25">
      <c r="A1840">
        <v>1839</v>
      </c>
      <c r="B1840" s="3">
        <v>0.21221726235505251</v>
      </c>
      <c r="C1840" s="3">
        <v>6.127360734372006E-2</v>
      </c>
      <c r="D1840" s="1">
        <v>100400.02047773339</v>
      </c>
      <c r="E1840" s="1">
        <v>4878775</v>
      </c>
      <c r="F1840" s="1">
        <v>24836301</v>
      </c>
      <c r="G1840" s="16">
        <v>12749.672636017942</v>
      </c>
      <c r="H1840">
        <v>80.25</v>
      </c>
      <c r="I1840" s="1">
        <v>361.11</v>
      </c>
      <c r="J1840" s="16">
        <v>113149.69311375133</v>
      </c>
      <c r="K1840" s="5">
        <v>0.19023390208658938</v>
      </c>
      <c r="L1840" s="10">
        <v>270886.87180000002</v>
      </c>
    </row>
    <row r="1841" spans="1:12" x14ac:dyDescent="0.25">
      <c r="A1841">
        <v>1840</v>
      </c>
      <c r="B1841" s="3">
        <v>0.22419758011190075</v>
      </c>
      <c r="C1841" s="3">
        <v>7.5427285552307238E-2</v>
      </c>
      <c r="D1841" s="1">
        <v>45202.352899013698</v>
      </c>
      <c r="E1841" s="1">
        <v>1811799</v>
      </c>
      <c r="F1841" s="1">
        <v>11500515</v>
      </c>
      <c r="G1841" s="16">
        <v>26481.905547863415</v>
      </c>
      <c r="H1841">
        <v>303.94</v>
      </c>
      <c r="I1841" s="1">
        <v>873.79</v>
      </c>
      <c r="J1841" s="16">
        <v>71684.258446877109</v>
      </c>
      <c r="K1841" s="5">
        <v>7.7320455000734145E-2</v>
      </c>
      <c r="L1841" s="10">
        <v>82736.437099999996</v>
      </c>
    </row>
    <row r="1842" spans="1:12" x14ac:dyDescent="0.25">
      <c r="A1842">
        <v>1841</v>
      </c>
      <c r="B1842" s="3">
        <v>0.20209878730269584</v>
      </c>
      <c r="C1842" s="3">
        <v>7.7559979573283588E-2</v>
      </c>
      <c r="D1842" s="1">
        <v>80577.631937535145</v>
      </c>
      <c r="E1842" s="1">
        <v>2968723</v>
      </c>
      <c r="F1842" s="1">
        <v>16699207</v>
      </c>
      <c r="G1842" s="16">
        <v>7328.8242443731369</v>
      </c>
      <c r="H1842">
        <v>34.07</v>
      </c>
      <c r="I1842" s="1">
        <v>130.38999999999999</v>
      </c>
      <c r="J1842" s="16">
        <v>87906.456181908288</v>
      </c>
      <c r="K1842" s="5">
        <v>0.14557303514110409</v>
      </c>
      <c r="L1842" s="10">
        <v>136147.2752</v>
      </c>
    </row>
    <row r="1843" spans="1:12" x14ac:dyDescent="0.25">
      <c r="A1843">
        <v>1842</v>
      </c>
      <c r="B1843" s="3">
        <v>0.10990155381645114</v>
      </c>
      <c r="C1843" s="3">
        <v>7.4098031809075121E-2</v>
      </c>
      <c r="D1843" s="1">
        <v>326256.16994852579</v>
      </c>
      <c r="E1843" s="1">
        <v>9727682</v>
      </c>
      <c r="F1843" s="1">
        <v>41251943</v>
      </c>
      <c r="G1843" s="16">
        <v>56777.053268741533</v>
      </c>
      <c r="H1843">
        <v>192.95</v>
      </c>
      <c r="I1843" s="1">
        <v>525.95000000000005</v>
      </c>
      <c r="J1843" s="16">
        <v>383033.22321726731</v>
      </c>
      <c r="K1843" s="5">
        <v>0.15235894222743215</v>
      </c>
      <c r="L1843" s="10">
        <v>533890.33290000004</v>
      </c>
    </row>
    <row r="1844" spans="1:12" x14ac:dyDescent="0.25">
      <c r="A1844">
        <v>1843</v>
      </c>
      <c r="B1844" s="3">
        <v>0.11471952911789188</v>
      </c>
      <c r="C1844" s="3">
        <v>4.5027745888332492E-2</v>
      </c>
      <c r="D1844" s="1">
        <v>187828.86834661136</v>
      </c>
      <c r="E1844" s="1">
        <v>5723244</v>
      </c>
      <c r="F1844" s="1">
        <v>21917518</v>
      </c>
      <c r="G1844" s="16">
        <v>41733.649695177402</v>
      </c>
      <c r="H1844">
        <v>147.07</v>
      </c>
      <c r="I1844" s="1">
        <v>579.58999999999992</v>
      </c>
      <c r="J1844" s="16">
        <v>229562.51804178878</v>
      </c>
      <c r="K1844" s="5">
        <v>4.4457965791121525E-2</v>
      </c>
      <c r="L1844" s="10">
        <v>197036.08230000001</v>
      </c>
    </row>
    <row r="1845" spans="1:12" x14ac:dyDescent="0.25">
      <c r="A1845">
        <v>1844</v>
      </c>
      <c r="B1845" s="3">
        <v>0.23101293353366784</v>
      </c>
      <c r="C1845" s="3">
        <v>2.5043963754381365E-2</v>
      </c>
      <c r="D1845" s="1">
        <v>341454.8481841305</v>
      </c>
      <c r="E1845" s="1">
        <v>23765177</v>
      </c>
      <c r="F1845" s="1">
        <v>64377631</v>
      </c>
      <c r="G1845" s="16">
        <v>14752.822529072017</v>
      </c>
      <c r="H1845">
        <v>139.82</v>
      </c>
      <c r="I1845" s="1">
        <v>441.9</v>
      </c>
      <c r="J1845" s="16">
        <v>356207.6707132025</v>
      </c>
      <c r="K1845" s="5">
        <v>1.6084338897679372E-2</v>
      </c>
      <c r="L1845" s="10">
        <v>258528.2499</v>
      </c>
    </row>
    <row r="1846" spans="1:12" x14ac:dyDescent="0.25">
      <c r="A1846">
        <v>1845</v>
      </c>
      <c r="B1846" s="3">
        <v>0.23753445017783359</v>
      </c>
      <c r="C1846" s="3">
        <v>3.6061407472513428E-2</v>
      </c>
      <c r="D1846" s="1">
        <v>92055.456467248237</v>
      </c>
      <c r="E1846" s="1">
        <v>5097666</v>
      </c>
      <c r="F1846" s="1">
        <v>32265587</v>
      </c>
      <c r="G1846" s="16">
        <v>7040.3526037000729</v>
      </c>
      <c r="H1846">
        <v>53.89</v>
      </c>
      <c r="I1846" s="1">
        <v>214.08999999999997</v>
      </c>
      <c r="J1846" s="16">
        <v>99095.809070948308</v>
      </c>
      <c r="K1846" s="5">
        <v>8.0366043590332309E-2</v>
      </c>
      <c r="L1846" s="10">
        <v>202731.0048</v>
      </c>
    </row>
    <row r="1847" spans="1:12" x14ac:dyDescent="0.25">
      <c r="A1847">
        <v>1846</v>
      </c>
      <c r="B1847" s="3">
        <v>0.22815474577642872</v>
      </c>
      <c r="C1847" s="3">
        <v>3.0468871925359985E-2</v>
      </c>
      <c r="D1847" s="1">
        <v>108108.06723405735</v>
      </c>
      <c r="E1847" s="1">
        <v>5700854</v>
      </c>
      <c r="F1847" s="1">
        <v>35091380</v>
      </c>
      <c r="G1847" s="16">
        <v>22431.914394910753</v>
      </c>
      <c r="H1847">
        <v>206.6</v>
      </c>
      <c r="I1847" s="1">
        <v>630.99</v>
      </c>
      <c r="J1847" s="16">
        <v>130539.9816289681</v>
      </c>
      <c r="K1847" s="5">
        <v>6.0330089930036135E-2</v>
      </c>
      <c r="L1847" s="10">
        <v>263595.80579999997</v>
      </c>
    </row>
    <row r="1848" spans="1:12" x14ac:dyDescent="0.25">
      <c r="A1848">
        <v>1847</v>
      </c>
      <c r="B1848" s="3">
        <v>0.12133331132993128</v>
      </c>
      <c r="C1848" s="3">
        <v>6.8970917793847619E-2</v>
      </c>
      <c r="D1848" s="1">
        <v>175264.9329273472</v>
      </c>
      <c r="E1848" s="1">
        <v>5503022</v>
      </c>
      <c r="F1848" s="1">
        <v>29000546</v>
      </c>
      <c r="G1848" s="16">
        <v>46951.281605537668</v>
      </c>
      <c r="H1848">
        <v>174.61</v>
      </c>
      <c r="I1848" s="1">
        <v>518.59</v>
      </c>
      <c r="J1848" s="16">
        <v>222216.21453288486</v>
      </c>
      <c r="K1848" s="5">
        <v>0.14778184888397269</v>
      </c>
      <c r="L1848" s="10">
        <v>319303.55530000001</v>
      </c>
    </row>
    <row r="1849" spans="1:12" x14ac:dyDescent="0.25">
      <c r="A1849">
        <v>1848</v>
      </c>
      <c r="B1849" s="3">
        <v>0.22176229660040098</v>
      </c>
      <c r="C1849" s="3">
        <v>6.0478044897541536E-2</v>
      </c>
      <c r="D1849" s="1">
        <v>93513.654198933014</v>
      </c>
      <c r="E1849" s="1">
        <v>3713132</v>
      </c>
      <c r="F1849" s="1">
        <v>18065391</v>
      </c>
      <c r="G1849" s="16">
        <v>6288.9172918039349</v>
      </c>
      <c r="H1849">
        <v>33.19</v>
      </c>
      <c r="I1849" s="1">
        <v>158.44999999999999</v>
      </c>
      <c r="J1849" s="16">
        <v>99802.571490736955</v>
      </c>
      <c r="K1849" s="5">
        <v>0.13747100288781164</v>
      </c>
      <c r="L1849" s="10">
        <v>174966.2715</v>
      </c>
    </row>
    <row r="1850" spans="1:12" x14ac:dyDescent="0.25">
      <c r="A1850">
        <v>1849</v>
      </c>
      <c r="B1850" s="3">
        <v>0.11715462070112087</v>
      </c>
      <c r="C1850" s="3">
        <v>5.0573495417615785E-2</v>
      </c>
      <c r="D1850" s="1">
        <v>110672.37715883473</v>
      </c>
      <c r="E1850" s="1">
        <v>3010151</v>
      </c>
      <c r="F1850" s="1">
        <v>18812539</v>
      </c>
      <c r="G1850" s="16">
        <v>40886.347745545936</v>
      </c>
      <c r="H1850">
        <v>147.31</v>
      </c>
      <c r="I1850" s="1">
        <v>479.76</v>
      </c>
      <c r="J1850" s="16">
        <v>151558.72490438068</v>
      </c>
      <c r="K1850" s="5">
        <v>2.5939252838577169E-2</v>
      </c>
      <c r="L1850" s="10">
        <v>108211.8417</v>
      </c>
    </row>
    <row r="1851" spans="1:12" x14ac:dyDescent="0.25">
      <c r="A1851">
        <v>1850</v>
      </c>
      <c r="B1851" s="3">
        <v>0.16906475537367949</v>
      </c>
      <c r="C1851" s="3">
        <v>7.3886168247763437E-2</v>
      </c>
      <c r="D1851" s="1">
        <v>581395.99444599485</v>
      </c>
      <c r="E1851" s="1">
        <v>33057621</v>
      </c>
      <c r="F1851" s="1">
        <v>98827428</v>
      </c>
      <c r="G1851" s="16">
        <v>64532.646315928389</v>
      </c>
      <c r="H1851">
        <v>427.32</v>
      </c>
      <c r="I1851" s="1">
        <v>1125.5899999999999</v>
      </c>
      <c r="J1851" s="16">
        <v>645928.64076192328</v>
      </c>
      <c r="K1851" s="5">
        <v>0.24357578778798461</v>
      </c>
      <c r="L1851" s="10">
        <v>1337302.7503</v>
      </c>
    </row>
    <row r="1852" spans="1:12" x14ac:dyDescent="0.25">
      <c r="A1852">
        <v>1851</v>
      </c>
      <c r="B1852" s="3">
        <v>0.2228830279669442</v>
      </c>
      <c r="C1852" s="3">
        <v>5.0225544182454639E-2</v>
      </c>
      <c r="D1852" s="1">
        <v>210044.25247231158</v>
      </c>
      <c r="E1852" s="1">
        <v>13870171</v>
      </c>
      <c r="F1852" s="1">
        <v>53144592</v>
      </c>
      <c r="G1852" s="16">
        <v>31515.112822097704</v>
      </c>
      <c r="H1852">
        <v>277.18</v>
      </c>
      <c r="I1852" s="1">
        <v>626.52</v>
      </c>
      <c r="J1852" s="16">
        <v>241559.36529440928</v>
      </c>
      <c r="K1852" s="5">
        <v>-2.3602268378291557E-2</v>
      </c>
      <c r="L1852" s="10">
        <v>-75933.350200000001</v>
      </c>
    </row>
    <row r="1853" spans="1:12" x14ac:dyDescent="0.25">
      <c r="A1853">
        <v>1852</v>
      </c>
      <c r="B1853" s="3">
        <v>0.19363379300937922</v>
      </c>
      <c r="C1853" s="3">
        <v>3.7328262841691141E-2</v>
      </c>
      <c r="D1853" s="1">
        <v>107013.2249922991</v>
      </c>
      <c r="E1853" s="1">
        <v>3819818</v>
      </c>
      <c r="F1853" s="1">
        <v>18173231</v>
      </c>
      <c r="G1853" s="16">
        <v>22814.459963931153</v>
      </c>
      <c r="H1853">
        <v>154.94999999999999</v>
      </c>
      <c r="I1853" s="1">
        <v>526.14</v>
      </c>
      <c r="J1853" s="16">
        <v>129827.68495623025</v>
      </c>
      <c r="K1853" s="5">
        <v>9.9367792776838756E-2</v>
      </c>
      <c r="L1853" s="10">
        <v>298115.99920000002</v>
      </c>
    </row>
    <row r="1854" spans="1:12" x14ac:dyDescent="0.25">
      <c r="A1854">
        <v>1853</v>
      </c>
      <c r="B1854" s="3">
        <v>0.16600907060007306</v>
      </c>
      <c r="C1854" s="3">
        <v>5.3567333756918953E-2</v>
      </c>
      <c r="D1854" s="1">
        <v>176628.55868349702</v>
      </c>
      <c r="E1854" s="1">
        <v>5698760</v>
      </c>
      <c r="F1854" s="1">
        <v>19719176</v>
      </c>
      <c r="G1854" s="16">
        <v>42765.658758737314</v>
      </c>
      <c r="H1854">
        <v>274.89</v>
      </c>
      <c r="I1854" s="1">
        <v>920.48</v>
      </c>
      <c r="J1854" s="16">
        <v>219394.21744223434</v>
      </c>
      <c r="K1854" s="5">
        <v>-5.1227946972764553E-3</v>
      </c>
      <c r="L1854" s="10">
        <v>12495.7106</v>
      </c>
    </row>
    <row r="1855" spans="1:12" x14ac:dyDescent="0.25">
      <c r="A1855">
        <v>1854</v>
      </c>
      <c r="B1855" s="3">
        <v>0.23819556405470443</v>
      </c>
      <c r="C1855" s="3">
        <v>4.8603616117021867E-2</v>
      </c>
      <c r="D1855" s="1">
        <v>110570.46130421919</v>
      </c>
      <c r="E1855" s="1">
        <v>8065380</v>
      </c>
      <c r="F1855" s="1">
        <v>44943141</v>
      </c>
      <c r="G1855" s="16">
        <v>10307.08103766651</v>
      </c>
      <c r="H1855">
        <v>79.400000000000006</v>
      </c>
      <c r="I1855" s="1">
        <v>269.64</v>
      </c>
      <c r="J1855" s="16">
        <v>120877.54234188571</v>
      </c>
      <c r="K1855" s="5">
        <v>2.3829516833041971E-2</v>
      </c>
      <c r="L1855" s="10">
        <v>67903.5965</v>
      </c>
    </row>
    <row r="1856" spans="1:12" x14ac:dyDescent="0.25">
      <c r="A1856">
        <v>1855</v>
      </c>
      <c r="B1856" s="3">
        <v>0.15583914234856963</v>
      </c>
      <c r="C1856" s="3">
        <v>7.8676527652336056E-2</v>
      </c>
      <c r="D1856" s="1">
        <v>36833.311470227927</v>
      </c>
      <c r="E1856" s="1">
        <v>1145955</v>
      </c>
      <c r="F1856" s="1">
        <v>10765389</v>
      </c>
      <c r="G1856" s="16">
        <v>13374.068826458581</v>
      </c>
      <c r="H1856">
        <v>46.96</v>
      </c>
      <c r="I1856" s="1">
        <v>180.24</v>
      </c>
      <c r="J1856" s="16">
        <v>50207.380296686504</v>
      </c>
      <c r="K1856" s="5">
        <v>5.8775643510146497E-3</v>
      </c>
      <c r="L1856" s="10">
        <v>10743.909</v>
      </c>
    </row>
    <row r="1857" spans="1:12" x14ac:dyDescent="0.25">
      <c r="A1857">
        <v>1856</v>
      </c>
      <c r="B1857" s="3">
        <v>0.17607709144915967</v>
      </c>
      <c r="C1857" s="3">
        <v>6.4735517908775325E-2</v>
      </c>
      <c r="D1857" s="1">
        <v>165837.32574677415</v>
      </c>
      <c r="E1857" s="1">
        <v>6735018</v>
      </c>
      <c r="F1857" s="1">
        <v>30546609</v>
      </c>
      <c r="G1857" s="16">
        <v>23285.8900521984</v>
      </c>
      <c r="H1857">
        <v>135.91</v>
      </c>
      <c r="I1857" s="1">
        <v>542.42999999999995</v>
      </c>
      <c r="J1857" s="16">
        <v>189123.21579897255</v>
      </c>
      <c r="K1857" s="5">
        <v>5.4526316557749796E-2</v>
      </c>
      <c r="L1857" s="10">
        <v>126326.22470000001</v>
      </c>
    </row>
    <row r="1858" spans="1:12" x14ac:dyDescent="0.25">
      <c r="A1858">
        <v>1857</v>
      </c>
      <c r="B1858" s="3">
        <v>0.20382721114562363</v>
      </c>
      <c r="C1858" s="3">
        <v>6.6135388197853986E-2</v>
      </c>
      <c r="D1858" s="1">
        <v>76712.217800958053</v>
      </c>
      <c r="E1858" s="1">
        <v>2264918</v>
      </c>
      <c r="F1858" s="1">
        <v>10635772</v>
      </c>
      <c r="G1858" s="16">
        <v>15091.19817642035</v>
      </c>
      <c r="H1858">
        <v>112.02</v>
      </c>
      <c r="I1858" s="1">
        <v>412.10999999999996</v>
      </c>
      <c r="J1858" s="16">
        <v>91803.415977378405</v>
      </c>
      <c r="K1858" s="5">
        <v>0.13767871895363573</v>
      </c>
      <c r="L1858" s="10">
        <v>136083.443</v>
      </c>
    </row>
    <row r="1859" spans="1:12" x14ac:dyDescent="0.25">
      <c r="A1859">
        <v>1858</v>
      </c>
      <c r="B1859" s="3">
        <v>0.21722432830634716</v>
      </c>
      <c r="C1859" s="3">
        <v>3.7263835933798319E-2</v>
      </c>
      <c r="D1859" s="1">
        <v>144456.17004968412</v>
      </c>
      <c r="E1859" s="1">
        <v>7200942</v>
      </c>
      <c r="F1859" s="1">
        <v>26487447</v>
      </c>
      <c r="G1859" s="16">
        <v>20319.137644275328</v>
      </c>
      <c r="H1859">
        <v>169.71</v>
      </c>
      <c r="I1859" s="1">
        <v>482.5</v>
      </c>
      <c r="J1859" s="16">
        <v>164775.30769395945</v>
      </c>
      <c r="K1859" s="5">
        <v>0.23853026118089854</v>
      </c>
      <c r="L1859" s="10">
        <v>860605.5</v>
      </c>
    </row>
    <row r="1860" spans="1:12" x14ac:dyDescent="0.25">
      <c r="A1860">
        <v>1859</v>
      </c>
      <c r="B1860" s="3">
        <v>0.17701573713475571</v>
      </c>
      <c r="C1860" s="3">
        <v>5.1990603131757573E-2</v>
      </c>
      <c r="D1860" s="1">
        <v>118622.9679535562</v>
      </c>
      <c r="E1860" s="1">
        <v>3982879</v>
      </c>
      <c r="F1860" s="1">
        <v>16112990</v>
      </c>
      <c r="G1860" s="16">
        <v>35454.333925024097</v>
      </c>
      <c r="H1860">
        <v>208.82</v>
      </c>
      <c r="I1860" s="1">
        <v>565.75</v>
      </c>
      <c r="J1860" s="16">
        <v>154077.3018785803</v>
      </c>
      <c r="K1860" s="5">
        <v>0.10988390207875573</v>
      </c>
      <c r="L1860" s="10">
        <v>241219.30850000001</v>
      </c>
    </row>
    <row r="1861" spans="1:12" x14ac:dyDescent="0.25">
      <c r="A1861">
        <v>1860</v>
      </c>
      <c r="B1861" s="3">
        <v>0.24794520652797658</v>
      </c>
      <c r="C1861" s="3">
        <v>4.1961204317048931E-2</v>
      </c>
      <c r="D1861" s="1">
        <v>101429.73580512125</v>
      </c>
      <c r="E1861" s="1">
        <v>4462927</v>
      </c>
      <c r="F1861" s="1">
        <v>20961098</v>
      </c>
      <c r="G1861" s="16">
        <v>5698.4016351589607</v>
      </c>
      <c r="H1861">
        <v>47.33</v>
      </c>
      <c r="I1861" s="1">
        <v>243.71999999999997</v>
      </c>
      <c r="J1861" s="16">
        <v>107128.13744028022</v>
      </c>
      <c r="K1861" s="5">
        <v>0.20652569114888558</v>
      </c>
      <c r="L1861" s="10">
        <v>402236.17229999998</v>
      </c>
    </row>
    <row r="1862" spans="1:12" x14ac:dyDescent="0.25">
      <c r="A1862">
        <v>1861</v>
      </c>
      <c r="B1862" s="3">
        <v>0.15534616628281123</v>
      </c>
      <c r="C1862" s="3">
        <v>3.7680065498221282E-2</v>
      </c>
      <c r="D1862" s="1">
        <v>201069.14104135302</v>
      </c>
      <c r="E1862" s="1">
        <v>7393207</v>
      </c>
      <c r="F1862" s="1">
        <v>25714465</v>
      </c>
      <c r="G1862" s="16">
        <v>41857.239801981501</v>
      </c>
      <c r="H1862">
        <v>205.39</v>
      </c>
      <c r="I1862" s="1">
        <v>477.59000000000003</v>
      </c>
      <c r="J1862" s="16">
        <v>242926.38084333454</v>
      </c>
      <c r="K1862" s="5">
        <v>4.5522701293839431E-2</v>
      </c>
      <c r="L1862" s="10">
        <v>244149.1354</v>
      </c>
    </row>
    <row r="1863" spans="1:12" x14ac:dyDescent="0.25">
      <c r="A1863">
        <v>1862</v>
      </c>
      <c r="B1863" s="3">
        <v>0.21718655252031432</v>
      </c>
      <c r="C1863" s="3">
        <v>6.2953973283426945E-2</v>
      </c>
      <c r="D1863" s="1">
        <v>143116.19307729055</v>
      </c>
      <c r="E1863" s="1">
        <v>7132777</v>
      </c>
      <c r="F1863" s="1">
        <v>32061422</v>
      </c>
      <c r="G1863" s="16">
        <v>39697.516914556232</v>
      </c>
      <c r="H1863">
        <v>423.46</v>
      </c>
      <c r="I1863" s="1">
        <v>1125.44</v>
      </c>
      <c r="J1863" s="16">
        <v>182813.70999184679</v>
      </c>
      <c r="K1863" s="5">
        <v>0.18998814664382821</v>
      </c>
      <c r="L1863" s="10">
        <v>416483.35090000002</v>
      </c>
    </row>
    <row r="1864" spans="1:12" x14ac:dyDescent="0.25">
      <c r="A1864">
        <v>1863</v>
      </c>
      <c r="B1864" s="3">
        <v>0.13620104970095689</v>
      </c>
      <c r="C1864" s="3">
        <v>2.8344854775162694E-2</v>
      </c>
      <c r="D1864" s="1">
        <v>210201.03154164887</v>
      </c>
      <c r="E1864" s="1">
        <v>7066221</v>
      </c>
      <c r="F1864" s="1">
        <v>29245149</v>
      </c>
      <c r="G1864" s="16">
        <v>57485.148612493824</v>
      </c>
      <c r="H1864">
        <v>241.07</v>
      </c>
      <c r="I1864" s="1">
        <v>740.3</v>
      </c>
      <c r="J1864" s="16">
        <v>267686.18015414267</v>
      </c>
      <c r="K1864" s="5">
        <v>0.14876427047880059</v>
      </c>
      <c r="L1864" s="10">
        <v>1230804.0959000001</v>
      </c>
    </row>
    <row r="1865" spans="1:12" x14ac:dyDescent="0.25">
      <c r="A1865">
        <v>1864</v>
      </c>
      <c r="B1865" s="3">
        <v>0.24217883229023554</v>
      </c>
      <c r="C1865" s="3">
        <v>5.095590408261251E-2</v>
      </c>
      <c r="D1865" s="1">
        <v>67102.723551657211</v>
      </c>
      <c r="E1865" s="1">
        <v>3807818</v>
      </c>
      <c r="F1865" s="1">
        <v>21839403</v>
      </c>
      <c r="G1865" s="16">
        <v>9235.5884501612072</v>
      </c>
      <c r="H1865">
        <v>73.349999999999994</v>
      </c>
      <c r="I1865" s="1">
        <v>307.39999999999998</v>
      </c>
      <c r="J1865" s="16">
        <v>76338.312001818413</v>
      </c>
      <c r="K1865" s="5">
        <v>0.17740606614506288</v>
      </c>
      <c r="L1865" s="10">
        <v>223004.36550000001</v>
      </c>
    </row>
    <row r="1866" spans="1:12" x14ac:dyDescent="0.25">
      <c r="A1866">
        <v>1865</v>
      </c>
      <c r="B1866" s="3">
        <v>0.12945804051263532</v>
      </c>
      <c r="C1866" s="3">
        <v>6.2380350571181922E-2</v>
      </c>
      <c r="D1866" s="1">
        <v>201185.11489292161</v>
      </c>
      <c r="E1866" s="1">
        <v>6556007</v>
      </c>
      <c r="F1866" s="1">
        <v>26411550</v>
      </c>
      <c r="G1866" s="16">
        <v>31424.040218205759</v>
      </c>
      <c r="H1866">
        <v>108.65</v>
      </c>
      <c r="I1866" s="1">
        <v>329.71000000000004</v>
      </c>
      <c r="J1866" s="16">
        <v>232609.15511112736</v>
      </c>
      <c r="K1866" s="5">
        <v>0.19052446377951371</v>
      </c>
      <c r="L1866" s="10">
        <v>494793.54190000001</v>
      </c>
    </row>
    <row r="1867" spans="1:12" x14ac:dyDescent="0.25">
      <c r="A1867">
        <v>1866</v>
      </c>
      <c r="B1867" s="3">
        <v>0.10097444548804936</v>
      </c>
      <c r="C1867" s="3">
        <v>6.6640924555133624E-2</v>
      </c>
      <c r="D1867" s="1">
        <v>212133.2918943812</v>
      </c>
      <c r="E1867" s="1">
        <v>6077482</v>
      </c>
      <c r="F1867" s="1">
        <v>22428455</v>
      </c>
      <c r="G1867" s="16">
        <v>36828.379930317664</v>
      </c>
      <c r="H1867">
        <v>104.91</v>
      </c>
      <c r="I1867" s="1">
        <v>380.18999999999994</v>
      </c>
      <c r="J1867" s="16">
        <v>248961.67182469886</v>
      </c>
      <c r="K1867" s="5">
        <v>8.0414049167219795E-2</v>
      </c>
      <c r="L1867" s="10">
        <v>212568.7004</v>
      </c>
    </row>
    <row r="1868" spans="1:12" x14ac:dyDescent="0.25">
      <c r="A1868">
        <v>1867</v>
      </c>
      <c r="B1868" s="3">
        <v>0.20355697022960001</v>
      </c>
      <c r="C1868" s="3">
        <v>2.4539786867939201E-2</v>
      </c>
      <c r="D1868" s="1">
        <v>413129.9391415015</v>
      </c>
      <c r="E1868" s="1">
        <v>24127695</v>
      </c>
      <c r="F1868" s="1">
        <v>64339098</v>
      </c>
      <c r="G1868" s="16">
        <v>22805.950419928831</v>
      </c>
      <c r="H1868">
        <v>168.88</v>
      </c>
      <c r="I1868" s="1">
        <v>407.73</v>
      </c>
      <c r="J1868" s="16">
        <v>435935.88956143032</v>
      </c>
      <c r="K1868" s="5">
        <v>6.8831121714507892E-2</v>
      </c>
      <c r="L1868" s="10">
        <v>1006669.0769</v>
      </c>
    </row>
    <row r="1869" spans="1:12" x14ac:dyDescent="0.25">
      <c r="A1869">
        <v>1868</v>
      </c>
      <c r="B1869" s="3">
        <v>0.15408279612181566</v>
      </c>
      <c r="C1869" s="3">
        <v>6.4154206774900635E-2</v>
      </c>
      <c r="D1869" s="1">
        <v>143921.60819814148</v>
      </c>
      <c r="E1869" s="1">
        <v>5260383</v>
      </c>
      <c r="F1869" s="1">
        <v>26159688</v>
      </c>
      <c r="G1869" s="16">
        <v>31318.287779373073</v>
      </c>
      <c r="H1869">
        <v>128.72</v>
      </c>
      <c r="I1869" s="1">
        <v>366.55999999999995</v>
      </c>
      <c r="J1869" s="16">
        <v>175239.89597751456</v>
      </c>
      <c r="K1869" s="5">
        <v>-8.4443189734979301E-2</v>
      </c>
      <c r="L1869" s="10">
        <v>-135519.28969999999</v>
      </c>
    </row>
    <row r="1870" spans="1:12" x14ac:dyDescent="0.25">
      <c r="A1870">
        <v>1869</v>
      </c>
      <c r="B1870" s="3">
        <v>0.20193322579533057</v>
      </c>
      <c r="C1870" s="3">
        <v>5.0965492741366268E-2</v>
      </c>
      <c r="D1870" s="1">
        <v>111905.20017805629</v>
      </c>
      <c r="E1870" s="1">
        <v>5162923</v>
      </c>
      <c r="F1870" s="1">
        <v>26300038</v>
      </c>
      <c r="G1870" s="16">
        <v>14959.033672715679</v>
      </c>
      <c r="H1870">
        <v>87.02</v>
      </c>
      <c r="I1870" s="1">
        <v>289.18</v>
      </c>
      <c r="J1870" s="16">
        <v>126864.23385077197</v>
      </c>
      <c r="K1870" s="5">
        <v>2.9995155415340063E-2</v>
      </c>
      <c r="L1870" s="10">
        <v>100962.6808</v>
      </c>
    </row>
    <row r="1871" spans="1:12" x14ac:dyDescent="0.25">
      <c r="A1871">
        <v>1870</v>
      </c>
      <c r="B1871" s="3">
        <v>0.19412256891500534</v>
      </c>
      <c r="C1871" s="3">
        <v>5.507332676389233E-2</v>
      </c>
      <c r="D1871" s="1">
        <v>90542.003128094584</v>
      </c>
      <c r="E1871" s="1">
        <v>3237764</v>
      </c>
      <c r="F1871" s="1">
        <v>15938819</v>
      </c>
      <c r="G1871" s="16">
        <v>14213.154242666365</v>
      </c>
      <c r="H1871">
        <v>78.13</v>
      </c>
      <c r="I1871" s="1">
        <v>218.11</v>
      </c>
      <c r="J1871" s="16">
        <v>104755.15737076095</v>
      </c>
      <c r="K1871" s="5">
        <v>-8.6665912169983289E-2</v>
      </c>
      <c r="L1871" s="10">
        <v>-98947.622300000003</v>
      </c>
    </row>
    <row r="1872" spans="1:12" x14ac:dyDescent="0.25">
      <c r="A1872">
        <v>1871</v>
      </c>
      <c r="B1872" s="3">
        <v>0.21919064772529995</v>
      </c>
      <c r="C1872" s="3">
        <v>6.5805515978589149E-2</v>
      </c>
      <c r="D1872" s="1">
        <v>64852.638108350882</v>
      </c>
      <c r="E1872" s="1">
        <v>2549735</v>
      </c>
      <c r="F1872" s="1">
        <v>13733204</v>
      </c>
      <c r="G1872" s="16">
        <v>11217.530014443064</v>
      </c>
      <c r="H1872">
        <v>74.55</v>
      </c>
      <c r="I1872" s="1">
        <v>289.55</v>
      </c>
      <c r="J1872" s="16">
        <v>76070.168122793941</v>
      </c>
      <c r="K1872" s="5">
        <v>0.14010089245228405</v>
      </c>
      <c r="L1872" s="10">
        <v>123244.62209999999</v>
      </c>
    </row>
    <row r="1873" spans="1:12" x14ac:dyDescent="0.25">
      <c r="A1873">
        <v>1872</v>
      </c>
      <c r="B1873" s="3">
        <v>0.18462598590101237</v>
      </c>
      <c r="C1873" s="3">
        <v>7.1817816940213011E-2</v>
      </c>
      <c r="D1873" s="1">
        <v>24522.379901922028</v>
      </c>
      <c r="E1873" s="1">
        <v>690322</v>
      </c>
      <c r="F1873" s="1">
        <v>6958758</v>
      </c>
      <c r="G1873" s="16">
        <v>38865.908908464517</v>
      </c>
      <c r="H1873">
        <v>243.93</v>
      </c>
      <c r="I1873" s="1">
        <v>604.68000000000006</v>
      </c>
      <c r="J1873" s="16">
        <v>63388.288810386541</v>
      </c>
      <c r="K1873" s="5">
        <v>2.5341672014161147E-2</v>
      </c>
      <c r="L1873" s="10">
        <v>19162.650600000001</v>
      </c>
    </row>
    <row r="1874" spans="1:12" x14ac:dyDescent="0.25">
      <c r="A1874">
        <v>1873</v>
      </c>
      <c r="B1874" s="3">
        <v>0.13529375316039813</v>
      </c>
      <c r="C1874" s="3">
        <v>3.9653248567020259E-2</v>
      </c>
      <c r="D1874" s="1">
        <v>279435.32692005899</v>
      </c>
      <c r="E1874" s="1">
        <v>9354264</v>
      </c>
      <c r="F1874" s="1">
        <v>33403826</v>
      </c>
      <c r="G1874" s="16">
        <v>39450.848560789287</v>
      </c>
      <c r="H1874">
        <v>164.18</v>
      </c>
      <c r="I1874" s="1">
        <v>412.13</v>
      </c>
      <c r="J1874" s="16">
        <v>318886.17548084829</v>
      </c>
      <c r="K1874" s="5">
        <v>0.24452582945855722</v>
      </c>
      <c r="L1874" s="10">
        <v>1539860.8611999999</v>
      </c>
    </row>
    <row r="1875" spans="1:12" x14ac:dyDescent="0.25">
      <c r="A1875">
        <v>1874</v>
      </c>
      <c r="B1875" s="3">
        <v>0.12304971564418396</v>
      </c>
      <c r="C1875" s="3">
        <v>4.7389890574356469E-2</v>
      </c>
      <c r="D1875" s="1">
        <v>160352.20267746065</v>
      </c>
      <c r="E1875" s="1">
        <v>4449927</v>
      </c>
      <c r="F1875" s="1">
        <v>16181831</v>
      </c>
      <c r="G1875" s="16">
        <v>18016.217812225121</v>
      </c>
      <c r="H1875">
        <v>59.52</v>
      </c>
      <c r="I1875" s="1">
        <v>209.44</v>
      </c>
      <c r="J1875" s="16">
        <v>178368.42048968578</v>
      </c>
      <c r="K1875" s="5">
        <v>0.17014038420392369</v>
      </c>
      <c r="L1875" s="10">
        <v>471072.7071</v>
      </c>
    </row>
    <row r="1876" spans="1:12" x14ac:dyDescent="0.25">
      <c r="A1876">
        <v>1875</v>
      </c>
      <c r="B1876" s="3">
        <v>0.23777510997516116</v>
      </c>
      <c r="C1876" s="3">
        <v>2.8834974531357187E-2</v>
      </c>
      <c r="D1876" s="1">
        <v>170538.19571057294</v>
      </c>
      <c r="E1876" s="1">
        <v>9455676</v>
      </c>
      <c r="F1876" s="1">
        <v>39068680</v>
      </c>
      <c r="G1876" s="16">
        <v>18205.15635883611</v>
      </c>
      <c r="H1876">
        <v>183.01</v>
      </c>
      <c r="I1876" s="1">
        <v>645.64</v>
      </c>
      <c r="J1876" s="16">
        <v>188743.35206940904</v>
      </c>
      <c r="K1876" s="5">
        <v>0.13743963276147336</v>
      </c>
      <c r="L1876" s="10">
        <v>813938.33120000002</v>
      </c>
    </row>
    <row r="1877" spans="1:12" x14ac:dyDescent="0.25">
      <c r="A1877">
        <v>1876</v>
      </c>
      <c r="B1877" s="3">
        <v>0.17975713814693178</v>
      </c>
      <c r="C1877" s="3">
        <v>5.3441124778019072E-2</v>
      </c>
      <c r="D1877" s="1">
        <v>217348.39815029243</v>
      </c>
      <c r="E1877" s="1">
        <v>8986473</v>
      </c>
      <c r="F1877" s="1">
        <v>38941752</v>
      </c>
      <c r="G1877" s="16">
        <v>13944.119290309605</v>
      </c>
      <c r="H1877">
        <v>68.849999999999994</v>
      </c>
      <c r="I1877" s="1">
        <v>263.78999999999996</v>
      </c>
      <c r="J1877" s="16">
        <v>231292.51744060204</v>
      </c>
      <c r="K1877" s="5">
        <v>9.0290217236216247E-2</v>
      </c>
      <c r="L1877" s="10">
        <v>286601.0294</v>
      </c>
    </row>
    <row r="1878" spans="1:12" x14ac:dyDescent="0.25">
      <c r="A1878">
        <v>1877</v>
      </c>
      <c r="B1878" s="3">
        <v>0.14344911608400668</v>
      </c>
      <c r="C1878" s="3">
        <v>5.031587148801181E-2</v>
      </c>
      <c r="D1878" s="1">
        <v>73121.893821304897</v>
      </c>
      <c r="E1878" s="1">
        <v>2177663</v>
      </c>
      <c r="F1878" s="1">
        <v>12774749</v>
      </c>
      <c r="G1878" s="16">
        <v>31770.538871963021</v>
      </c>
      <c r="H1878">
        <v>120.93</v>
      </c>
      <c r="I1878" s="1">
        <v>336.94</v>
      </c>
      <c r="J1878" s="16">
        <v>104892.43269326791</v>
      </c>
      <c r="K1878" s="5">
        <v>0.12959403011602699</v>
      </c>
      <c r="L1878" s="10">
        <v>203959.9705</v>
      </c>
    </row>
    <row r="1879" spans="1:12" x14ac:dyDescent="0.25">
      <c r="A1879">
        <v>1878</v>
      </c>
      <c r="B1879" s="3">
        <v>0.12722264098079922</v>
      </c>
      <c r="C1879" s="3">
        <v>3.7286030314660781E-2</v>
      </c>
      <c r="D1879" s="1">
        <v>180530.65902593956</v>
      </c>
      <c r="E1879" s="1">
        <v>5822904</v>
      </c>
      <c r="F1879" s="1">
        <v>26514454</v>
      </c>
      <c r="G1879" s="16">
        <v>39313.633950611926</v>
      </c>
      <c r="H1879">
        <v>133.96</v>
      </c>
      <c r="I1879" s="1">
        <v>378.58000000000004</v>
      </c>
      <c r="J1879" s="16">
        <v>219844.29297655149</v>
      </c>
      <c r="K1879" s="5">
        <v>0.15616881744437727</v>
      </c>
      <c r="L1879" s="10">
        <v>744822.61270000006</v>
      </c>
    </row>
    <row r="1880" spans="1:12" x14ac:dyDescent="0.25">
      <c r="A1880">
        <v>1879</v>
      </c>
      <c r="B1880" s="3">
        <v>0.1839918057391503</v>
      </c>
      <c r="C1880" s="3">
        <v>6.3934529917430163E-2</v>
      </c>
      <c r="D1880" s="1">
        <v>120222.40181570196</v>
      </c>
      <c r="E1880" s="1">
        <v>5074701</v>
      </c>
      <c r="F1880" s="1">
        <v>28351045</v>
      </c>
      <c r="G1880" s="16">
        <v>37322.277691048781</v>
      </c>
      <c r="H1880">
        <v>285.54000000000002</v>
      </c>
      <c r="I1880" s="1">
        <v>893.81999999999994</v>
      </c>
      <c r="J1880" s="16">
        <v>157544.67950675075</v>
      </c>
      <c r="K1880" s="5">
        <v>0.21573164670933087</v>
      </c>
      <c r="L1880" s="10">
        <v>398971.9657</v>
      </c>
    </row>
    <row r="1881" spans="1:12" x14ac:dyDescent="0.25">
      <c r="A1881">
        <v>1880</v>
      </c>
      <c r="B1881" s="3">
        <v>0.24378891185944476</v>
      </c>
      <c r="C1881" s="3">
        <v>5.5091005333181481E-2</v>
      </c>
      <c r="D1881" s="1">
        <v>153994.17347897889</v>
      </c>
      <c r="E1881" s="1">
        <v>8813225</v>
      </c>
      <c r="F1881" s="1">
        <v>33449176</v>
      </c>
      <c r="G1881" s="16">
        <v>21086.623932850933</v>
      </c>
      <c r="H1881">
        <v>224.08</v>
      </c>
      <c r="I1881" s="1">
        <v>552.22</v>
      </c>
      <c r="J1881" s="16">
        <v>175080.79741182982</v>
      </c>
      <c r="K1881" s="5">
        <v>9.5368234983754144E-2</v>
      </c>
      <c r="L1881" s="10">
        <v>256212.47099999999</v>
      </c>
    </row>
    <row r="1882" spans="1:12" x14ac:dyDescent="0.25">
      <c r="A1882">
        <v>1881</v>
      </c>
      <c r="B1882" s="3">
        <v>0.18870894605072636</v>
      </c>
      <c r="C1882" s="3">
        <v>5.71152743060198E-2</v>
      </c>
      <c r="D1882" s="1">
        <v>69328.87899119113</v>
      </c>
      <c r="E1882" s="1">
        <v>2429892</v>
      </c>
      <c r="F1882" s="1">
        <v>15351225</v>
      </c>
      <c r="G1882" s="16">
        <v>15753.163969722515</v>
      </c>
      <c r="H1882">
        <v>83.19</v>
      </c>
      <c r="I1882" s="1">
        <v>218.26</v>
      </c>
      <c r="J1882" s="16">
        <v>85082.042960913648</v>
      </c>
      <c r="K1882" s="5">
        <v>6.1738676535541465E-2</v>
      </c>
      <c r="L1882" s="10">
        <v>83140.443799999994</v>
      </c>
    </row>
    <row r="1883" spans="1:12" x14ac:dyDescent="0.25">
      <c r="A1883">
        <v>1882</v>
      </c>
      <c r="B1883" s="3">
        <v>0.17619317092942544</v>
      </c>
      <c r="C1883" s="3">
        <v>4.5699806890611393E-2</v>
      </c>
      <c r="D1883" s="1">
        <v>139949.68703702773</v>
      </c>
      <c r="E1883" s="1">
        <v>5686870</v>
      </c>
      <c r="F1883" s="1">
        <v>21940184</v>
      </c>
      <c r="G1883" s="16">
        <v>30013.827764317277</v>
      </c>
      <c r="H1883">
        <v>175.43</v>
      </c>
      <c r="I1883" s="1">
        <v>519.40000000000009</v>
      </c>
      <c r="J1883" s="16">
        <v>169963.51480134501</v>
      </c>
      <c r="K1883" s="5">
        <v>0.18591899728442332</v>
      </c>
      <c r="L1883" s="10">
        <v>541054.66379999998</v>
      </c>
    </row>
    <row r="1884" spans="1:12" x14ac:dyDescent="0.25">
      <c r="A1884">
        <v>1883</v>
      </c>
      <c r="B1884" s="3">
        <v>0.24228869684304255</v>
      </c>
      <c r="C1884" s="3">
        <v>7.3376855403065266E-2</v>
      </c>
      <c r="D1884" s="1">
        <v>65666.85754430735</v>
      </c>
      <c r="E1884" s="1">
        <v>2825121</v>
      </c>
      <c r="F1884" s="1">
        <v>15046506</v>
      </c>
      <c r="G1884" s="16">
        <v>21757.491620268756</v>
      </c>
      <c r="H1884">
        <v>301.32</v>
      </c>
      <c r="I1884" s="1">
        <v>792.05</v>
      </c>
      <c r="J1884" s="16">
        <v>87424.34916457611</v>
      </c>
      <c r="K1884" s="5">
        <v>3.9515523163348547E-2</v>
      </c>
      <c r="L1884" s="10">
        <v>35356.955099999999</v>
      </c>
    </row>
    <row r="1885" spans="1:12" x14ac:dyDescent="0.25">
      <c r="A1885">
        <v>1884</v>
      </c>
      <c r="B1885" s="3">
        <v>0.12475308634078087</v>
      </c>
      <c r="C1885" s="3">
        <v>4.7710703242855729E-2</v>
      </c>
      <c r="D1885" s="1">
        <v>367696.50284851337</v>
      </c>
      <c r="E1885" s="1">
        <v>13397986</v>
      </c>
      <c r="F1885" s="1">
        <v>44906861</v>
      </c>
      <c r="G1885" s="16">
        <v>11314.435698288467</v>
      </c>
      <c r="H1885">
        <v>33.15</v>
      </c>
      <c r="I1885" s="1">
        <v>169.09</v>
      </c>
      <c r="J1885" s="16">
        <v>379010.93854680186</v>
      </c>
      <c r="K1885" s="5">
        <v>-2.6893981150676694E-2</v>
      </c>
      <c r="L1885" s="10">
        <v>-101452.88039999999</v>
      </c>
    </row>
    <row r="1886" spans="1:12" x14ac:dyDescent="0.25">
      <c r="A1886">
        <v>1885</v>
      </c>
      <c r="B1886" s="3">
        <v>0.2054970345338778</v>
      </c>
      <c r="C1886" s="3">
        <v>2.1327681642530461E-2</v>
      </c>
      <c r="D1886" s="1">
        <v>45833.26635117166</v>
      </c>
      <c r="E1886" s="1">
        <v>1710398</v>
      </c>
      <c r="F1886" s="1">
        <v>13855449</v>
      </c>
      <c r="G1886" s="16">
        <v>15554.02082985802</v>
      </c>
      <c r="H1886">
        <v>93.13</v>
      </c>
      <c r="I1886" s="1">
        <v>380.98</v>
      </c>
      <c r="J1886" s="16">
        <v>61387.287181029678</v>
      </c>
      <c r="K1886" s="5">
        <v>0.23815633338536082</v>
      </c>
      <c r="L1886" s="10">
        <v>623047.04909999995</v>
      </c>
    </row>
    <row r="1887" spans="1:12" x14ac:dyDescent="0.25">
      <c r="A1887">
        <v>1886</v>
      </c>
      <c r="B1887" s="3">
        <v>0.17228506128170015</v>
      </c>
      <c r="C1887" s="3">
        <v>2.3099108773306766E-2</v>
      </c>
      <c r="D1887" s="1">
        <v>429237.58348438633</v>
      </c>
      <c r="E1887" s="1">
        <v>20677434</v>
      </c>
      <c r="F1887" s="1">
        <v>66049205</v>
      </c>
      <c r="G1887" s="16">
        <v>25937.404062903643</v>
      </c>
      <c r="H1887">
        <v>146.54</v>
      </c>
      <c r="I1887" s="1">
        <v>518.6</v>
      </c>
      <c r="J1887" s="16">
        <v>455174.98754728999</v>
      </c>
      <c r="K1887" s="5">
        <v>-6.5254266814230952E-2</v>
      </c>
      <c r="L1887" s="10">
        <v>-1064735.5688</v>
      </c>
    </row>
    <row r="1888" spans="1:12" x14ac:dyDescent="0.25">
      <c r="A1888">
        <v>1887</v>
      </c>
      <c r="B1888" s="3">
        <v>0.14316041413394992</v>
      </c>
      <c r="C1888" s="3">
        <v>5.7483752264979912E-2</v>
      </c>
      <c r="D1888" s="1">
        <v>129381.04568235397</v>
      </c>
      <c r="E1888" s="1">
        <v>3849238</v>
      </c>
      <c r="F1888" s="1">
        <v>19637576</v>
      </c>
      <c r="G1888" s="16">
        <v>12936.486256790622</v>
      </c>
      <c r="H1888">
        <v>49.34</v>
      </c>
      <c r="I1888" s="1">
        <v>198.19</v>
      </c>
      <c r="J1888" s="16">
        <v>142317.5319391446</v>
      </c>
      <c r="K1888" s="5">
        <v>0.2383900261128041</v>
      </c>
      <c r="L1888" s="10">
        <v>448223.75790000003</v>
      </c>
    </row>
    <row r="1889" spans="1:12" x14ac:dyDescent="0.25">
      <c r="A1889">
        <v>1888</v>
      </c>
      <c r="B1889" s="3">
        <v>0.20070677456415767</v>
      </c>
      <c r="C1889" s="3">
        <v>2.2683976165399352E-2</v>
      </c>
      <c r="D1889" s="1">
        <v>358725.44490823679</v>
      </c>
      <c r="E1889" s="1">
        <v>20579482</v>
      </c>
      <c r="F1889" s="1">
        <v>74385988</v>
      </c>
      <c r="G1889" s="16">
        <v>21835.361155296494</v>
      </c>
      <c r="H1889">
        <v>157.74</v>
      </c>
      <c r="I1889" s="1">
        <v>447.79</v>
      </c>
      <c r="J1889" s="16">
        <v>380560.80606353329</v>
      </c>
      <c r="K1889" s="5">
        <v>3.841556582031741E-2</v>
      </c>
      <c r="L1889" s="10">
        <v>629162.45550000004</v>
      </c>
    </row>
    <row r="1890" spans="1:12" x14ac:dyDescent="0.25">
      <c r="A1890">
        <v>1889</v>
      </c>
      <c r="B1890" s="3">
        <v>0.15442287981989009</v>
      </c>
      <c r="C1890" s="3">
        <v>7.8731054871144512E-2</v>
      </c>
      <c r="D1890" s="1">
        <v>107761.91450087476</v>
      </c>
      <c r="E1890" s="1">
        <v>3335863</v>
      </c>
      <c r="F1890" s="1">
        <v>18256070</v>
      </c>
      <c r="G1890" s="16">
        <v>23618.170065802056</v>
      </c>
      <c r="H1890">
        <v>97.28</v>
      </c>
      <c r="I1890" s="1">
        <v>345.11</v>
      </c>
      <c r="J1890" s="16">
        <v>131380.08456667681</v>
      </c>
      <c r="K1890" s="5">
        <v>0.15856246884784447</v>
      </c>
      <c r="L1890" s="10">
        <v>185613.56899999999</v>
      </c>
    </row>
    <row r="1891" spans="1:12" x14ac:dyDescent="0.25">
      <c r="A1891">
        <v>1890</v>
      </c>
      <c r="B1891" s="3">
        <v>0.16824923420882787</v>
      </c>
      <c r="C1891" s="3">
        <v>6.6191863342209889E-2</v>
      </c>
      <c r="D1891" s="1">
        <v>100286.86871994002</v>
      </c>
      <c r="E1891" s="1">
        <v>3261872</v>
      </c>
      <c r="F1891" s="1">
        <v>20885846</v>
      </c>
      <c r="G1891" s="16">
        <v>25115.385278367117</v>
      </c>
      <c r="H1891">
        <v>137.16999999999999</v>
      </c>
      <c r="I1891" s="1">
        <v>411.86</v>
      </c>
      <c r="J1891" s="16">
        <v>125402.25399830713</v>
      </c>
      <c r="K1891" s="5">
        <v>9.8291770296993153E-2</v>
      </c>
      <c r="L1891" s="10">
        <v>122494.5243</v>
      </c>
    </row>
    <row r="1892" spans="1:12" x14ac:dyDescent="0.25">
      <c r="A1892">
        <v>1891</v>
      </c>
      <c r="B1892" s="3">
        <v>0.16720481955862815</v>
      </c>
      <c r="C1892" s="3">
        <v>5.5928779837292358E-2</v>
      </c>
      <c r="D1892" s="1">
        <v>61268.251467946153</v>
      </c>
      <c r="E1892" s="1">
        <v>1653338</v>
      </c>
      <c r="F1892" s="1">
        <v>10141132</v>
      </c>
      <c r="G1892" s="16">
        <v>29598.354373068036</v>
      </c>
      <c r="H1892">
        <v>160.38999999999999</v>
      </c>
      <c r="I1892" s="1">
        <v>572.17999999999995</v>
      </c>
      <c r="J1892" s="16">
        <v>90866.605841014185</v>
      </c>
      <c r="K1892" s="5">
        <v>0.13654236644295775</v>
      </c>
      <c r="L1892" s="10">
        <v>172002.02739999999</v>
      </c>
    </row>
    <row r="1893" spans="1:12" x14ac:dyDescent="0.25">
      <c r="A1893">
        <v>1892</v>
      </c>
      <c r="B1893" s="3">
        <v>0.12168351624950997</v>
      </c>
      <c r="C1893" s="3">
        <v>4.4694036953452879E-2</v>
      </c>
      <c r="D1893" s="1">
        <v>111559.14086376166</v>
      </c>
      <c r="E1893" s="1">
        <v>3081445</v>
      </c>
      <c r="F1893" s="1">
        <v>18887345</v>
      </c>
      <c r="G1893" s="16">
        <v>18065.164884050755</v>
      </c>
      <c r="H1893">
        <v>59.19</v>
      </c>
      <c r="I1893" s="1">
        <v>236.8</v>
      </c>
      <c r="J1893" s="16">
        <v>129624.30574781241</v>
      </c>
      <c r="K1893" s="5">
        <v>-3.1154982112488877E-3</v>
      </c>
      <c r="L1893" s="10">
        <v>31917.855500000001</v>
      </c>
    </row>
    <row r="1894" spans="1:12" x14ac:dyDescent="0.25">
      <c r="A1894">
        <v>1893</v>
      </c>
      <c r="B1894" s="3">
        <v>0.17887356696127954</v>
      </c>
      <c r="C1894" s="3">
        <v>4.6762760027109315E-2</v>
      </c>
      <c r="D1894" s="1">
        <v>91150.050490090405</v>
      </c>
      <c r="E1894" s="1">
        <v>3081263</v>
      </c>
      <c r="F1894" s="1">
        <v>16954443</v>
      </c>
      <c r="G1894" s="16">
        <v>30674.348469680197</v>
      </c>
      <c r="H1894">
        <v>183.23</v>
      </c>
      <c r="I1894" s="1">
        <v>664.98</v>
      </c>
      <c r="J1894" s="16">
        <v>121824.39895977059</v>
      </c>
      <c r="K1894" s="5">
        <v>6.2491335544220733E-2</v>
      </c>
      <c r="L1894" s="10">
        <v>135937.04550000001</v>
      </c>
    </row>
    <row r="1895" spans="1:12" x14ac:dyDescent="0.25">
      <c r="A1895">
        <v>1894</v>
      </c>
      <c r="B1895" s="3">
        <v>0.1022304045097315</v>
      </c>
      <c r="C1895" s="3">
        <v>2.3753387852409984E-2</v>
      </c>
      <c r="D1895" s="1">
        <v>158565.05087021115</v>
      </c>
      <c r="E1895" s="1">
        <v>4568261</v>
      </c>
      <c r="F1895" s="1">
        <v>27325756</v>
      </c>
      <c r="G1895" s="16">
        <v>77772.941041372775</v>
      </c>
      <c r="H1895">
        <v>277.44</v>
      </c>
      <c r="I1895" s="1">
        <v>963.58000000000015</v>
      </c>
      <c r="J1895" s="16">
        <v>236337.99191158393</v>
      </c>
      <c r="K1895" s="5">
        <v>6.9449819345884012E-2</v>
      </c>
      <c r="L1895" s="10">
        <v>660322.67839999998</v>
      </c>
    </row>
    <row r="1896" spans="1:12" x14ac:dyDescent="0.25">
      <c r="A1896">
        <v>1895</v>
      </c>
      <c r="B1896" s="3">
        <v>0.18940008953537368</v>
      </c>
      <c r="C1896" s="3">
        <v>5.293938384445368E-2</v>
      </c>
      <c r="D1896" s="1">
        <v>132525.81123339632</v>
      </c>
      <c r="E1896" s="1">
        <v>5744826</v>
      </c>
      <c r="F1896" s="1">
        <v>25745079</v>
      </c>
      <c r="G1896" s="16">
        <v>37076.198456871491</v>
      </c>
      <c r="H1896">
        <v>242.67</v>
      </c>
      <c r="I1896" s="1">
        <v>627.17999999999995</v>
      </c>
      <c r="J1896" s="16">
        <v>169602.00969026782</v>
      </c>
      <c r="K1896" s="5">
        <v>6.2195264177877699E-2</v>
      </c>
      <c r="L1896" s="10">
        <v>180891.13140000001</v>
      </c>
    </row>
    <row r="1897" spans="1:12" x14ac:dyDescent="0.25">
      <c r="A1897">
        <v>1896</v>
      </c>
      <c r="B1897" s="3">
        <v>0.2040495928641563</v>
      </c>
      <c r="C1897" s="3">
        <v>3.7690092076518383E-2</v>
      </c>
      <c r="D1897" s="1">
        <v>165643.17571327859</v>
      </c>
      <c r="E1897" s="1">
        <v>7723821</v>
      </c>
      <c r="F1897" s="1">
        <v>40179940</v>
      </c>
      <c r="G1897" s="16">
        <v>15190.065449046855</v>
      </c>
      <c r="H1897">
        <v>89.79</v>
      </c>
      <c r="I1897" s="1">
        <v>293.17</v>
      </c>
      <c r="J1897" s="16">
        <v>180833.24116232543</v>
      </c>
      <c r="K1897" s="5">
        <v>0.29803465328264228</v>
      </c>
      <c r="L1897" s="10">
        <v>1169398.3392</v>
      </c>
    </row>
    <row r="1898" spans="1:12" x14ac:dyDescent="0.25">
      <c r="A1898">
        <v>1897</v>
      </c>
      <c r="B1898" s="3">
        <v>0.14295885316043544</v>
      </c>
      <c r="C1898" s="3">
        <v>6.7002876668307662E-2</v>
      </c>
      <c r="D1898" s="1">
        <v>261984.81191873187</v>
      </c>
      <c r="E1898" s="1">
        <v>10604022</v>
      </c>
      <c r="F1898" s="1">
        <v>46108111</v>
      </c>
      <c r="G1898" s="16">
        <v>28180.087723275119</v>
      </c>
      <c r="H1898">
        <v>107.06</v>
      </c>
      <c r="I1898" s="1">
        <v>333.46</v>
      </c>
      <c r="J1898" s="16">
        <v>290164.89964200696</v>
      </c>
      <c r="K1898" s="5">
        <v>0.15593234695912264</v>
      </c>
      <c r="L1898" s="10">
        <v>447531.79229999997</v>
      </c>
    </row>
    <row r="1899" spans="1:12" x14ac:dyDescent="0.25">
      <c r="A1899">
        <v>1898</v>
      </c>
      <c r="B1899" s="3">
        <v>0.18153083710846896</v>
      </c>
      <c r="C1899" s="3">
        <v>2.2222648137245709E-2</v>
      </c>
      <c r="D1899" s="1">
        <v>463511.34912547143</v>
      </c>
      <c r="E1899" s="1">
        <v>23618446</v>
      </c>
      <c r="F1899" s="1">
        <v>79158198</v>
      </c>
      <c r="G1899" s="16">
        <v>22136.272400611808</v>
      </c>
      <c r="H1899">
        <v>110.79</v>
      </c>
      <c r="I1899" s="1">
        <v>367.43</v>
      </c>
      <c r="J1899" s="16">
        <v>485647.62152608321</v>
      </c>
      <c r="K1899" s="5">
        <v>-2.2560435022565023E-2</v>
      </c>
      <c r="L1899" s="10">
        <v>-330637.12410000002</v>
      </c>
    </row>
    <row r="1900" spans="1:12" x14ac:dyDescent="0.25">
      <c r="A1900">
        <v>1899</v>
      </c>
      <c r="B1900" s="3">
        <v>0.21684742246054434</v>
      </c>
      <c r="C1900" s="3">
        <v>3.8618667773246247E-2</v>
      </c>
      <c r="D1900" s="1">
        <v>147637.13596309995</v>
      </c>
      <c r="E1900" s="1">
        <v>5752534</v>
      </c>
      <c r="F1900" s="1">
        <v>19864123</v>
      </c>
      <c r="G1900" s="16">
        <v>23526.017686445648</v>
      </c>
      <c r="H1900">
        <v>195.96</v>
      </c>
      <c r="I1900" s="1">
        <v>601.27</v>
      </c>
      <c r="J1900" s="16">
        <v>171163.15364954559</v>
      </c>
      <c r="K1900" s="5">
        <v>0.16587126923711418</v>
      </c>
      <c r="L1900" s="10">
        <v>585664.02709999995</v>
      </c>
    </row>
    <row r="1901" spans="1:12" x14ac:dyDescent="0.25">
      <c r="A1901">
        <v>1900</v>
      </c>
      <c r="B1901" s="3">
        <v>0.17661162781382364</v>
      </c>
      <c r="C1901" s="3">
        <v>6.0107371935481727E-2</v>
      </c>
      <c r="D1901" s="1">
        <v>61026.738989097692</v>
      </c>
      <c r="E1901" s="1">
        <v>2484867</v>
      </c>
      <c r="F1901" s="1">
        <v>22038338</v>
      </c>
      <c r="G1901" s="16">
        <v>51892.452309072985</v>
      </c>
      <c r="H1901">
        <v>369.62</v>
      </c>
      <c r="I1901" s="1">
        <v>1052.23</v>
      </c>
      <c r="J1901" s="16">
        <v>112919.19129817068</v>
      </c>
      <c r="K1901" s="5">
        <v>0.10988074976523066</v>
      </c>
      <c r="L1901" s="10">
        <v>155098.89319999999</v>
      </c>
    </row>
    <row r="1902" spans="1:12" x14ac:dyDescent="0.25">
      <c r="A1902">
        <v>1901</v>
      </c>
      <c r="B1902" s="3">
        <v>0.22224196531791887</v>
      </c>
      <c r="C1902" s="3">
        <v>5.4425632814153177E-2</v>
      </c>
      <c r="D1902" s="1">
        <v>76438.815031613005</v>
      </c>
      <c r="E1902" s="1">
        <v>3909664</v>
      </c>
      <c r="F1902" s="1">
        <v>23537290</v>
      </c>
      <c r="G1902" s="16">
        <v>20055.118794896698</v>
      </c>
      <c r="H1902">
        <v>175.18</v>
      </c>
      <c r="I1902" s="1">
        <v>581.1400000000001</v>
      </c>
      <c r="J1902" s="16">
        <v>96493.933826509703</v>
      </c>
      <c r="K1902" s="5">
        <v>0.23437701327009686</v>
      </c>
      <c r="L1902" s="10">
        <v>319037.46529999998</v>
      </c>
    </row>
    <row r="1903" spans="1:12" x14ac:dyDescent="0.25">
      <c r="A1903">
        <v>1902</v>
      </c>
      <c r="B1903" s="3">
        <v>0.11617748973456456</v>
      </c>
      <c r="C1903" s="3">
        <v>5.6955182354533465E-2</v>
      </c>
      <c r="D1903" s="1">
        <v>956033.59339725366</v>
      </c>
      <c r="E1903" s="1">
        <v>37539251</v>
      </c>
      <c r="F1903" s="1">
        <v>95472392</v>
      </c>
      <c r="G1903" s="16">
        <v>19165.859925559209</v>
      </c>
      <c r="H1903">
        <v>60.45</v>
      </c>
      <c r="I1903" s="1">
        <v>234.89999999999998</v>
      </c>
      <c r="J1903" s="16">
        <v>975199.45332281291</v>
      </c>
      <c r="K1903" s="5">
        <v>0.20773524529417889</v>
      </c>
      <c r="L1903" s="10">
        <v>2458776.3933000001</v>
      </c>
    </row>
    <row r="1904" spans="1:12" x14ac:dyDescent="0.25">
      <c r="A1904">
        <v>1903</v>
      </c>
      <c r="B1904" s="3">
        <v>0.2296569627473285</v>
      </c>
      <c r="C1904" s="3">
        <v>5.2264080432157273E-2</v>
      </c>
      <c r="D1904" s="1">
        <v>123860.20899189445</v>
      </c>
      <c r="E1904" s="1">
        <v>6582608</v>
      </c>
      <c r="F1904" s="1">
        <v>32815570</v>
      </c>
      <c r="G1904" s="16">
        <v>15617.307451626482</v>
      </c>
      <c r="H1904">
        <v>145.96</v>
      </c>
      <c r="I1904" s="1">
        <v>570.74</v>
      </c>
      <c r="J1904" s="16">
        <v>139477.51644352093</v>
      </c>
      <c r="K1904" s="5">
        <v>7.8083375538416711E-2</v>
      </c>
      <c r="L1904" s="10">
        <v>213989.46170000001</v>
      </c>
    </row>
    <row r="1905" spans="1:12" x14ac:dyDescent="0.25">
      <c r="A1905">
        <v>1904</v>
      </c>
      <c r="B1905" s="3">
        <v>0.15918808556980832</v>
      </c>
      <c r="C1905" s="3">
        <v>3.727792376232205E-2</v>
      </c>
      <c r="D1905" s="1">
        <v>103603.72117561314</v>
      </c>
      <c r="E1905" s="1">
        <v>3261982</v>
      </c>
      <c r="F1905" s="1">
        <v>12658745</v>
      </c>
      <c r="G1905" s="16">
        <v>34659.890816545383</v>
      </c>
      <c r="H1905">
        <v>175.52</v>
      </c>
      <c r="I1905" s="1">
        <v>464.49</v>
      </c>
      <c r="J1905" s="16">
        <v>138263.61199215852</v>
      </c>
      <c r="K1905" s="5">
        <v>7.0825651054026217E-2</v>
      </c>
      <c r="L1905" s="10">
        <v>222986.1735</v>
      </c>
    </row>
    <row r="1906" spans="1:12" x14ac:dyDescent="0.25">
      <c r="A1906">
        <v>1905</v>
      </c>
      <c r="B1906" s="3">
        <v>0.10864790278545997</v>
      </c>
      <c r="C1906" s="3">
        <v>4.3799305135461472E-2</v>
      </c>
      <c r="D1906" s="1">
        <v>93327.49870275562</v>
      </c>
      <c r="E1906" s="1">
        <v>2466410</v>
      </c>
      <c r="F1906" s="1">
        <v>15678536</v>
      </c>
      <c r="G1906" s="16">
        <v>71276.743611934085</v>
      </c>
      <c r="H1906">
        <v>240</v>
      </c>
      <c r="I1906" s="1">
        <v>571.19999999999993</v>
      </c>
      <c r="J1906" s="16">
        <v>164604.24231468971</v>
      </c>
      <c r="K1906" s="5">
        <v>-4.7428993268556416E-3</v>
      </c>
      <c r="L1906" s="10">
        <v>12250.145</v>
      </c>
    </row>
    <row r="1907" spans="1:12" x14ac:dyDescent="0.25">
      <c r="A1907">
        <v>1906</v>
      </c>
      <c r="B1907" s="3">
        <v>0.15240766536474484</v>
      </c>
      <c r="C1907" s="3">
        <v>2.4729795269689873E-2</v>
      </c>
      <c r="D1907" s="1">
        <v>412346.79225215805</v>
      </c>
      <c r="E1907" s="1">
        <v>17641291</v>
      </c>
      <c r="F1907" s="1">
        <v>52403067</v>
      </c>
      <c r="G1907" s="16">
        <v>18941.387511835124</v>
      </c>
      <c r="H1907">
        <v>90.64</v>
      </c>
      <c r="I1907" s="1">
        <v>404.67999999999995</v>
      </c>
      <c r="J1907" s="16">
        <v>431288.17976399319</v>
      </c>
      <c r="K1907" s="5">
        <v>8.7402822278423928E-3</v>
      </c>
      <c r="L1907" s="10">
        <v>209831.59839999999</v>
      </c>
    </row>
    <row r="1908" spans="1:12" x14ac:dyDescent="0.25">
      <c r="A1908">
        <v>1907</v>
      </c>
      <c r="B1908" s="3">
        <v>0.19737832837614697</v>
      </c>
      <c r="C1908" s="3">
        <v>5.910942466643801E-2</v>
      </c>
      <c r="D1908" s="1">
        <v>132161.23968362308</v>
      </c>
      <c r="E1908" s="1">
        <v>4783811</v>
      </c>
      <c r="F1908" s="1">
        <v>16881105</v>
      </c>
      <c r="G1908" s="16">
        <v>15471.315064696082</v>
      </c>
      <c r="H1908">
        <v>87.13</v>
      </c>
      <c r="I1908" s="1">
        <v>269.95999999999998</v>
      </c>
      <c r="J1908" s="16">
        <v>147632.55474831915</v>
      </c>
      <c r="K1908" s="5">
        <v>7.0467956962134953E-2</v>
      </c>
      <c r="L1908" s="10">
        <v>128654.1464</v>
      </c>
    </row>
    <row r="1909" spans="1:12" x14ac:dyDescent="0.25">
      <c r="A1909">
        <v>1908</v>
      </c>
      <c r="B1909" s="3">
        <v>0.22182309034334299</v>
      </c>
      <c r="C1909" s="3">
        <v>7.3422224154707519E-2</v>
      </c>
      <c r="D1909" s="1">
        <v>172149.67828092218</v>
      </c>
      <c r="E1909" s="1">
        <v>8786102</v>
      </c>
      <c r="F1909" s="1">
        <v>34430899</v>
      </c>
      <c r="G1909" s="16">
        <v>38987.565564960867</v>
      </c>
      <c r="H1909">
        <v>436.49</v>
      </c>
      <c r="I1909" s="1">
        <v>1105.27</v>
      </c>
      <c r="J1909" s="16">
        <v>211137.24384588306</v>
      </c>
      <c r="K1909" s="5">
        <v>0.11529664361654363</v>
      </c>
      <c r="L1909" s="10">
        <v>245933.38570000001</v>
      </c>
    </row>
    <row r="1910" spans="1:12" x14ac:dyDescent="0.25">
      <c r="A1910">
        <v>1909</v>
      </c>
      <c r="B1910" s="3">
        <v>0.24426123518558143</v>
      </c>
      <c r="C1910" s="3">
        <v>4.6942588653491296E-2</v>
      </c>
      <c r="D1910" s="1">
        <v>53585.252060470833</v>
      </c>
      <c r="E1910" s="1">
        <v>2323451</v>
      </c>
      <c r="F1910" s="1">
        <v>11800727</v>
      </c>
      <c r="G1910" s="16">
        <v>56047.622807961656</v>
      </c>
      <c r="H1910">
        <v>1049.6099999999999</v>
      </c>
      <c r="I1910" s="1">
        <v>2258.85</v>
      </c>
      <c r="J1910" s="16">
        <v>109632.8748684325</v>
      </c>
      <c r="K1910" s="5">
        <v>0.22821507957014869</v>
      </c>
      <c r="L1910" s="10">
        <v>404596.77669999999</v>
      </c>
    </row>
    <row r="1911" spans="1:12" x14ac:dyDescent="0.25">
      <c r="A1911">
        <v>1910</v>
      </c>
      <c r="B1911" s="3">
        <v>0.23550629271583021</v>
      </c>
      <c r="C1911" s="3">
        <v>2.7784530751069222E-2</v>
      </c>
      <c r="D1911" s="1">
        <v>100998.2260371726</v>
      </c>
      <c r="E1911" s="1">
        <v>5533767</v>
      </c>
      <c r="F1911" s="1">
        <v>25155074</v>
      </c>
      <c r="G1911" s="16">
        <v>23485.035207023317</v>
      </c>
      <c r="H1911">
        <v>231.77</v>
      </c>
      <c r="I1911" s="1">
        <v>733.58</v>
      </c>
      <c r="J1911" s="16">
        <v>124483.26124419592</v>
      </c>
      <c r="K1911" s="5">
        <v>8.3559390850233783E-2</v>
      </c>
      <c r="L1911" s="10">
        <v>336571.35210000002</v>
      </c>
    </row>
    <row r="1912" spans="1:12" x14ac:dyDescent="0.25">
      <c r="A1912">
        <v>1911</v>
      </c>
      <c r="B1912" s="3">
        <v>0.12954728690589434</v>
      </c>
      <c r="C1912" s="3">
        <v>3.8968691578405129E-2</v>
      </c>
      <c r="D1912" s="1">
        <v>111662.05338173144</v>
      </c>
      <c r="E1912" s="1">
        <v>3640223</v>
      </c>
      <c r="F1912" s="1">
        <v>22619731</v>
      </c>
      <c r="G1912" s="16">
        <v>55677.208252886121</v>
      </c>
      <c r="H1912">
        <v>221.37</v>
      </c>
      <c r="I1912" s="1">
        <v>646.74</v>
      </c>
      <c r="J1912" s="16">
        <v>167339.26163461758</v>
      </c>
      <c r="K1912" s="5">
        <v>9.2087639127581139E-4</v>
      </c>
      <c r="L1912" s="10">
        <v>13812.837299999999</v>
      </c>
    </row>
    <row r="1913" spans="1:12" x14ac:dyDescent="0.25">
      <c r="A1913">
        <v>1912</v>
      </c>
      <c r="B1913" s="3">
        <v>0.23039450207264742</v>
      </c>
      <c r="C1913" s="3">
        <v>6.7545769829326058E-2</v>
      </c>
      <c r="D1913" s="1">
        <v>88208.230730149895</v>
      </c>
      <c r="E1913" s="1">
        <v>3621658</v>
      </c>
      <c r="F1913" s="1">
        <v>21256904</v>
      </c>
      <c r="G1913" s="16">
        <v>9991.1389940126355</v>
      </c>
      <c r="H1913">
        <v>72.23</v>
      </c>
      <c r="I1913" s="1">
        <v>327.84000000000003</v>
      </c>
      <c r="J1913" s="16">
        <v>98199.369724162534</v>
      </c>
      <c r="K1913" s="5">
        <v>0.31073086015650847</v>
      </c>
      <c r="L1913" s="10">
        <v>335976.72879999998</v>
      </c>
    </row>
    <row r="1914" spans="1:12" x14ac:dyDescent="0.25">
      <c r="A1914">
        <v>1913</v>
      </c>
      <c r="B1914" s="3">
        <v>0.14062292132193838</v>
      </c>
      <c r="C1914" s="3">
        <v>6.1349495982267119E-2</v>
      </c>
      <c r="D1914" s="1">
        <v>144153.51391577732</v>
      </c>
      <c r="E1914" s="1">
        <v>4250858</v>
      </c>
      <c r="F1914" s="1">
        <v>17500993</v>
      </c>
      <c r="G1914" s="16">
        <v>36533.133998453508</v>
      </c>
      <c r="H1914">
        <v>158.75</v>
      </c>
      <c r="I1914" s="1">
        <v>536.78</v>
      </c>
      <c r="J1914" s="16">
        <v>180686.64791423082</v>
      </c>
      <c r="K1914" s="5">
        <v>0.3558193698771086</v>
      </c>
      <c r="L1914" s="10">
        <v>726926.40989999997</v>
      </c>
    </row>
    <row r="1915" spans="1:12" x14ac:dyDescent="0.25">
      <c r="A1915">
        <v>1914</v>
      </c>
      <c r="B1915" s="3">
        <v>0.21321174408463128</v>
      </c>
      <c r="C1915" s="3">
        <v>2.5851515024815291E-2</v>
      </c>
      <c r="D1915" s="1">
        <v>152548.34647601805</v>
      </c>
      <c r="E1915" s="1">
        <v>5861885</v>
      </c>
      <c r="F1915" s="1">
        <v>21023812</v>
      </c>
      <c r="G1915" s="16">
        <v>5974.4858229812917</v>
      </c>
      <c r="H1915">
        <v>29.79</v>
      </c>
      <c r="I1915" s="1">
        <v>160.01999999999998</v>
      </c>
      <c r="J1915" s="16">
        <v>158522.83229899933</v>
      </c>
      <c r="K1915" s="5">
        <v>5.2232939087350945E-2</v>
      </c>
      <c r="L1915" s="10">
        <v>298732.86599999998</v>
      </c>
    </row>
    <row r="1916" spans="1:12" x14ac:dyDescent="0.25">
      <c r="A1916">
        <v>1915</v>
      </c>
      <c r="B1916" s="3">
        <v>0.19265118427262495</v>
      </c>
      <c r="C1916" s="3">
        <v>2.0817446817778612E-2</v>
      </c>
      <c r="D1916" s="1">
        <v>100788.59904351392</v>
      </c>
      <c r="E1916" s="1">
        <v>4439861</v>
      </c>
      <c r="F1916" s="1">
        <v>25955723</v>
      </c>
      <c r="G1916" s="16">
        <v>20251.297033421455</v>
      </c>
      <c r="H1916">
        <v>136.26</v>
      </c>
      <c r="I1916" s="1">
        <v>386.52</v>
      </c>
      <c r="J1916" s="16">
        <v>121039.89607693537</v>
      </c>
      <c r="K1916" s="5">
        <v>1.7280708040109963E-2</v>
      </c>
      <c r="L1916" s="10">
        <v>129198.8974</v>
      </c>
    </row>
    <row r="1917" spans="1:12" x14ac:dyDescent="0.25">
      <c r="A1917">
        <v>1916</v>
      </c>
      <c r="B1917" s="3">
        <v>0.22312800715603215</v>
      </c>
      <c r="C1917" s="3">
        <v>3.9773564475967381E-2</v>
      </c>
      <c r="D1917" s="1">
        <v>214085.7292946938</v>
      </c>
      <c r="E1917" s="1">
        <v>10999996</v>
      </c>
      <c r="F1917" s="1">
        <v>39824343</v>
      </c>
      <c r="G1917" s="16">
        <v>13309.869476808293</v>
      </c>
      <c r="H1917">
        <v>91.23</v>
      </c>
      <c r="I1917" s="1">
        <v>327.10000000000002</v>
      </c>
      <c r="J1917" s="16">
        <v>227395.59877150209</v>
      </c>
      <c r="K1917" s="5">
        <v>0.15360089003478353</v>
      </c>
      <c r="L1917" s="10">
        <v>696230.55740000005</v>
      </c>
    </row>
    <row r="1918" spans="1:12" x14ac:dyDescent="0.25">
      <c r="A1918">
        <v>1917</v>
      </c>
      <c r="B1918" s="3">
        <v>0.20783013811543816</v>
      </c>
      <c r="C1918" s="3">
        <v>5.2568018286270377E-2</v>
      </c>
      <c r="D1918" s="1">
        <v>144919.5115382603</v>
      </c>
      <c r="E1918" s="1">
        <v>6887401</v>
      </c>
      <c r="F1918" s="1">
        <v>22634747</v>
      </c>
      <c r="G1918" s="16">
        <v>6787.6573396183658</v>
      </c>
      <c r="H1918">
        <v>41.32</v>
      </c>
      <c r="I1918" s="1">
        <v>219.3</v>
      </c>
      <c r="J1918" s="16">
        <v>151707.16887787866</v>
      </c>
      <c r="K1918" s="5">
        <v>0.28889809017064677</v>
      </c>
      <c r="L1918" s="10">
        <v>601591.17989999999</v>
      </c>
    </row>
    <row r="1919" spans="1:12" x14ac:dyDescent="0.25">
      <c r="A1919">
        <v>1918</v>
      </c>
      <c r="B1919" s="3">
        <v>0.22527730323870657</v>
      </c>
      <c r="C1919" s="3">
        <v>4.8074919559420518E-2</v>
      </c>
      <c r="D1919" s="1">
        <v>241296.71051042381</v>
      </c>
      <c r="E1919" s="1">
        <v>12536297</v>
      </c>
      <c r="F1919" s="1">
        <v>38114645</v>
      </c>
      <c r="G1919" s="16">
        <v>12352.721342162587</v>
      </c>
      <c r="H1919">
        <v>85.97</v>
      </c>
      <c r="I1919" s="1">
        <v>342.63</v>
      </c>
      <c r="J1919" s="16">
        <v>253649.43185258639</v>
      </c>
      <c r="K1919" s="5">
        <v>6.2274446989636217E-2</v>
      </c>
      <c r="L1919" s="10">
        <v>245256.25940000001</v>
      </c>
    </row>
    <row r="1920" spans="1:12" x14ac:dyDescent="0.25">
      <c r="A1920">
        <v>1919</v>
      </c>
      <c r="B1920" s="3">
        <v>0.2317060864432732</v>
      </c>
      <c r="C1920" s="3">
        <v>7.7697187758644759E-2</v>
      </c>
      <c r="D1920" s="1">
        <v>146406.74370277397</v>
      </c>
      <c r="E1920" s="1">
        <v>7864207</v>
      </c>
      <c r="F1920" s="1">
        <v>30263965</v>
      </c>
      <c r="G1920" s="16">
        <v>9135.0285705048173</v>
      </c>
      <c r="H1920">
        <v>66.959999999999994</v>
      </c>
      <c r="I1920" s="1">
        <v>251.35000000000002</v>
      </c>
      <c r="J1920" s="16">
        <v>155541.7722732788</v>
      </c>
      <c r="K1920" s="5">
        <v>0.22055362486313101</v>
      </c>
      <c r="L1920" s="10">
        <v>295801.96269999997</v>
      </c>
    </row>
    <row r="1921" spans="1:12" x14ac:dyDescent="0.25">
      <c r="A1921">
        <v>1920</v>
      </c>
      <c r="B1921" s="3">
        <v>0.24264398587955266</v>
      </c>
      <c r="C1921" s="3">
        <v>4.0961979093583178E-2</v>
      </c>
      <c r="D1921" s="1">
        <v>189749.9636523131</v>
      </c>
      <c r="E1921" s="1">
        <v>14252274</v>
      </c>
      <c r="F1921" s="1">
        <v>53903325</v>
      </c>
      <c r="G1921" s="16">
        <v>22735.952713853119</v>
      </c>
      <c r="H1921">
        <v>315.63</v>
      </c>
      <c r="I1921" s="1">
        <v>1056.81</v>
      </c>
      <c r="J1921" s="16">
        <v>212485.91636616623</v>
      </c>
      <c r="K1921" s="5">
        <v>0.18401065546199663</v>
      </c>
      <c r="L1921" s="10">
        <v>778824.21169999999</v>
      </c>
    </row>
    <row r="1922" spans="1:12" x14ac:dyDescent="0.25">
      <c r="A1922">
        <v>1921</v>
      </c>
      <c r="B1922" s="3">
        <v>0.17326487686566078</v>
      </c>
      <c r="C1922" s="3">
        <v>7.8657662698521355E-2</v>
      </c>
      <c r="D1922" s="1">
        <v>219941.37389534339</v>
      </c>
      <c r="E1922" s="1">
        <v>8811381</v>
      </c>
      <c r="F1922" s="1">
        <v>42527850</v>
      </c>
      <c r="G1922" s="16">
        <v>14659.334046503678</v>
      </c>
      <c r="H1922">
        <v>69.11</v>
      </c>
      <c r="I1922" s="1">
        <v>208.05</v>
      </c>
      <c r="J1922" s="16">
        <v>234600.70794184707</v>
      </c>
      <c r="K1922" s="5">
        <v>-5.5975400519852586E-2</v>
      </c>
      <c r="L1922" s="10">
        <v>-94439.354600000006</v>
      </c>
    </row>
    <row r="1923" spans="1:12" x14ac:dyDescent="0.25">
      <c r="A1923">
        <v>1922</v>
      </c>
      <c r="B1923" s="3">
        <v>0.24158418759605724</v>
      </c>
      <c r="C1923" s="3">
        <v>3.6797341677309484E-2</v>
      </c>
      <c r="D1923" s="1">
        <v>54069.835489571356</v>
      </c>
      <c r="E1923" s="1">
        <v>1759314</v>
      </c>
      <c r="F1923" s="1">
        <v>10109926</v>
      </c>
      <c r="G1923" s="16">
        <v>10714.284326616431</v>
      </c>
      <c r="H1923">
        <v>84.78</v>
      </c>
      <c r="I1923" s="1">
        <v>244.85999999999999</v>
      </c>
      <c r="J1923" s="16">
        <v>64784.119816187784</v>
      </c>
      <c r="K1923" s="5">
        <v>4.2528580297418461E-3</v>
      </c>
      <c r="L1923" s="10">
        <v>8728.4572000000007</v>
      </c>
    </row>
    <row r="1924" spans="1:12" x14ac:dyDescent="0.25">
      <c r="A1924">
        <v>1923</v>
      </c>
      <c r="B1924" s="3">
        <v>0.16526814955564981</v>
      </c>
      <c r="C1924" s="3">
        <v>6.3032990969228181E-2</v>
      </c>
      <c r="D1924" s="1">
        <v>194400.35186121173</v>
      </c>
      <c r="E1924" s="1">
        <v>7493968</v>
      </c>
      <c r="F1924" s="1">
        <v>26829412</v>
      </c>
      <c r="G1924" s="16">
        <v>43153.302677509993</v>
      </c>
      <c r="H1924">
        <v>230.13</v>
      </c>
      <c r="I1924" s="1">
        <v>655.9</v>
      </c>
      <c r="J1924" s="16">
        <v>237553.65453872172</v>
      </c>
      <c r="K1924" s="5">
        <v>0.13401786525703352</v>
      </c>
      <c r="L1924" s="10">
        <v>339501.3823</v>
      </c>
    </row>
    <row r="1925" spans="1:12" x14ac:dyDescent="0.25">
      <c r="A1925">
        <v>1924</v>
      </c>
      <c r="B1925" s="3">
        <v>0.22076586580060426</v>
      </c>
      <c r="C1925" s="3">
        <v>2.7422022566030786E-2</v>
      </c>
      <c r="D1925" s="1">
        <v>46409.454509409035</v>
      </c>
      <c r="E1925" s="1">
        <v>2355795</v>
      </c>
      <c r="F1925" s="1">
        <v>21958811</v>
      </c>
      <c r="G1925" s="16">
        <v>10011.049714300787</v>
      </c>
      <c r="H1925">
        <v>86.38</v>
      </c>
      <c r="I1925" s="1">
        <v>406.67</v>
      </c>
      <c r="J1925" s="16">
        <v>56420.504223709824</v>
      </c>
      <c r="K1925" s="5">
        <v>5.6789186840628905E-2</v>
      </c>
      <c r="L1925" s="10">
        <v>122178.16770000001</v>
      </c>
    </row>
    <row r="1926" spans="1:12" x14ac:dyDescent="0.25">
      <c r="A1926">
        <v>1925</v>
      </c>
      <c r="B1926" s="3">
        <v>0.17242225594809885</v>
      </c>
      <c r="C1926" s="3">
        <v>4.2995925712515717E-2</v>
      </c>
      <c r="D1926" s="1">
        <v>89617.123856117512</v>
      </c>
      <c r="E1926" s="1">
        <v>2959156</v>
      </c>
      <c r="F1926" s="1">
        <v>21445970</v>
      </c>
      <c r="G1926" s="16">
        <v>35746.653601421931</v>
      </c>
      <c r="H1926">
        <v>202.38</v>
      </c>
      <c r="I1926" s="1">
        <v>537.54</v>
      </c>
      <c r="J1926" s="16">
        <v>125363.77745753944</v>
      </c>
      <c r="K1926" s="5">
        <v>0.17386822665606547</v>
      </c>
      <c r="L1926" s="10">
        <v>442091.97649999999</v>
      </c>
    </row>
    <row r="1927" spans="1:12" x14ac:dyDescent="0.25">
      <c r="A1927">
        <v>1926</v>
      </c>
      <c r="B1927" s="3">
        <v>0.14514336865498206</v>
      </c>
      <c r="C1927" s="3">
        <v>4.2548823134003766E-2</v>
      </c>
      <c r="D1927" s="1">
        <v>509252.34208943363</v>
      </c>
      <c r="E1927" s="1">
        <v>20877051</v>
      </c>
      <c r="F1927" s="1">
        <v>62646966</v>
      </c>
      <c r="G1927" s="16">
        <v>52451.515336007775</v>
      </c>
      <c r="H1927">
        <v>236.74</v>
      </c>
      <c r="I1927" s="1">
        <v>699.16</v>
      </c>
      <c r="J1927" s="16">
        <v>561703.85742544138</v>
      </c>
      <c r="K1927" s="5">
        <v>6.2800720066096105E-2</v>
      </c>
      <c r="L1927" s="10">
        <v>652869.67799999996</v>
      </c>
    </row>
    <row r="1928" spans="1:12" x14ac:dyDescent="0.25">
      <c r="A1928">
        <v>1927</v>
      </c>
      <c r="B1928" s="3">
        <v>0.13628692401736711</v>
      </c>
      <c r="C1928" s="3">
        <v>3.5572483130497504E-2</v>
      </c>
      <c r="D1928" s="1">
        <v>50032.955021622292</v>
      </c>
      <c r="E1928" s="1">
        <v>1255221</v>
      </c>
      <c r="F1928" s="1">
        <v>9627081</v>
      </c>
      <c r="G1928" s="16">
        <v>49102.481866657887</v>
      </c>
      <c r="H1928">
        <v>205.68</v>
      </c>
      <c r="I1928" s="1">
        <v>529.98</v>
      </c>
      <c r="J1928" s="16">
        <v>99135.436888280179</v>
      </c>
      <c r="K1928" s="5">
        <v>0.23581925087678737</v>
      </c>
      <c r="L1928" s="10">
        <v>534102.04150000005</v>
      </c>
    </row>
    <row r="1929" spans="1:12" x14ac:dyDescent="0.25">
      <c r="A1929">
        <v>1928</v>
      </c>
      <c r="B1929" s="3">
        <v>0.2375285189213254</v>
      </c>
      <c r="C1929" s="3">
        <v>7.5888340475399205E-2</v>
      </c>
      <c r="D1929" s="1">
        <v>84932.94573091589</v>
      </c>
      <c r="E1929" s="1">
        <v>3585983</v>
      </c>
      <c r="F1929" s="1">
        <v>15521712</v>
      </c>
      <c r="G1929" s="16">
        <v>17644.566332238544</v>
      </c>
      <c r="H1929">
        <v>134.97999999999999</v>
      </c>
      <c r="I1929" s="1">
        <v>378.49</v>
      </c>
      <c r="J1929" s="16">
        <v>102577.51206315443</v>
      </c>
      <c r="K1929" s="5">
        <v>0.20329368731890871</v>
      </c>
      <c r="L1929" s="10">
        <v>199789.82610000001</v>
      </c>
    </row>
    <row r="1930" spans="1:12" x14ac:dyDescent="0.25">
      <c r="A1930">
        <v>1929</v>
      </c>
      <c r="B1930" s="3">
        <v>0.23974001651313692</v>
      </c>
      <c r="C1930" s="3">
        <v>5.6841285049888057E-2</v>
      </c>
      <c r="D1930" s="1">
        <v>203006.88379156662</v>
      </c>
      <c r="E1930" s="1">
        <v>11372741</v>
      </c>
      <c r="F1930" s="1">
        <v>38509499</v>
      </c>
      <c r="G1930" s="16">
        <v>24236.70693493195</v>
      </c>
      <c r="H1930">
        <v>326.68</v>
      </c>
      <c r="I1930" s="1">
        <v>888.06999999999994</v>
      </c>
      <c r="J1930" s="16">
        <v>227243.59072649857</v>
      </c>
      <c r="K1930" s="5">
        <v>0.18417298704878218</v>
      </c>
      <c r="L1930" s="10">
        <v>536904.94110000005</v>
      </c>
    </row>
    <row r="1931" spans="1:12" x14ac:dyDescent="0.25">
      <c r="A1931">
        <v>1930</v>
      </c>
      <c r="B1931" s="3">
        <v>0.16512913305611576</v>
      </c>
      <c r="C1931" s="3">
        <v>6.1203640164350218E-2</v>
      </c>
      <c r="D1931" s="1">
        <v>297385.74894758686</v>
      </c>
      <c r="E1931" s="1">
        <v>11456334</v>
      </c>
      <c r="F1931" s="1">
        <v>40885808</v>
      </c>
      <c r="G1931" s="16">
        <v>8076.9941276689633</v>
      </c>
      <c r="H1931">
        <v>29.93</v>
      </c>
      <c r="I1931" s="1">
        <v>125.82</v>
      </c>
      <c r="J1931" s="16">
        <v>305462.74307525583</v>
      </c>
      <c r="K1931" s="5">
        <v>0.17390237775303571</v>
      </c>
      <c r="L1931" s="10">
        <v>593977.96180000005</v>
      </c>
    </row>
    <row r="1932" spans="1:12" x14ac:dyDescent="0.25">
      <c r="A1932">
        <v>1931</v>
      </c>
      <c r="B1932" s="3">
        <v>0.22745398663264732</v>
      </c>
      <c r="C1932" s="3">
        <v>2.5122818207126987E-2</v>
      </c>
      <c r="D1932" s="1">
        <v>64426.522943406228</v>
      </c>
      <c r="E1932" s="1">
        <v>2615137</v>
      </c>
      <c r="F1932" s="1">
        <v>16279739</v>
      </c>
      <c r="G1932" s="16">
        <v>9137.2852479317044</v>
      </c>
      <c r="H1932">
        <v>50.04</v>
      </c>
      <c r="I1932" s="1">
        <v>171</v>
      </c>
      <c r="J1932" s="16">
        <v>73563.808191337928</v>
      </c>
      <c r="K1932" s="5">
        <v>0.20569841418272167</v>
      </c>
      <c r="L1932" s="10">
        <v>543016.799</v>
      </c>
    </row>
    <row r="1933" spans="1:12" x14ac:dyDescent="0.25">
      <c r="A1933">
        <v>1932</v>
      </c>
      <c r="B1933" s="3">
        <v>0.18983729526480791</v>
      </c>
      <c r="C1933" s="3">
        <v>5.0341794284640889E-2</v>
      </c>
      <c r="D1933" s="1">
        <v>119295.31765974521</v>
      </c>
      <c r="E1933" s="1">
        <v>4198655</v>
      </c>
      <c r="F1933" s="1">
        <v>21185534</v>
      </c>
      <c r="G1933" s="16">
        <v>26553.475139082522</v>
      </c>
      <c r="H1933">
        <v>141.16</v>
      </c>
      <c r="I1933" s="1">
        <v>334.14</v>
      </c>
      <c r="J1933" s="16">
        <v>145848.79279882772</v>
      </c>
      <c r="K1933" s="5">
        <v>0.19553416525275466</v>
      </c>
      <c r="L1933" s="10">
        <v>420739.03340000001</v>
      </c>
    </row>
    <row r="1934" spans="1:12" x14ac:dyDescent="0.25">
      <c r="A1934">
        <v>1933</v>
      </c>
      <c r="B1934" s="3">
        <v>0.21967384958469832</v>
      </c>
      <c r="C1934" s="3">
        <v>5.5623444691651661E-2</v>
      </c>
      <c r="D1934" s="1">
        <v>68469.979774272564</v>
      </c>
      <c r="E1934" s="1">
        <v>3456198</v>
      </c>
      <c r="F1934" s="1">
        <v>23559923</v>
      </c>
      <c r="G1934" s="16">
        <v>23832.917137963417</v>
      </c>
      <c r="H1934">
        <v>203.73</v>
      </c>
      <c r="I1934" s="1">
        <v>580.91</v>
      </c>
      <c r="J1934" s="16">
        <v>92302.896912235985</v>
      </c>
      <c r="K1934" s="5">
        <v>-2.2450723001771835E-2</v>
      </c>
      <c r="L1934" s="10">
        <v>8696.8114000000005</v>
      </c>
    </row>
    <row r="1935" spans="1:12" x14ac:dyDescent="0.25">
      <c r="A1935">
        <v>1934</v>
      </c>
      <c r="B1935" s="3">
        <v>0.16955121151940422</v>
      </c>
      <c r="C1935" s="3">
        <v>4.6745164865035244E-2</v>
      </c>
      <c r="D1935" s="1">
        <v>146759.55700179213</v>
      </c>
      <c r="E1935" s="1">
        <v>5775075</v>
      </c>
      <c r="F1935" s="1">
        <v>28177259</v>
      </c>
      <c r="G1935" s="16">
        <v>16033.117288637122</v>
      </c>
      <c r="H1935">
        <v>73.59</v>
      </c>
      <c r="I1935" s="1">
        <v>301</v>
      </c>
      <c r="J1935" s="16">
        <v>162792.67429042925</v>
      </c>
      <c r="K1935" s="5">
        <v>0.14253659624756865</v>
      </c>
      <c r="L1935" s="10">
        <v>438730.25760000001</v>
      </c>
    </row>
    <row r="1936" spans="1:12" x14ac:dyDescent="0.25">
      <c r="A1936">
        <v>1935</v>
      </c>
      <c r="B1936" s="3">
        <v>0.22845051917878625</v>
      </c>
      <c r="C1936" s="3">
        <v>4.6350766316589589E-2</v>
      </c>
      <c r="D1936" s="1">
        <v>116737.91717670178</v>
      </c>
      <c r="E1936" s="1">
        <v>6165379</v>
      </c>
      <c r="F1936" s="1">
        <v>28858862</v>
      </c>
      <c r="G1936" s="16">
        <v>17902.760307723485</v>
      </c>
      <c r="H1936">
        <v>165.58</v>
      </c>
      <c r="I1936" s="1">
        <v>442.99</v>
      </c>
      <c r="J1936" s="16">
        <v>134640.67748442528</v>
      </c>
      <c r="K1936" s="5">
        <v>8.6597489388396842E-2</v>
      </c>
      <c r="L1936" s="10">
        <v>224912.10430000001</v>
      </c>
    </row>
    <row r="1937" spans="1:12" x14ac:dyDescent="0.25">
      <c r="A1937">
        <v>1936</v>
      </c>
      <c r="B1937" s="3">
        <v>0.13038320771196291</v>
      </c>
      <c r="C1937" s="3">
        <v>2.5669328898473349E-2</v>
      </c>
      <c r="D1937" s="1">
        <v>395150.2368647937</v>
      </c>
      <c r="E1937" s="1">
        <v>14870522</v>
      </c>
      <c r="F1937" s="1">
        <v>56200446</v>
      </c>
      <c r="G1937" s="16">
        <v>24488.138716365516</v>
      </c>
      <c r="H1937">
        <v>85.12</v>
      </c>
      <c r="I1937" s="1">
        <v>325.25</v>
      </c>
      <c r="J1937" s="16">
        <v>419638.3755811592</v>
      </c>
      <c r="K1937" s="5">
        <v>0.11001243642702932</v>
      </c>
      <c r="L1937" s="10">
        <v>1512234.7289</v>
      </c>
    </row>
    <row r="1938" spans="1:12" x14ac:dyDescent="0.25">
      <c r="A1938">
        <v>1937</v>
      </c>
      <c r="B1938" s="3">
        <v>0.13894494241132513</v>
      </c>
      <c r="C1938" s="3">
        <v>2.7322837299663689E-2</v>
      </c>
      <c r="D1938" s="1">
        <v>83860.065584936921</v>
      </c>
      <c r="E1938" s="1">
        <v>2458474</v>
      </c>
      <c r="F1938" s="1">
        <v>15654850</v>
      </c>
      <c r="G1938" s="16">
        <v>28405.926505569769</v>
      </c>
      <c r="H1938">
        <v>121.78</v>
      </c>
      <c r="I1938" s="1">
        <v>440.43999999999994</v>
      </c>
      <c r="J1938" s="16">
        <v>112265.99209050668</v>
      </c>
      <c r="K1938" s="5">
        <v>0.15603859111050175</v>
      </c>
      <c r="L1938" s="10">
        <v>595752.58940000006</v>
      </c>
    </row>
    <row r="1939" spans="1:12" x14ac:dyDescent="0.25">
      <c r="A1939">
        <v>1938</v>
      </c>
      <c r="B1939" s="3">
        <v>0.11087648223666623</v>
      </c>
      <c r="C1939" s="3">
        <v>4.4588205169981326E-2</v>
      </c>
      <c r="D1939" s="1">
        <v>138850.10081744086</v>
      </c>
      <c r="E1939" s="1">
        <v>3697114</v>
      </c>
      <c r="F1939" s="1">
        <v>15636430</v>
      </c>
      <c r="G1939" s="16">
        <v>27352.582812082248</v>
      </c>
      <c r="H1939">
        <v>83.1</v>
      </c>
      <c r="I1939" s="1">
        <v>359.63</v>
      </c>
      <c r="J1939" s="16">
        <v>166202.68362952312</v>
      </c>
      <c r="K1939" s="5">
        <v>0.22361572096883553</v>
      </c>
      <c r="L1939" s="10">
        <v>617512.03760000004</v>
      </c>
    </row>
    <row r="1940" spans="1:12" x14ac:dyDescent="0.25">
      <c r="A1940">
        <v>1939</v>
      </c>
      <c r="B1940" s="3">
        <v>0.19528738709512741</v>
      </c>
      <c r="C1940" s="3">
        <v>4.6064256466500142E-2</v>
      </c>
      <c r="D1940" s="1">
        <v>209548.12704090169</v>
      </c>
      <c r="E1940" s="1">
        <v>11622055</v>
      </c>
      <c r="F1940" s="1">
        <v>51193860</v>
      </c>
      <c r="G1940" s="16">
        <v>25240.979320137201</v>
      </c>
      <c r="H1940">
        <v>139.9</v>
      </c>
      <c r="I1940" s="1">
        <v>363.56</v>
      </c>
      <c r="J1940" s="16">
        <v>234789.1063610389</v>
      </c>
      <c r="K1940" s="5">
        <v>-5.4264645738307409E-2</v>
      </c>
      <c r="L1940" s="10">
        <v>-175277.21960000001</v>
      </c>
    </row>
    <row r="1941" spans="1:12" x14ac:dyDescent="0.25">
      <c r="A1941">
        <v>1940</v>
      </c>
      <c r="B1941" s="3">
        <v>0.15936788164427534</v>
      </c>
      <c r="C1941" s="3">
        <v>7.0300208586409632E-2</v>
      </c>
      <c r="D1941" s="1">
        <v>123275.88332954701</v>
      </c>
      <c r="E1941" s="1">
        <v>4620159</v>
      </c>
      <c r="F1941" s="1">
        <v>22126642</v>
      </c>
      <c r="G1941" s="16">
        <v>42388.822251621255</v>
      </c>
      <c r="H1941">
        <v>215.4</v>
      </c>
      <c r="I1941" s="1">
        <v>525.01</v>
      </c>
      <c r="J1941" s="16">
        <v>165664.70558116827</v>
      </c>
      <c r="K1941" s="5">
        <v>2.3713373655239674E-2</v>
      </c>
      <c r="L1941" s="10">
        <v>47632.4136</v>
      </c>
    </row>
    <row r="1942" spans="1:12" x14ac:dyDescent="0.25">
      <c r="A1942">
        <v>1941</v>
      </c>
      <c r="B1942" s="3">
        <v>0.2210230664693934</v>
      </c>
      <c r="C1942" s="3">
        <v>3.9463103507691083E-2</v>
      </c>
      <c r="D1942" s="1">
        <v>158787.55432813207</v>
      </c>
      <c r="E1942" s="1">
        <v>8070881</v>
      </c>
      <c r="F1942" s="1">
        <v>34210917</v>
      </c>
      <c r="G1942" s="16">
        <v>20342.243578565529</v>
      </c>
      <c r="H1942">
        <v>175.92</v>
      </c>
      <c r="I1942" s="1">
        <v>463.38</v>
      </c>
      <c r="J1942" s="16">
        <v>179129.79790669761</v>
      </c>
      <c r="K1942" s="5">
        <v>8.9455027615257435E-2</v>
      </c>
      <c r="L1942" s="10">
        <v>319356.3394</v>
      </c>
    </row>
    <row r="1943" spans="1:12" x14ac:dyDescent="0.25">
      <c r="A1943">
        <v>1942</v>
      </c>
      <c r="B1943" s="3">
        <v>0.17785064408515922</v>
      </c>
      <c r="C1943" s="3">
        <v>6.0915088623230557E-2</v>
      </c>
      <c r="D1943" s="1">
        <v>190231.23219197706</v>
      </c>
      <c r="E1943" s="1">
        <v>9478318</v>
      </c>
      <c r="F1943" s="1">
        <v>53785233</v>
      </c>
      <c r="G1943" s="16">
        <v>99360.614774342394</v>
      </c>
      <c r="H1943">
        <v>871.52</v>
      </c>
      <c r="I1943" s="1">
        <v>1824.54</v>
      </c>
      <c r="J1943" s="16">
        <v>289591.84696631948</v>
      </c>
      <c r="K1943" s="5">
        <v>-2.2029107838506392E-2</v>
      </c>
      <c r="L1943" s="10">
        <v>-80157.060899999997</v>
      </c>
    </row>
    <row r="1944" spans="1:12" x14ac:dyDescent="0.25">
      <c r="A1944">
        <v>1943</v>
      </c>
      <c r="B1944" s="3">
        <v>0.23027379512965038</v>
      </c>
      <c r="C1944" s="3">
        <v>3.8533957350426445E-2</v>
      </c>
      <c r="D1944" s="1">
        <v>192668.24242875009</v>
      </c>
      <c r="E1944" s="1">
        <v>10272300</v>
      </c>
      <c r="F1944" s="1">
        <v>33334910</v>
      </c>
      <c r="G1944" s="16">
        <v>10638.224897064887</v>
      </c>
      <c r="H1944">
        <v>59.26</v>
      </c>
      <c r="I1944" s="1">
        <v>187.48</v>
      </c>
      <c r="J1944" s="16">
        <v>203306.46732581497</v>
      </c>
      <c r="K1944" s="5">
        <v>0.1464596265430276</v>
      </c>
      <c r="L1944" s="10">
        <v>577988.7463</v>
      </c>
    </row>
    <row r="1945" spans="1:12" x14ac:dyDescent="0.25">
      <c r="A1945">
        <v>1944</v>
      </c>
      <c r="B1945" s="3">
        <v>0.20462310796687741</v>
      </c>
      <c r="C1945" s="3">
        <v>2.9780078433746415E-2</v>
      </c>
      <c r="D1945" s="1">
        <v>155154.11395035984</v>
      </c>
      <c r="E1945" s="1">
        <v>7255611</v>
      </c>
      <c r="F1945" s="1">
        <v>32223624</v>
      </c>
      <c r="G1945" s="16">
        <v>27748.121824846461</v>
      </c>
      <c r="H1945">
        <v>207</v>
      </c>
      <c r="I1945" s="1">
        <v>486.42</v>
      </c>
      <c r="J1945" s="16">
        <v>182902.2357752063</v>
      </c>
      <c r="K1945" s="5">
        <v>1.5769368798272572E-3</v>
      </c>
      <c r="L1945" s="10">
        <v>22784.889299999999</v>
      </c>
    </row>
    <row r="1946" spans="1:12" x14ac:dyDescent="0.25">
      <c r="A1946">
        <v>1945</v>
      </c>
      <c r="B1946" s="3">
        <v>0.2153064863963795</v>
      </c>
      <c r="C1946" s="3">
        <v>7.8638130232629E-2</v>
      </c>
      <c r="D1946" s="1">
        <v>46438.539883967489</v>
      </c>
      <c r="E1946" s="1">
        <v>1798793</v>
      </c>
      <c r="F1946" s="1">
        <v>15309783</v>
      </c>
      <c r="G1946" s="16">
        <v>14186.901982129719</v>
      </c>
      <c r="H1946">
        <v>91.49</v>
      </c>
      <c r="I1946" s="1">
        <v>319.13</v>
      </c>
      <c r="J1946" s="16">
        <v>60625.441866097208</v>
      </c>
      <c r="K1946" s="5">
        <v>-6.5382393370277306E-2</v>
      </c>
      <c r="L1946" s="10">
        <v>-16110.725899999999</v>
      </c>
    </row>
    <row r="1947" spans="1:12" x14ac:dyDescent="0.25">
      <c r="A1947">
        <v>1946</v>
      </c>
      <c r="B1947" s="3">
        <v>0.13754679496531394</v>
      </c>
      <c r="C1947" s="3">
        <v>2.0818834089348207E-2</v>
      </c>
      <c r="D1947" s="1">
        <v>112616.77679003276</v>
      </c>
      <c r="E1947" s="1">
        <v>3285484</v>
      </c>
      <c r="F1947" s="1">
        <v>17900745</v>
      </c>
      <c r="G1947" s="16">
        <v>49084.040648966016</v>
      </c>
      <c r="H1947">
        <v>208.05</v>
      </c>
      <c r="I1947" s="1">
        <v>639.24</v>
      </c>
      <c r="J1947" s="16">
        <v>161700.81743899878</v>
      </c>
      <c r="K1947" s="5">
        <v>3.3128294969298797E-2</v>
      </c>
      <c r="L1947" s="10">
        <v>277178.3002</v>
      </c>
    </row>
    <row r="1948" spans="1:12" x14ac:dyDescent="0.25">
      <c r="A1948">
        <v>1947</v>
      </c>
      <c r="B1948" s="3">
        <v>0.10295729693146649</v>
      </c>
      <c r="C1948" s="3">
        <v>5.2793676907466322E-2</v>
      </c>
      <c r="D1948" s="1">
        <v>81787.891359971967</v>
      </c>
      <c r="E1948" s="1">
        <v>2120571</v>
      </c>
      <c r="F1948" s="1">
        <v>16851628</v>
      </c>
      <c r="G1948" s="16">
        <v>19767.338030678588</v>
      </c>
      <c r="H1948">
        <v>51.19</v>
      </c>
      <c r="I1948" s="1">
        <v>147.75</v>
      </c>
      <c r="J1948" s="16">
        <v>101555.22939065055</v>
      </c>
      <c r="K1948" s="5">
        <v>0.28617057172464655</v>
      </c>
      <c r="L1948" s="10">
        <v>449002.57740000001</v>
      </c>
    </row>
    <row r="1949" spans="1:12" x14ac:dyDescent="0.25">
      <c r="A1949">
        <v>1948</v>
      </c>
      <c r="B1949" s="3">
        <v>0.218935441411898</v>
      </c>
      <c r="C1949" s="3">
        <v>3.4017938435580652E-2</v>
      </c>
      <c r="D1949" s="1">
        <v>112463.94660904165</v>
      </c>
      <c r="E1949" s="1">
        <v>5655463</v>
      </c>
      <c r="F1949" s="1">
        <v>25272639</v>
      </c>
      <c r="G1949" s="16">
        <v>28495.376558043357</v>
      </c>
      <c r="H1949">
        <v>241.96</v>
      </c>
      <c r="I1949" s="1">
        <v>638.24</v>
      </c>
      <c r="J1949" s="16">
        <v>140959.32316708501</v>
      </c>
      <c r="K1949" s="5">
        <v>9.8418514138638551E-3</v>
      </c>
      <c r="L1949" s="10">
        <v>47471.190300000002</v>
      </c>
    </row>
    <row r="1950" spans="1:12" x14ac:dyDescent="0.25">
      <c r="A1950">
        <v>1949</v>
      </c>
      <c r="B1950" s="3">
        <v>0.11349110479458312</v>
      </c>
      <c r="C1950" s="3">
        <v>6.1435735703243941E-2</v>
      </c>
      <c r="D1950" s="1">
        <v>140952.6376332333</v>
      </c>
      <c r="E1950" s="1">
        <v>4271134</v>
      </c>
      <c r="F1950" s="1">
        <v>23899355</v>
      </c>
      <c r="G1950" s="16">
        <v>92831.878972178733</v>
      </c>
      <c r="H1950">
        <v>366.51</v>
      </c>
      <c r="I1950" s="1">
        <v>978.18000000000006</v>
      </c>
      <c r="J1950" s="16">
        <v>233784.51660541203</v>
      </c>
      <c r="K1950" s="5">
        <v>0.26502136707891544</v>
      </c>
      <c r="L1950" s="10">
        <v>737990.35519999999</v>
      </c>
    </row>
    <row r="1951" spans="1:12" x14ac:dyDescent="0.25">
      <c r="A1951">
        <v>1950</v>
      </c>
      <c r="B1951" s="3">
        <v>0.10986885517549316</v>
      </c>
      <c r="C1951" s="3">
        <v>6.390598654498883E-2</v>
      </c>
      <c r="D1951" s="1">
        <v>105272.06511206922</v>
      </c>
      <c r="E1951" s="1">
        <v>2793532</v>
      </c>
      <c r="F1951" s="1">
        <v>20432803</v>
      </c>
      <c r="G1951" s="16">
        <v>46243.368380440057</v>
      </c>
      <c r="H1951">
        <v>157.15</v>
      </c>
      <c r="I1951" s="1">
        <v>537.95999999999992</v>
      </c>
      <c r="J1951" s="16">
        <v>151515.43349250927</v>
      </c>
      <c r="K1951" s="5">
        <v>4.676138600411818E-2</v>
      </c>
      <c r="L1951" s="10">
        <v>88529.414999999994</v>
      </c>
    </row>
    <row r="1952" spans="1:12" x14ac:dyDescent="0.25">
      <c r="A1952">
        <v>1951</v>
      </c>
      <c r="B1952" s="3">
        <v>0.18677414101796108</v>
      </c>
      <c r="C1952" s="3">
        <v>5.5518014905251448E-2</v>
      </c>
      <c r="D1952" s="1">
        <v>405685.32170732092</v>
      </c>
      <c r="E1952" s="1">
        <v>21346957</v>
      </c>
      <c r="F1952" s="1">
        <v>66013110</v>
      </c>
      <c r="G1952" s="16">
        <v>18039.84508455066</v>
      </c>
      <c r="H1952">
        <v>115.31</v>
      </c>
      <c r="I1952" s="1">
        <v>392.71</v>
      </c>
      <c r="J1952" s="16">
        <v>423725.1667918716</v>
      </c>
      <c r="K1952" s="5">
        <v>0.26499138329970678</v>
      </c>
      <c r="L1952" s="10">
        <v>1432148.9350000001</v>
      </c>
    </row>
    <row r="1953" spans="1:12" x14ac:dyDescent="0.25">
      <c r="A1953">
        <v>1952</v>
      </c>
      <c r="B1953" s="3">
        <v>0.10871576916801873</v>
      </c>
      <c r="C1953" s="3">
        <v>2.5885729050953585E-2</v>
      </c>
      <c r="D1953" s="1">
        <v>72453.096823527245</v>
      </c>
      <c r="E1953" s="1">
        <v>1915188</v>
      </c>
      <c r="F1953" s="1">
        <v>12646022</v>
      </c>
      <c r="G1953" s="16">
        <v>24444.356520103102</v>
      </c>
      <c r="H1953">
        <v>73.36</v>
      </c>
      <c r="I1953" s="1">
        <v>304.17</v>
      </c>
      <c r="J1953" s="16">
        <v>96897.453343630346</v>
      </c>
      <c r="K1953" s="5">
        <v>7.476217318694911E-2</v>
      </c>
      <c r="L1953" s="10">
        <v>264232.56180000002</v>
      </c>
    </row>
    <row r="1954" spans="1:12" x14ac:dyDescent="0.25">
      <c r="A1954">
        <v>1953</v>
      </c>
      <c r="B1954" s="3">
        <v>0.17553632989015994</v>
      </c>
      <c r="C1954" s="3">
        <v>5.2740285206265294E-2</v>
      </c>
      <c r="D1954" s="1">
        <v>283123.28031213797</v>
      </c>
      <c r="E1954" s="1">
        <v>11468121</v>
      </c>
      <c r="F1954" s="1">
        <v>39667047</v>
      </c>
      <c r="G1954" s="16">
        <v>17165.770809701844</v>
      </c>
      <c r="H1954">
        <v>82.27</v>
      </c>
      <c r="I1954" s="1">
        <v>365.06999999999994</v>
      </c>
      <c r="J1954" s="16">
        <v>300289.05112183979</v>
      </c>
      <c r="K1954" s="5">
        <v>0.14822957913873031</v>
      </c>
      <c r="L1954" s="10">
        <v>614567.35869999998</v>
      </c>
    </row>
    <row r="1955" spans="1:12" x14ac:dyDescent="0.25">
      <c r="A1955">
        <v>1954</v>
      </c>
      <c r="B1955" s="3">
        <v>0.1081562777893444</v>
      </c>
      <c r="C1955" s="3">
        <v>7.7025576835589832E-2</v>
      </c>
      <c r="D1955" s="1">
        <v>117942.59712057389</v>
      </c>
      <c r="E1955" s="1">
        <v>3111765</v>
      </c>
      <c r="F1955" s="1">
        <v>15121894</v>
      </c>
      <c r="G1955" s="16">
        <v>32080.973775952134</v>
      </c>
      <c r="H1955">
        <v>95.92</v>
      </c>
      <c r="I1955" s="1">
        <v>327.56</v>
      </c>
      <c r="J1955" s="16">
        <v>150023.57089652601</v>
      </c>
      <c r="K1955" s="5">
        <v>5.1411914340697834E-3</v>
      </c>
      <c r="L1955" s="10">
        <v>28209.388299999999</v>
      </c>
    </row>
    <row r="1956" spans="1:12" x14ac:dyDescent="0.25">
      <c r="A1956">
        <v>1955</v>
      </c>
      <c r="B1956" s="3">
        <v>0.10717862457112765</v>
      </c>
      <c r="C1956" s="3">
        <v>7.6431751673322307E-2</v>
      </c>
      <c r="D1956" s="1">
        <v>183484.8860763298</v>
      </c>
      <c r="E1956" s="1">
        <v>4825134</v>
      </c>
      <c r="F1956" s="1">
        <v>20108311</v>
      </c>
      <c r="G1956" s="16">
        <v>42568.045303187486</v>
      </c>
      <c r="H1956">
        <v>141.38</v>
      </c>
      <c r="I1956" s="1">
        <v>442.93</v>
      </c>
      <c r="J1956" s="16">
        <v>226052.93137951728</v>
      </c>
      <c r="K1956" s="5">
        <v>0.1057579427890548</v>
      </c>
      <c r="L1956" s="10">
        <v>187188.93419999999</v>
      </c>
    </row>
    <row r="1957" spans="1:12" x14ac:dyDescent="0.25">
      <c r="A1957">
        <v>1956</v>
      </c>
      <c r="B1957" s="3">
        <v>0.17834356660547662</v>
      </c>
      <c r="C1957" s="3">
        <v>6.7294112154140689E-2</v>
      </c>
      <c r="D1957" s="1">
        <v>369684.38920692838</v>
      </c>
      <c r="E1957" s="1">
        <v>18474920</v>
      </c>
      <c r="F1957" s="1">
        <v>59538951</v>
      </c>
      <c r="G1957" s="16">
        <v>19586.155383186204</v>
      </c>
      <c r="H1957">
        <v>95.82</v>
      </c>
      <c r="I1957" s="1">
        <v>340.28999999999996</v>
      </c>
      <c r="J1957" s="16">
        <v>389270.54459011456</v>
      </c>
      <c r="K1957" s="5">
        <v>0.11254270841089281</v>
      </c>
      <c r="L1957" s="10">
        <v>458671.78129999997</v>
      </c>
    </row>
    <row r="1958" spans="1:12" x14ac:dyDescent="0.25">
      <c r="A1958">
        <v>1957</v>
      </c>
      <c r="B1958" s="3">
        <v>0.22159693201262631</v>
      </c>
      <c r="C1958" s="3">
        <v>7.2207531814717493E-2</v>
      </c>
      <c r="D1958" s="1">
        <v>58123.649227201924</v>
      </c>
      <c r="E1958" s="1">
        <v>2306442</v>
      </c>
      <c r="F1958" s="1">
        <v>13715253</v>
      </c>
      <c r="G1958" s="16">
        <v>52433.75205767755</v>
      </c>
      <c r="H1958">
        <v>585.19000000000005</v>
      </c>
      <c r="I1958" s="1">
        <v>1311.19</v>
      </c>
      <c r="J1958" s="16">
        <v>110557.40128487948</v>
      </c>
      <c r="K1958" s="5">
        <v>0.19266757652787514</v>
      </c>
      <c r="L1958" s="10">
        <v>208160.4546</v>
      </c>
    </row>
    <row r="1959" spans="1:12" x14ac:dyDescent="0.25">
      <c r="A1959">
        <v>1958</v>
      </c>
      <c r="B1959" s="3">
        <v>0.18583688791689768</v>
      </c>
      <c r="C1959" s="3">
        <v>7.9441707713786378E-2</v>
      </c>
      <c r="D1959" s="1">
        <v>134817.11660257349</v>
      </c>
      <c r="E1959" s="1">
        <v>5742526</v>
      </c>
      <c r="F1959" s="1">
        <v>34596029</v>
      </c>
      <c r="G1959" s="16">
        <v>40737.07046595421</v>
      </c>
      <c r="H1959">
        <v>258.29000000000002</v>
      </c>
      <c r="I1959" s="1">
        <v>733.46</v>
      </c>
      <c r="J1959" s="16">
        <v>175554.18706852768</v>
      </c>
      <c r="K1959" s="5">
        <v>-0.10379902941822203</v>
      </c>
      <c r="L1959" s="10">
        <v>-93630.967900000003</v>
      </c>
    </row>
    <row r="1960" spans="1:12" x14ac:dyDescent="0.25">
      <c r="A1960">
        <v>1959</v>
      </c>
      <c r="B1960" s="3">
        <v>0.20869407046494209</v>
      </c>
      <c r="C1960" s="3">
        <v>6.4910782393145405E-2</v>
      </c>
      <c r="D1960" s="1">
        <v>132092.49147227727</v>
      </c>
      <c r="E1960" s="1">
        <v>6305259</v>
      </c>
      <c r="F1960" s="1">
        <v>31955962</v>
      </c>
      <c r="G1960" s="16">
        <v>18000.115615176521</v>
      </c>
      <c r="H1960">
        <v>139.44999999999999</v>
      </c>
      <c r="I1960" s="1">
        <v>511.42</v>
      </c>
      <c r="J1960" s="16">
        <v>150092.6070874538</v>
      </c>
      <c r="K1960" s="5">
        <v>0.16611786123099953</v>
      </c>
      <c r="L1960" s="10">
        <v>281542.88150000002</v>
      </c>
    </row>
    <row r="1961" spans="1:12" x14ac:dyDescent="0.25">
      <c r="A1961">
        <v>1960</v>
      </c>
      <c r="B1961" s="3">
        <v>0.1473051263229545</v>
      </c>
      <c r="C1961" s="3">
        <v>6.2897596386551943E-2</v>
      </c>
      <c r="D1961" s="1">
        <v>45805.223602676801</v>
      </c>
      <c r="E1961" s="1">
        <v>1179046</v>
      </c>
      <c r="F1961" s="1">
        <v>9548489</v>
      </c>
      <c r="G1961" s="16">
        <v>45869.098424641677</v>
      </c>
      <c r="H1961">
        <v>210.43</v>
      </c>
      <c r="I1961" s="1">
        <v>567.65000000000009</v>
      </c>
      <c r="J1961" s="16">
        <v>91674.322027318471</v>
      </c>
      <c r="K1961" s="5">
        <v>0.20850966268870369</v>
      </c>
      <c r="L1961" s="10">
        <v>221224.73920000001</v>
      </c>
    </row>
    <row r="1962" spans="1:12" x14ac:dyDescent="0.25">
      <c r="A1962">
        <v>1961</v>
      </c>
      <c r="B1962" s="3">
        <v>0.12493567611548262</v>
      </c>
      <c r="C1962" s="3">
        <v>7.6250483784963144E-2</v>
      </c>
      <c r="D1962" s="1">
        <v>278314.32661648141</v>
      </c>
      <c r="E1962" s="1">
        <v>10151699</v>
      </c>
      <c r="F1962" s="1">
        <v>51680910</v>
      </c>
      <c r="G1962" s="16">
        <v>37358.966718178002</v>
      </c>
      <c r="H1962">
        <v>142.86000000000001</v>
      </c>
      <c r="I1962" s="1">
        <v>438.84000000000003</v>
      </c>
      <c r="J1962" s="16">
        <v>315673.29333465942</v>
      </c>
      <c r="K1962" s="5">
        <v>6.0392713013057119E-2</v>
      </c>
      <c r="L1962" s="10">
        <v>186389.09719999999</v>
      </c>
    </row>
    <row r="1963" spans="1:12" x14ac:dyDescent="0.25">
      <c r="A1963">
        <v>1962</v>
      </c>
      <c r="B1963" s="3">
        <v>0.24090260255038123</v>
      </c>
      <c r="C1963" s="3">
        <v>6.9420335196583444E-2</v>
      </c>
      <c r="D1963" s="1">
        <v>285980.11602953076</v>
      </c>
      <c r="E1963" s="1">
        <v>21234959</v>
      </c>
      <c r="F1963" s="1">
        <v>80931893</v>
      </c>
      <c r="G1963" s="16">
        <v>9042.6690359085569</v>
      </c>
      <c r="H1963">
        <v>71.150000000000006</v>
      </c>
      <c r="I1963" s="1">
        <v>289.86</v>
      </c>
      <c r="J1963" s="16">
        <v>295022.7850654393</v>
      </c>
      <c r="K1963" s="5">
        <v>-1.7258450947538192E-2</v>
      </c>
      <c r="L1963" s="10">
        <v>-15395.860699999999</v>
      </c>
    </row>
    <row r="1964" spans="1:12" x14ac:dyDescent="0.25">
      <c r="A1964">
        <v>1963</v>
      </c>
      <c r="B1964" s="3">
        <v>0.14087322902135394</v>
      </c>
      <c r="C1964" s="3">
        <v>4.4158618866480558E-2</v>
      </c>
      <c r="D1964" s="1">
        <v>289563.73351798474</v>
      </c>
      <c r="E1964" s="1">
        <v>11578729</v>
      </c>
      <c r="F1964" s="1">
        <v>43432485</v>
      </c>
      <c r="G1964" s="16">
        <v>29052.133524668592</v>
      </c>
      <c r="H1964">
        <v>126.5</v>
      </c>
      <c r="I1964" s="1">
        <v>432.32</v>
      </c>
      <c r="J1964" s="16">
        <v>318615.86704265332</v>
      </c>
      <c r="K1964" s="5">
        <v>0.15261968625215844</v>
      </c>
      <c r="L1964" s="10">
        <v>860487.4523</v>
      </c>
    </row>
    <row r="1965" spans="1:12" x14ac:dyDescent="0.25">
      <c r="A1965">
        <v>1964</v>
      </c>
      <c r="B1965" s="3">
        <v>0.23960105340889762</v>
      </c>
      <c r="C1965" s="3">
        <v>2.2811664877650312E-2</v>
      </c>
      <c r="D1965" s="1">
        <v>80699.36877519016</v>
      </c>
      <c r="E1965" s="1">
        <v>3435175</v>
      </c>
      <c r="F1965" s="1">
        <v>16093438</v>
      </c>
      <c r="G1965" s="16">
        <v>8758.8685079322695</v>
      </c>
      <c r="H1965">
        <v>68.260000000000005</v>
      </c>
      <c r="I1965" s="1">
        <v>257.45999999999998</v>
      </c>
      <c r="J1965" s="16">
        <v>89458.237283122435</v>
      </c>
      <c r="K1965" s="5">
        <v>4.2396703350554774E-2</v>
      </c>
      <c r="L1965" s="10">
        <v>165344.63649999999</v>
      </c>
    </row>
    <row r="1966" spans="1:12" x14ac:dyDescent="0.25">
      <c r="A1966">
        <v>1965</v>
      </c>
      <c r="B1966" s="3">
        <v>0.17149199208782012</v>
      </c>
      <c r="C1966" s="3">
        <v>4.3705364499108411E-2</v>
      </c>
      <c r="D1966" s="1">
        <v>96103.386632504378</v>
      </c>
      <c r="E1966" s="1">
        <v>3162652</v>
      </c>
      <c r="F1966" s="1">
        <v>21051139</v>
      </c>
      <c r="G1966" s="16">
        <v>21110.132164046914</v>
      </c>
      <c r="H1966">
        <v>98.06</v>
      </c>
      <c r="I1966" s="1">
        <v>281.01</v>
      </c>
      <c r="J1966" s="16">
        <v>117213.51879655129</v>
      </c>
      <c r="K1966" s="5">
        <v>0.15855099180791885</v>
      </c>
      <c r="L1966" s="10">
        <v>329835.95130000002</v>
      </c>
    </row>
    <row r="1967" spans="1:12" x14ac:dyDescent="0.25">
      <c r="A1967">
        <v>1966</v>
      </c>
      <c r="B1967" s="3">
        <v>0.23370840961672892</v>
      </c>
      <c r="C1967" s="3">
        <v>5.9631260579177406E-2</v>
      </c>
      <c r="D1967" s="1">
        <v>135040.62585072793</v>
      </c>
      <c r="E1967" s="1">
        <v>9565265</v>
      </c>
      <c r="F1967" s="1">
        <v>43500473</v>
      </c>
      <c r="G1967" s="16">
        <v>9664.4811471845169</v>
      </c>
      <c r="H1967">
        <v>71.790000000000006</v>
      </c>
      <c r="I1967" s="1">
        <v>342.78000000000003</v>
      </c>
      <c r="J1967" s="16">
        <v>144705.10699791246</v>
      </c>
      <c r="K1967" s="5">
        <v>0.12539595538147699</v>
      </c>
      <c r="L1967" s="10">
        <v>226840.446</v>
      </c>
    </row>
    <row r="1968" spans="1:12" x14ac:dyDescent="0.25">
      <c r="A1968">
        <v>1967</v>
      </c>
      <c r="B1968" s="3">
        <v>0.24281954140534998</v>
      </c>
      <c r="C1968" s="3">
        <v>6.121420502105715E-2</v>
      </c>
      <c r="D1968" s="1">
        <v>94653.07675552975</v>
      </c>
      <c r="E1968" s="1">
        <v>5389399</v>
      </c>
      <c r="F1968" s="1">
        <v>27103651</v>
      </c>
      <c r="G1968" s="16">
        <v>26614.898600373173</v>
      </c>
      <c r="H1968">
        <v>370.31</v>
      </c>
      <c r="I1968" s="1">
        <v>1102.07</v>
      </c>
      <c r="J1968" s="16">
        <v>121267.97535590292</v>
      </c>
      <c r="K1968" s="5">
        <v>3.0155307050087718E-2</v>
      </c>
      <c r="L1968" s="10">
        <v>71642.309200000003</v>
      </c>
    </row>
    <row r="1969" spans="1:12" x14ac:dyDescent="0.25">
      <c r="A1969">
        <v>1968</v>
      </c>
      <c r="B1969" s="3">
        <v>0.2260612312030193</v>
      </c>
      <c r="C1969" s="3">
        <v>3.1874151151343184E-2</v>
      </c>
      <c r="D1969" s="1">
        <v>116798.34148878018</v>
      </c>
      <c r="E1969" s="1">
        <v>6092746</v>
      </c>
      <c r="F1969" s="1">
        <v>23057642</v>
      </c>
      <c r="G1969" s="16">
        <v>25289.943236487565</v>
      </c>
      <c r="H1969">
        <v>228.78</v>
      </c>
      <c r="I1969" s="1">
        <v>721.81999999999994</v>
      </c>
      <c r="J1969" s="16">
        <v>142088.28472526773</v>
      </c>
      <c r="K1969" s="5">
        <v>0.12596324285785851</v>
      </c>
      <c r="L1969" s="10">
        <v>476517.28450000001</v>
      </c>
    </row>
    <row r="1970" spans="1:12" x14ac:dyDescent="0.25">
      <c r="A1970">
        <v>1969</v>
      </c>
      <c r="B1970" s="3">
        <v>0.15128846209910918</v>
      </c>
      <c r="C1970" s="3">
        <v>5.6382610107752945E-2</v>
      </c>
      <c r="D1970" s="1">
        <v>281324.08990026615</v>
      </c>
      <c r="E1970" s="1">
        <v>11956633</v>
      </c>
      <c r="F1970" s="1">
        <v>45059613</v>
      </c>
      <c r="G1970" s="16">
        <v>53467.83602445</v>
      </c>
      <c r="H1970">
        <v>298.83999999999997</v>
      </c>
      <c r="I1970" s="1">
        <v>879.54</v>
      </c>
      <c r="J1970" s="16">
        <v>334791.92592471617</v>
      </c>
      <c r="K1970" s="5">
        <v>0.11168412224552046</v>
      </c>
      <c r="L1970" s="10">
        <v>489518.42670000001</v>
      </c>
    </row>
    <row r="1971" spans="1:12" x14ac:dyDescent="0.25">
      <c r="A1971">
        <v>1970</v>
      </c>
      <c r="B1971" s="3">
        <v>0.11792642039370503</v>
      </c>
      <c r="C1971" s="3">
        <v>3.642034696502295E-2</v>
      </c>
      <c r="D1971" s="1">
        <v>75437.36947395897</v>
      </c>
      <c r="E1971" s="1">
        <v>2057198</v>
      </c>
      <c r="F1971" s="1">
        <v>10754814</v>
      </c>
      <c r="G1971" s="16">
        <v>67773.288203807489</v>
      </c>
      <c r="H1971">
        <v>245.47</v>
      </c>
      <c r="I1971" s="1">
        <v>597.31000000000006</v>
      </c>
      <c r="J1971" s="16">
        <v>143210.65767776646</v>
      </c>
      <c r="K1971" s="5">
        <v>0.14822000481334463</v>
      </c>
      <c r="L1971" s="10">
        <v>456323.00050000002</v>
      </c>
    </row>
    <row r="1972" spans="1:12" x14ac:dyDescent="0.25">
      <c r="A1972">
        <v>1971</v>
      </c>
      <c r="B1972" s="3">
        <v>0.22382908329357085</v>
      </c>
      <c r="C1972" s="3">
        <v>6.5321548734533913E-2</v>
      </c>
      <c r="D1972" s="1">
        <v>227554.23324372584</v>
      </c>
      <c r="E1972" s="1">
        <v>15118227</v>
      </c>
      <c r="F1972" s="1">
        <v>48040142</v>
      </c>
      <c r="G1972" s="16">
        <v>49527.655853659053</v>
      </c>
      <c r="H1972">
        <v>565.96</v>
      </c>
      <c r="I1972" s="1">
        <v>1319.52</v>
      </c>
      <c r="J1972" s="16">
        <v>277081.88909738488</v>
      </c>
      <c r="K1972" s="5">
        <v>8.5309424738038001E-2</v>
      </c>
      <c r="L1972" s="10">
        <v>240102.06529999999</v>
      </c>
    </row>
    <row r="1973" spans="1:12" x14ac:dyDescent="0.25">
      <c r="A1973">
        <v>1972</v>
      </c>
      <c r="B1973" s="3">
        <v>0.16556977322348948</v>
      </c>
      <c r="C1973" s="3">
        <v>5.8343709727171511E-2</v>
      </c>
      <c r="D1973" s="1">
        <v>102883.05650623012</v>
      </c>
      <c r="E1973" s="1">
        <v>3971794</v>
      </c>
      <c r="F1973" s="1">
        <v>23386749</v>
      </c>
      <c r="G1973" s="16">
        <v>26524.664710344779</v>
      </c>
      <c r="H1973">
        <v>118.35</v>
      </c>
      <c r="I1973" s="1">
        <v>308.90999999999997</v>
      </c>
      <c r="J1973" s="16">
        <v>129407.72121657489</v>
      </c>
      <c r="K1973" s="5">
        <v>-5.4086033797153509E-2</v>
      </c>
      <c r="L1973" s="10">
        <v>-53784.894399999997</v>
      </c>
    </row>
    <row r="1974" spans="1:12" x14ac:dyDescent="0.25">
      <c r="A1974">
        <v>1973</v>
      </c>
      <c r="B1974" s="3">
        <v>0.1188320329832737</v>
      </c>
      <c r="C1974" s="3">
        <v>3.4569104648419884E-2</v>
      </c>
      <c r="D1974" s="1">
        <v>62771.874510573929</v>
      </c>
      <c r="E1974" s="1">
        <v>1717084</v>
      </c>
      <c r="F1974" s="1">
        <v>11810789</v>
      </c>
      <c r="G1974" s="16">
        <v>54722.393370377918</v>
      </c>
      <c r="H1974">
        <v>199.84</v>
      </c>
      <c r="I1974" s="1">
        <v>560.75</v>
      </c>
      <c r="J1974" s="16">
        <v>117494.26788095184</v>
      </c>
      <c r="K1974" s="5">
        <v>-1.0474932252151743E-2</v>
      </c>
      <c r="L1974" s="10">
        <v>-6706.5133999999998</v>
      </c>
    </row>
    <row r="1975" spans="1:12" x14ac:dyDescent="0.25">
      <c r="A1975">
        <v>1974</v>
      </c>
      <c r="B1975" s="3">
        <v>0.23147827816161276</v>
      </c>
      <c r="C1975" s="3">
        <v>6.4385761365691879E-2</v>
      </c>
      <c r="D1975" s="1">
        <v>221801.29563472705</v>
      </c>
      <c r="E1975" s="1">
        <v>15484100</v>
      </c>
      <c r="F1975" s="1">
        <v>53704252</v>
      </c>
      <c r="G1975" s="16">
        <v>11315.976474547078</v>
      </c>
      <c r="H1975">
        <v>107.49</v>
      </c>
      <c r="I1975" s="1">
        <v>441.51</v>
      </c>
      <c r="J1975" s="16">
        <v>233117.27210927414</v>
      </c>
      <c r="K1975" s="5">
        <v>5.9497646572243754E-2</v>
      </c>
      <c r="L1975" s="10">
        <v>168315.2353</v>
      </c>
    </row>
    <row r="1976" spans="1:12" x14ac:dyDescent="0.25">
      <c r="A1976">
        <v>1975</v>
      </c>
      <c r="B1976" s="3">
        <v>0.14987050381522149</v>
      </c>
      <c r="C1976" s="3">
        <v>6.686642620692429E-2</v>
      </c>
      <c r="D1976" s="1">
        <v>118491.44956188751</v>
      </c>
      <c r="E1976" s="1">
        <v>4245706</v>
      </c>
      <c r="F1976" s="1">
        <v>22766983</v>
      </c>
      <c r="G1976" s="16">
        <v>23738.740485337199</v>
      </c>
      <c r="H1976">
        <v>94.64</v>
      </c>
      <c r="I1976" s="1">
        <v>365.78999999999996</v>
      </c>
      <c r="J1976" s="16">
        <v>142230.19004722469</v>
      </c>
      <c r="K1976" s="5">
        <v>6.5617410196166306E-2</v>
      </c>
      <c r="L1976" s="10">
        <v>123067.3753</v>
      </c>
    </row>
    <row r="1977" spans="1:12" x14ac:dyDescent="0.25">
      <c r="A1977">
        <v>1976</v>
      </c>
      <c r="B1977" s="3">
        <v>0.21005257721496062</v>
      </c>
      <c r="C1977" s="3">
        <v>7.0118658526994129E-2</v>
      </c>
      <c r="D1977" s="1">
        <v>132324.05662922154</v>
      </c>
      <c r="E1977" s="1">
        <v>6359878</v>
      </c>
      <c r="F1977" s="1">
        <v>27868214</v>
      </c>
      <c r="G1977" s="16">
        <v>15337.716352226829</v>
      </c>
      <c r="H1977">
        <v>95.04</v>
      </c>
      <c r="I1977" s="1">
        <v>335.65000000000003</v>
      </c>
      <c r="J1977" s="16">
        <v>147661.77298144836</v>
      </c>
      <c r="K1977" s="5">
        <v>0.11626090145438253</v>
      </c>
      <c r="L1977" s="10">
        <v>186064.8947</v>
      </c>
    </row>
    <row r="1978" spans="1:12" x14ac:dyDescent="0.25">
      <c r="A1978">
        <v>1977</v>
      </c>
      <c r="B1978" s="3">
        <v>0.24027306116468938</v>
      </c>
      <c r="C1978" s="3">
        <v>2.8990197759717277E-2</v>
      </c>
      <c r="D1978" s="1">
        <v>82868.552316361762</v>
      </c>
      <c r="E1978" s="1">
        <v>3536881</v>
      </c>
      <c r="F1978" s="1">
        <v>15860087</v>
      </c>
      <c r="G1978" s="16">
        <v>18255.646785265613</v>
      </c>
      <c r="H1978">
        <v>188.04</v>
      </c>
      <c r="I1978" s="1">
        <v>670.21999999999991</v>
      </c>
      <c r="J1978" s="16">
        <v>101124.19910162737</v>
      </c>
      <c r="K1978" s="5">
        <v>4.720871793664623E-2</v>
      </c>
      <c r="L1978" s="10">
        <v>129884.75659999999</v>
      </c>
    </row>
    <row r="1979" spans="1:12" x14ac:dyDescent="0.25">
      <c r="A1979">
        <v>1978</v>
      </c>
      <c r="B1979" s="3">
        <v>0.11097964051644266</v>
      </c>
      <c r="C1979" s="3">
        <v>2.4328986262004054E-2</v>
      </c>
      <c r="D1979" s="1">
        <v>401426.20592070464</v>
      </c>
      <c r="E1979" s="1">
        <v>13528513</v>
      </c>
      <c r="F1979" s="1">
        <v>47253981</v>
      </c>
      <c r="G1979" s="16">
        <v>40809.037761852</v>
      </c>
      <c r="H1979">
        <v>139.72</v>
      </c>
      <c r="I1979" s="1">
        <v>454.64</v>
      </c>
      <c r="J1979" s="16">
        <v>442235.24368255667</v>
      </c>
      <c r="K1979" s="5">
        <v>0.14232673712300359</v>
      </c>
      <c r="L1979" s="10">
        <v>2269409.1101000002</v>
      </c>
    </row>
    <row r="1980" spans="1:12" x14ac:dyDescent="0.25">
      <c r="A1980">
        <v>1979</v>
      </c>
      <c r="B1980" s="3">
        <v>0.149790479855968</v>
      </c>
      <c r="C1980" s="3">
        <v>6.0369284115081551E-2</v>
      </c>
      <c r="D1980" s="1">
        <v>146090.119630214</v>
      </c>
      <c r="E1980" s="1">
        <v>4448826</v>
      </c>
      <c r="F1980" s="1">
        <v>20513189</v>
      </c>
      <c r="G1980" s="16">
        <v>40052.175243482881</v>
      </c>
      <c r="H1980">
        <v>187.79</v>
      </c>
      <c r="I1980" s="1">
        <v>570.18999999999994</v>
      </c>
      <c r="J1980" s="16">
        <v>186142.29487369687</v>
      </c>
      <c r="K1980" s="5">
        <v>8.4160452129363655E-2</v>
      </c>
      <c r="L1980" s="10">
        <v>177066.9901</v>
      </c>
    </row>
    <row r="1981" spans="1:12" x14ac:dyDescent="0.25">
      <c r="A1981">
        <v>1980</v>
      </c>
      <c r="B1981" s="3">
        <v>0.13540597071790822</v>
      </c>
      <c r="C1981" s="3">
        <v>4.1243184914137886E-2</v>
      </c>
      <c r="D1981" s="1">
        <v>78871.131197192808</v>
      </c>
      <c r="E1981" s="1">
        <v>2283934</v>
      </c>
      <c r="F1981" s="1">
        <v>15826656</v>
      </c>
      <c r="G1981" s="16">
        <v>42192.086142443128</v>
      </c>
      <c r="H1981">
        <v>175.77</v>
      </c>
      <c r="I1981" s="1">
        <v>653.59</v>
      </c>
      <c r="J1981" s="16">
        <v>121063.21733963594</v>
      </c>
      <c r="K1981" s="5">
        <v>0.31317150939721494</v>
      </c>
      <c r="L1981" s="10">
        <v>734500.48640000005</v>
      </c>
    </row>
    <row r="1982" spans="1:12" x14ac:dyDescent="0.25">
      <c r="A1982">
        <v>1981</v>
      </c>
      <c r="B1982" s="3">
        <v>0.24407302107398413</v>
      </c>
      <c r="C1982" s="3">
        <v>5.3669549155773655E-2</v>
      </c>
      <c r="D1982" s="1">
        <v>250624.13490843607</v>
      </c>
      <c r="E1982" s="1">
        <v>25138922</v>
      </c>
      <c r="F1982" s="1">
        <v>90063239</v>
      </c>
      <c r="G1982" s="16">
        <v>13731.962653283681</v>
      </c>
      <c r="H1982">
        <v>146.4</v>
      </c>
      <c r="I1982" s="1">
        <v>616.45999999999992</v>
      </c>
      <c r="J1982" s="16">
        <v>264356.09756171977</v>
      </c>
      <c r="K1982" s="5">
        <v>2.2514024232618557E-3</v>
      </c>
      <c r="L1982" s="10">
        <v>-6495.6875</v>
      </c>
    </row>
    <row r="1983" spans="1:12" x14ac:dyDescent="0.25">
      <c r="A1983">
        <v>1982</v>
      </c>
      <c r="B1983" s="3">
        <v>0.12113588569710357</v>
      </c>
      <c r="C1983" s="3">
        <v>2.7794587792312087E-2</v>
      </c>
      <c r="D1983" s="1">
        <v>213467.57344191888</v>
      </c>
      <c r="E1983" s="1">
        <v>6696510</v>
      </c>
      <c r="F1983" s="1">
        <v>24914730</v>
      </c>
      <c r="G1983" s="16">
        <v>48367.227314318501</v>
      </c>
      <c r="H1983">
        <v>179.72</v>
      </c>
      <c r="I1983" s="1">
        <v>571.53</v>
      </c>
      <c r="J1983" s="16">
        <v>261834.80075623738</v>
      </c>
      <c r="K1983" s="5">
        <v>0.16126678720108897</v>
      </c>
      <c r="L1983" s="10">
        <v>1262827.7187000001</v>
      </c>
    </row>
    <row r="1984" spans="1:12" x14ac:dyDescent="0.25">
      <c r="A1984">
        <v>1983</v>
      </c>
      <c r="B1984" s="3">
        <v>0.16113689191935485</v>
      </c>
      <c r="C1984" s="3">
        <v>2.9426490116822419E-2</v>
      </c>
      <c r="D1984" s="1">
        <v>148756.86010494892</v>
      </c>
      <c r="E1984" s="1">
        <v>4716362</v>
      </c>
      <c r="F1984" s="1">
        <v>20771892</v>
      </c>
      <c r="G1984" s="16">
        <v>25215.257224292727</v>
      </c>
      <c r="H1984">
        <v>108.97</v>
      </c>
      <c r="I1984" s="1">
        <v>336.32</v>
      </c>
      <c r="J1984" s="16">
        <v>173972.11732924165</v>
      </c>
      <c r="K1984" s="5">
        <v>0.12466381749644891</v>
      </c>
      <c r="L1984" s="10">
        <v>609015.66980000003</v>
      </c>
    </row>
    <row r="1985" spans="1:12" x14ac:dyDescent="0.25">
      <c r="A1985">
        <v>1984</v>
      </c>
      <c r="B1985" s="3">
        <v>0.12774440002563295</v>
      </c>
      <c r="C1985" s="3">
        <v>4.628036451381335E-2</v>
      </c>
      <c r="D1985" s="1">
        <v>200002.12659392966</v>
      </c>
      <c r="E1985" s="1">
        <v>6466400</v>
      </c>
      <c r="F1985" s="1">
        <v>35964238</v>
      </c>
      <c r="G1985" s="16">
        <v>32091.020039732655</v>
      </c>
      <c r="H1985">
        <v>125.76</v>
      </c>
      <c r="I1985" s="1">
        <v>446.10999999999996</v>
      </c>
      <c r="J1985" s="16">
        <v>232093.14663366231</v>
      </c>
      <c r="K1985" s="5">
        <v>6.6339142726773256E-2</v>
      </c>
      <c r="L1985" s="10">
        <v>303915.3578</v>
      </c>
    </row>
    <row r="1986" spans="1:12" x14ac:dyDescent="0.25">
      <c r="A1986">
        <v>1985</v>
      </c>
      <c r="B1986" s="3">
        <v>0.21469895250651116</v>
      </c>
      <c r="C1986" s="3">
        <v>2.7786737164063328E-2</v>
      </c>
      <c r="D1986" s="1">
        <v>63942.60806421376</v>
      </c>
      <c r="E1986" s="1">
        <v>2471072</v>
      </c>
      <c r="F1986" s="1">
        <v>13100962</v>
      </c>
      <c r="G1986" s="16">
        <v>24678.413953263193</v>
      </c>
      <c r="H1986">
        <v>201.59</v>
      </c>
      <c r="I1986" s="1">
        <v>699.92</v>
      </c>
      <c r="J1986" s="16">
        <v>88621.022017476949</v>
      </c>
      <c r="K1986" s="5">
        <v>0.27633995652370258</v>
      </c>
      <c r="L1986" s="10">
        <v>757112.7733</v>
      </c>
    </row>
    <row r="1987" spans="1:12" x14ac:dyDescent="0.25">
      <c r="A1987">
        <v>1986</v>
      </c>
      <c r="B1987" s="3">
        <v>0.16284929854864752</v>
      </c>
      <c r="C1987" s="3">
        <v>6.5397955937340407E-2</v>
      </c>
      <c r="D1987" s="1">
        <v>30092.292891126581</v>
      </c>
      <c r="E1987" s="1">
        <v>959947</v>
      </c>
      <c r="F1987" s="1">
        <v>11447248</v>
      </c>
      <c r="G1987" s="16">
        <v>30369.707871285729</v>
      </c>
      <c r="H1987">
        <v>158.62</v>
      </c>
      <c r="I1987" s="1">
        <v>544.09</v>
      </c>
      <c r="J1987" s="16">
        <v>60462.00076241231</v>
      </c>
      <c r="K1987" s="5">
        <v>0.11752260485245446</v>
      </c>
      <c r="L1987" s="10">
        <v>111555.1737</v>
      </c>
    </row>
    <row r="1988" spans="1:12" x14ac:dyDescent="0.25">
      <c r="A1988">
        <v>1987</v>
      </c>
      <c r="B1988" s="3">
        <v>0.20095317940415749</v>
      </c>
      <c r="C1988" s="3">
        <v>4.5891512231109842E-2</v>
      </c>
      <c r="D1988" s="1">
        <v>474296.61950933136</v>
      </c>
      <c r="E1988" s="1">
        <v>27251575</v>
      </c>
      <c r="F1988" s="1">
        <v>75277678</v>
      </c>
      <c r="G1988" s="16">
        <v>50633.115541667328</v>
      </c>
      <c r="H1988">
        <v>458.93</v>
      </c>
      <c r="I1988" s="1">
        <v>1048.99</v>
      </c>
      <c r="J1988" s="16">
        <v>524929.73505099863</v>
      </c>
      <c r="K1988" s="5">
        <v>0.12072299769597553</v>
      </c>
      <c r="L1988" s="10">
        <v>1007109.796</v>
      </c>
    </row>
    <row r="1989" spans="1:12" x14ac:dyDescent="0.25">
      <c r="A1989">
        <v>1988</v>
      </c>
      <c r="B1989" s="3">
        <v>0.12333741929870598</v>
      </c>
      <c r="C1989" s="3">
        <v>7.7450518779659902E-2</v>
      </c>
      <c r="D1989" s="1">
        <v>270556.84753598901</v>
      </c>
      <c r="E1989" s="1">
        <v>9779098</v>
      </c>
      <c r="F1989" s="1">
        <v>58075051</v>
      </c>
      <c r="G1989" s="16">
        <v>42330.259517492457</v>
      </c>
      <c r="H1989">
        <v>160.28</v>
      </c>
      <c r="I1989" s="1">
        <v>448.65</v>
      </c>
      <c r="J1989" s="16">
        <v>312887.10705348145</v>
      </c>
      <c r="K1989" s="5">
        <v>8.1492943058796091E-2</v>
      </c>
      <c r="L1989" s="10">
        <v>285161.28690000001</v>
      </c>
    </row>
    <row r="1990" spans="1:12" x14ac:dyDescent="0.25">
      <c r="A1990">
        <v>1989</v>
      </c>
      <c r="B1990" s="3">
        <v>0.24639238652939574</v>
      </c>
      <c r="C1990" s="3">
        <v>5.9699172533900113E-2</v>
      </c>
      <c r="D1990" s="1">
        <v>80182.518379592249</v>
      </c>
      <c r="E1990" s="1">
        <v>4652661</v>
      </c>
      <c r="F1990" s="1">
        <v>33137924</v>
      </c>
      <c r="G1990" s="16">
        <v>9513.8241639114367</v>
      </c>
      <c r="H1990">
        <v>78.069999999999993</v>
      </c>
      <c r="I1990" s="1">
        <v>227.29</v>
      </c>
      <c r="J1990" s="16">
        <v>89696.342543503692</v>
      </c>
      <c r="K1990" s="5">
        <v>0.1590094943545404</v>
      </c>
      <c r="L1990" s="10">
        <v>203602.00409999999</v>
      </c>
    </row>
    <row r="1991" spans="1:12" x14ac:dyDescent="0.25">
      <c r="A1991">
        <v>1990</v>
      </c>
      <c r="B1991" s="3">
        <v>0.20925388508078333</v>
      </c>
      <c r="C1991" s="3">
        <v>5.987654192647765E-2</v>
      </c>
      <c r="D1991" s="1">
        <v>100145.50384447617</v>
      </c>
      <c r="E1991" s="1">
        <v>3790737</v>
      </c>
      <c r="F1991" s="1">
        <v>14840911</v>
      </c>
      <c r="G1991" s="16">
        <v>16861.730305661848</v>
      </c>
      <c r="H1991">
        <v>131.05000000000001</v>
      </c>
      <c r="I1991" s="1">
        <v>390.9</v>
      </c>
      <c r="J1991" s="16">
        <v>117007.23415013801</v>
      </c>
      <c r="K1991" s="5">
        <v>-5.1000831153938386E-3</v>
      </c>
      <c r="L1991" s="10">
        <v>15446.6741</v>
      </c>
    </row>
    <row r="1992" spans="1:12" x14ac:dyDescent="0.25">
      <c r="A1992">
        <v>1991</v>
      </c>
      <c r="B1992" s="3">
        <v>0.12222193188514843</v>
      </c>
      <c r="C1992" s="3">
        <v>3.8582213278048116E-2</v>
      </c>
      <c r="D1992" s="1">
        <v>124941.16970460225</v>
      </c>
      <c r="E1992" s="1">
        <v>3457435</v>
      </c>
      <c r="F1992" s="1">
        <v>16557827</v>
      </c>
      <c r="G1992" s="16">
        <v>62887.746965969091</v>
      </c>
      <c r="H1992">
        <v>268.43</v>
      </c>
      <c r="I1992" s="1">
        <v>871.22</v>
      </c>
      <c r="J1992" s="16">
        <v>187828.91667057134</v>
      </c>
      <c r="K1992" s="5">
        <v>4.9632251967080813E-2</v>
      </c>
      <c r="L1992" s="10">
        <v>218147.8768</v>
      </c>
    </row>
    <row r="1993" spans="1:12" x14ac:dyDescent="0.25">
      <c r="A1993">
        <v>1992</v>
      </c>
      <c r="B1993" s="3">
        <v>0.11617268624474</v>
      </c>
      <c r="C1993" s="3">
        <v>2.9862108740504253E-2</v>
      </c>
      <c r="D1993" s="1">
        <v>155441.70670847336</v>
      </c>
      <c r="E1993" s="1">
        <v>4767609</v>
      </c>
      <c r="F1993" s="1">
        <v>23919562</v>
      </c>
      <c r="G1993" s="16">
        <v>61803.516740864725</v>
      </c>
      <c r="H1993">
        <v>220.57</v>
      </c>
      <c r="I1993" s="1">
        <v>630.92000000000007</v>
      </c>
      <c r="J1993" s="16">
        <v>217245.22344933808</v>
      </c>
      <c r="K1993" s="5">
        <v>0.18701874934966631</v>
      </c>
      <c r="L1993" s="10">
        <v>1108315.6333000001</v>
      </c>
    </row>
    <row r="1994" spans="1:12" x14ac:dyDescent="0.25">
      <c r="A1994">
        <v>1993</v>
      </c>
      <c r="B1994" s="3">
        <v>0.15514784060081352</v>
      </c>
      <c r="C1994" s="3">
        <v>5.5008043731311018E-2</v>
      </c>
      <c r="D1994" s="1">
        <v>284111.29900367151</v>
      </c>
      <c r="E1994" s="1">
        <v>10436822</v>
      </c>
      <c r="F1994" s="1">
        <v>35387413</v>
      </c>
      <c r="G1994" s="16">
        <v>23291.421073114881</v>
      </c>
      <c r="H1994">
        <v>96.4</v>
      </c>
      <c r="I1994" s="1">
        <v>324.02</v>
      </c>
      <c r="J1994" s="16">
        <v>307402.72007678641</v>
      </c>
      <c r="K1994" s="5">
        <v>0.18563262940092018</v>
      </c>
      <c r="L1994" s="10">
        <v>752171.24910000002</v>
      </c>
    </row>
    <row r="1995" spans="1:12" x14ac:dyDescent="0.25">
      <c r="A1995">
        <v>1994</v>
      </c>
      <c r="B1995" s="3">
        <v>0.16124644133801047</v>
      </c>
      <c r="C1995" s="3">
        <v>7.2297941899472695E-2</v>
      </c>
      <c r="D1995" s="1">
        <v>276000.41386207298</v>
      </c>
      <c r="E1995" s="1">
        <v>10436981</v>
      </c>
      <c r="F1995" s="1">
        <v>40456881</v>
      </c>
      <c r="G1995" s="16">
        <v>50478.928227635173</v>
      </c>
      <c r="H1995">
        <v>260.45999999999998</v>
      </c>
      <c r="I1995" s="1">
        <v>614.54999999999995</v>
      </c>
      <c r="J1995" s="16">
        <v>326479.34208970814</v>
      </c>
      <c r="K1995" s="5">
        <v>7.0459242844714359E-2</v>
      </c>
      <c r="L1995" s="10">
        <v>210394.68900000001</v>
      </c>
    </row>
    <row r="1996" spans="1:12" x14ac:dyDescent="0.25">
      <c r="A1996">
        <v>1995</v>
      </c>
      <c r="B1996" s="3">
        <v>0.1288674768838981</v>
      </c>
      <c r="C1996" s="3">
        <v>3.8248996932184295E-2</v>
      </c>
      <c r="D1996" s="1">
        <v>115724.71456482554</v>
      </c>
      <c r="E1996" s="1">
        <v>3760902</v>
      </c>
      <c r="F1996" s="1">
        <v>25305746</v>
      </c>
      <c r="G1996" s="16">
        <v>65601.509720508067</v>
      </c>
      <c r="H1996">
        <v>297.66000000000003</v>
      </c>
      <c r="I1996" s="1">
        <v>868.77</v>
      </c>
      <c r="J1996" s="16">
        <v>181326.22428533359</v>
      </c>
      <c r="K1996" s="5">
        <v>0.21840189974201732</v>
      </c>
      <c r="L1996" s="10">
        <v>854847.18689999997</v>
      </c>
    </row>
    <row r="1997" spans="1:12" x14ac:dyDescent="0.25">
      <c r="A1997">
        <v>1996</v>
      </c>
      <c r="B1997" s="3">
        <v>0.22647230775794225</v>
      </c>
      <c r="C1997" s="3">
        <v>3.1541150903888357E-2</v>
      </c>
      <c r="D1997" s="1">
        <v>209693.72536373339</v>
      </c>
      <c r="E1997" s="1">
        <v>10961882</v>
      </c>
      <c r="F1997" s="1">
        <v>42071206</v>
      </c>
      <c r="G1997" s="16">
        <v>20274.040122936349</v>
      </c>
      <c r="H1997">
        <v>184.05</v>
      </c>
      <c r="I1997" s="1">
        <v>636.01</v>
      </c>
      <c r="J1997" s="16">
        <v>229967.76548666973</v>
      </c>
      <c r="K1997" s="5">
        <v>0.22811249086503141</v>
      </c>
      <c r="L1997" s="10">
        <v>1387181.6262000001</v>
      </c>
    </row>
    <row r="1998" spans="1:12" x14ac:dyDescent="0.25">
      <c r="A1998">
        <v>1997</v>
      </c>
      <c r="B1998" s="3">
        <v>0.22422766376233436</v>
      </c>
      <c r="C1998" s="3">
        <v>2.1644306401434318E-2</v>
      </c>
      <c r="D1998" s="1">
        <v>32680.617846210451</v>
      </c>
      <c r="E1998" s="1">
        <v>1016306</v>
      </c>
      <c r="F1998" s="1">
        <v>7968947</v>
      </c>
      <c r="G1998" s="16">
        <v>8683.1834705290275</v>
      </c>
      <c r="H1998">
        <v>59.94</v>
      </c>
      <c r="I1998" s="1">
        <v>236.26</v>
      </c>
      <c r="J1998" s="16">
        <v>41363.801316739482</v>
      </c>
      <c r="K1998" s="5">
        <v>0.1377542855682814</v>
      </c>
      <c r="L1998" s="10">
        <v>241373.02619999999</v>
      </c>
    </row>
    <row r="1999" spans="1:12" x14ac:dyDescent="0.25">
      <c r="A1999">
        <v>1998</v>
      </c>
      <c r="B1999" s="3">
        <v>0.1773167738929286</v>
      </c>
      <c r="C1999" s="3">
        <v>3.331578140888574E-2</v>
      </c>
      <c r="D1999" s="1">
        <v>156008.92285691734</v>
      </c>
      <c r="E1999" s="1">
        <v>5243898</v>
      </c>
      <c r="F1999" s="1">
        <v>21193231</v>
      </c>
      <c r="G1999" s="16">
        <v>26559.547885655913</v>
      </c>
      <c r="H1999">
        <v>156.84</v>
      </c>
      <c r="I1999" s="1">
        <v>522.85</v>
      </c>
      <c r="J1999" s="16">
        <v>182568.47074257326</v>
      </c>
      <c r="K1999" s="5">
        <v>0.12316892804176086</v>
      </c>
      <c r="L1999" s="10">
        <v>555419.00289999996</v>
      </c>
    </row>
    <row r="2000" spans="1:12" x14ac:dyDescent="0.25">
      <c r="A2000">
        <v>1999</v>
      </c>
      <c r="B2000" s="3">
        <v>0.23994655871692583</v>
      </c>
      <c r="C2000" s="3">
        <v>3.3299321741121476E-2</v>
      </c>
      <c r="D2000" s="1">
        <v>40775.905095276801</v>
      </c>
      <c r="E2000" s="1">
        <v>1738095</v>
      </c>
      <c r="F2000" s="1">
        <v>13470402</v>
      </c>
      <c r="G2000" s="16">
        <v>7044.9553153140741</v>
      </c>
      <c r="H2000">
        <v>54.89</v>
      </c>
      <c r="I2000" s="1">
        <v>232.58999999999997</v>
      </c>
      <c r="J2000" s="16">
        <v>47820.860410590874</v>
      </c>
      <c r="K2000" s="5">
        <v>-6.3842905482382167E-2</v>
      </c>
      <c r="L2000" s="10">
        <v>-74483.497399999993</v>
      </c>
    </row>
    <row r="2001" spans="1:12" x14ac:dyDescent="0.25">
      <c r="A2001">
        <v>2000</v>
      </c>
      <c r="B2001" s="3">
        <v>0.14364309129615419</v>
      </c>
      <c r="C2001" s="3">
        <v>4.7775334604634095E-2</v>
      </c>
      <c r="D2001" s="1">
        <v>206697.81413377225</v>
      </c>
      <c r="E2001" s="1">
        <v>7193157</v>
      </c>
      <c r="F2001" s="1">
        <v>22678695</v>
      </c>
      <c r="G2001" s="16">
        <v>48011.510461818012</v>
      </c>
      <c r="H2001">
        <v>213.75</v>
      </c>
      <c r="I2001" s="1">
        <v>752.75</v>
      </c>
      <c r="J2001" s="16">
        <v>254709.32459559027</v>
      </c>
      <c r="K2001" s="5">
        <v>9.054791386536723E-2</v>
      </c>
      <c r="L2001" s="10">
        <v>347755.00540000002</v>
      </c>
    </row>
    <row r="2002" spans="1:12" x14ac:dyDescent="0.25">
      <c r="A2002">
        <v>2001</v>
      </c>
      <c r="B2002" s="3">
        <v>0.19287513866202799</v>
      </c>
      <c r="C2002" s="3">
        <v>7.7219688081336071E-2</v>
      </c>
      <c r="D2002" s="1">
        <v>106153.28285326605</v>
      </c>
      <c r="E2002" s="1">
        <v>3778455</v>
      </c>
      <c r="F2002" s="1">
        <v>17424526</v>
      </c>
      <c r="G2002" s="16">
        <v>34744.66463338316</v>
      </c>
      <c r="H2002">
        <v>234.18</v>
      </c>
      <c r="I2002" s="1">
        <v>680.84</v>
      </c>
      <c r="J2002" s="16">
        <v>140897.94748664921</v>
      </c>
      <c r="K2002" s="5">
        <v>0.10798879912756754</v>
      </c>
      <c r="L2002" s="10">
        <v>143750.69200000001</v>
      </c>
    </row>
    <row r="2003" spans="1:12" x14ac:dyDescent="0.25">
      <c r="A2003">
        <v>2002</v>
      </c>
      <c r="B2003" s="3">
        <v>0.17135968822559089</v>
      </c>
      <c r="C2003" s="3">
        <v>3.4040349890273103E-2</v>
      </c>
      <c r="D2003" s="1">
        <v>76894.053829907934</v>
      </c>
      <c r="E2003" s="1">
        <v>2529284</v>
      </c>
      <c r="F2003" s="1">
        <v>14791174</v>
      </c>
      <c r="G2003" s="16">
        <v>32363.850888178291</v>
      </c>
      <c r="H2003">
        <v>181.31</v>
      </c>
      <c r="I2003" s="1">
        <v>610.78</v>
      </c>
      <c r="J2003" s="16">
        <v>109257.90471808623</v>
      </c>
      <c r="K2003" s="5">
        <v>0.34551828677657237</v>
      </c>
      <c r="L2003" s="10">
        <v>914204.03879999998</v>
      </c>
    </row>
    <row r="2004" spans="1:12" x14ac:dyDescent="0.25">
      <c r="A2004">
        <v>2003</v>
      </c>
      <c r="B2004" s="3">
        <v>0.2437012731195847</v>
      </c>
      <c r="C2004" s="3">
        <v>5.551920811152232E-2</v>
      </c>
      <c r="D2004" s="1">
        <v>45958.237306584131</v>
      </c>
      <c r="E2004" s="1">
        <v>2629013</v>
      </c>
      <c r="F2004" s="1">
        <v>22485653</v>
      </c>
      <c r="G2004" s="16">
        <v>6910.983885275914</v>
      </c>
      <c r="H2004">
        <v>41.96</v>
      </c>
      <c r="I2004" s="1">
        <v>127.91999999999999</v>
      </c>
      <c r="J2004" s="16">
        <v>52869.221191860044</v>
      </c>
      <c r="K2004" s="5">
        <v>0.19993669019345184</v>
      </c>
      <c r="L2004" s="10">
        <v>195006.5485</v>
      </c>
    </row>
    <row r="2005" spans="1:12" x14ac:dyDescent="0.25">
      <c r="A2005">
        <v>2004</v>
      </c>
      <c r="B2005" s="3">
        <v>0.23339120012710601</v>
      </c>
      <c r="C2005" s="3">
        <v>5.4422455074249809E-2</v>
      </c>
      <c r="D2005" s="1">
        <v>168746.41947475853</v>
      </c>
      <c r="E2005" s="1">
        <v>9144119</v>
      </c>
      <c r="F2005" s="1">
        <v>40614877</v>
      </c>
      <c r="G2005" s="16">
        <v>17104.785542880363</v>
      </c>
      <c r="H2005">
        <v>165.56</v>
      </c>
      <c r="I2005" s="1">
        <v>600.07999999999993</v>
      </c>
      <c r="J2005" s="16">
        <v>185851.20501763889</v>
      </c>
      <c r="K2005" s="5">
        <v>0.17217527494332968</v>
      </c>
      <c r="L2005" s="10">
        <v>429790.2279</v>
      </c>
    </row>
    <row r="2006" spans="1:12" x14ac:dyDescent="0.25">
      <c r="A2006">
        <v>2005</v>
      </c>
      <c r="B2006" s="3">
        <v>0.19839094153848114</v>
      </c>
      <c r="C2006" s="3">
        <v>7.3791055709011899E-2</v>
      </c>
      <c r="D2006" s="1">
        <v>219772.31017560582</v>
      </c>
      <c r="E2006" s="1">
        <v>12426902</v>
      </c>
      <c r="F2006" s="1">
        <v>49695025</v>
      </c>
      <c r="G2006" s="16">
        <v>35119.549464451724</v>
      </c>
      <c r="H2006">
        <v>309.88</v>
      </c>
      <c r="I2006" s="1">
        <v>942.18999999999994</v>
      </c>
      <c r="J2006" s="16">
        <v>254891.85964005755</v>
      </c>
      <c r="K2006" s="5">
        <v>0.18189427410845346</v>
      </c>
      <c r="L2006" s="10">
        <v>422333.91</v>
      </c>
    </row>
    <row r="2007" spans="1:12" x14ac:dyDescent="0.25">
      <c r="A2007">
        <v>2006</v>
      </c>
      <c r="B2007" s="3">
        <v>0.21352123782136223</v>
      </c>
      <c r="C2007" s="3">
        <v>6.1355948940437513E-2</v>
      </c>
      <c r="D2007" s="1">
        <v>128814.22496915709</v>
      </c>
      <c r="E2007" s="1">
        <v>4955709</v>
      </c>
      <c r="F2007" s="1">
        <v>20044620</v>
      </c>
      <c r="G2007" s="16">
        <v>32960.880204018024</v>
      </c>
      <c r="H2007">
        <v>266.52999999999997</v>
      </c>
      <c r="I2007" s="1">
        <v>630.5</v>
      </c>
      <c r="J2007" s="16">
        <v>161775.10517317511</v>
      </c>
      <c r="K2007" s="5">
        <v>0.23678963151590582</v>
      </c>
      <c r="L2007" s="10">
        <v>422883.3786</v>
      </c>
    </row>
    <row r="2008" spans="1:12" x14ac:dyDescent="0.25">
      <c r="A2008">
        <v>2007</v>
      </c>
      <c r="B2008" s="3">
        <v>0.10586341131326148</v>
      </c>
      <c r="C2008" s="3">
        <v>6.8097984023335653E-2</v>
      </c>
      <c r="D2008" s="1">
        <v>517181.81751811597</v>
      </c>
      <c r="E2008" s="1">
        <v>16936612</v>
      </c>
      <c r="F2008" s="1">
        <v>55298711</v>
      </c>
      <c r="G2008" s="16">
        <v>29178.06455416789</v>
      </c>
      <c r="H2008">
        <v>85.94</v>
      </c>
      <c r="I2008" s="1">
        <v>306.91999999999996</v>
      </c>
      <c r="J2008" s="16">
        <v>546359.88207228389</v>
      </c>
      <c r="K2008" s="5">
        <v>4.9221651036013551E-2</v>
      </c>
      <c r="L2008" s="10">
        <v>281955.9302</v>
      </c>
    </row>
    <row r="2009" spans="1:12" x14ac:dyDescent="0.25">
      <c r="A2009">
        <v>2008</v>
      </c>
      <c r="B2009" s="3">
        <v>0.12125576251712444</v>
      </c>
      <c r="C2009" s="3">
        <v>6.5480776237168303E-2</v>
      </c>
      <c r="D2009" s="1">
        <v>633876.20322026254</v>
      </c>
      <c r="E2009" s="1">
        <v>22640975</v>
      </c>
      <c r="F2009" s="1">
        <v>77926582</v>
      </c>
      <c r="G2009" s="16">
        <v>52032.282861619671</v>
      </c>
      <c r="H2009">
        <v>193.07</v>
      </c>
      <c r="I2009" s="1">
        <v>493.41</v>
      </c>
      <c r="J2009" s="16">
        <v>685908.48608188226</v>
      </c>
      <c r="K2009" s="5">
        <v>0.11573874208797949</v>
      </c>
      <c r="L2009" s="10">
        <v>863010.76410000003</v>
      </c>
    </row>
    <row r="2010" spans="1:12" x14ac:dyDescent="0.25">
      <c r="A2010">
        <v>2009</v>
      </c>
      <c r="B2010" s="3">
        <v>0.17779510239170171</v>
      </c>
      <c r="C2010" s="3">
        <v>6.774235302976897E-2</v>
      </c>
      <c r="D2010" s="1">
        <v>112761.7549282853</v>
      </c>
      <c r="E2010" s="1">
        <v>3796862</v>
      </c>
      <c r="F2010" s="1">
        <v>19456789</v>
      </c>
      <c r="G2010" s="16">
        <v>21697.653925137147</v>
      </c>
      <c r="H2010">
        <v>128.51</v>
      </c>
      <c r="I2010" s="1">
        <v>446.01</v>
      </c>
      <c r="J2010" s="16">
        <v>134459.40885342244</v>
      </c>
      <c r="K2010" s="5">
        <v>7.1722207244865083E-2</v>
      </c>
      <c r="L2010" s="10">
        <v>115457.7475</v>
      </c>
    </row>
    <row r="2011" spans="1:12" x14ac:dyDescent="0.25">
      <c r="A2011">
        <v>2010</v>
      </c>
      <c r="B2011" s="3">
        <v>0.21770778053798029</v>
      </c>
      <c r="C2011" s="3">
        <v>4.3083526067986773E-2</v>
      </c>
      <c r="D2011" s="1">
        <v>162865.50288408314</v>
      </c>
      <c r="E2011" s="1">
        <v>8138724</v>
      </c>
      <c r="F2011" s="1">
        <v>39047714</v>
      </c>
      <c r="G2011" s="16">
        <v>8468.0621868566268</v>
      </c>
      <c r="H2011">
        <v>43.46</v>
      </c>
      <c r="I2011" s="1">
        <v>171.32</v>
      </c>
      <c r="J2011" s="16">
        <v>171333.56507093977</v>
      </c>
      <c r="K2011" s="5">
        <v>0.13254369158105528</v>
      </c>
      <c r="L2011" s="10">
        <v>454880.4571</v>
      </c>
    </row>
    <row r="2012" spans="1:12" x14ac:dyDescent="0.25">
      <c r="A2012">
        <v>2011</v>
      </c>
      <c r="B2012" s="3">
        <v>0.2220629792900794</v>
      </c>
      <c r="C2012" s="3">
        <v>4.3874357537227758E-2</v>
      </c>
      <c r="D2012" s="1">
        <v>156468.14251134181</v>
      </c>
      <c r="E2012" s="1">
        <v>7995597</v>
      </c>
      <c r="F2012" s="1">
        <v>31750991</v>
      </c>
      <c r="G2012" s="16">
        <v>24691.645258986726</v>
      </c>
      <c r="H2012">
        <v>215.43</v>
      </c>
      <c r="I2012" s="1">
        <v>719.13000000000011</v>
      </c>
      <c r="J2012" s="16">
        <v>181159.78777032852</v>
      </c>
      <c r="K2012" s="5">
        <v>4.6209951332331481E-2</v>
      </c>
      <c r="L2012" s="10">
        <v>179337.97200000001</v>
      </c>
    </row>
    <row r="2013" spans="1:12" x14ac:dyDescent="0.25">
      <c r="A2013">
        <v>2012</v>
      </c>
      <c r="B2013" s="3">
        <v>0.18902981702836391</v>
      </c>
      <c r="C2013" s="3">
        <v>2.3148307523008206E-2</v>
      </c>
      <c r="D2013" s="1">
        <v>136819.73760745226</v>
      </c>
      <c r="E2013" s="1">
        <v>5920144</v>
      </c>
      <c r="F2013" s="1">
        <v>29059269</v>
      </c>
      <c r="G2013" s="16">
        <v>27308.615210457869</v>
      </c>
      <c r="H2013">
        <v>177.91</v>
      </c>
      <c r="I2013" s="1">
        <v>519.99</v>
      </c>
      <c r="J2013" s="16">
        <v>164128.35281791014</v>
      </c>
      <c r="K2013" s="5">
        <v>1.3317723646627498E-2</v>
      </c>
      <c r="L2013" s="10">
        <v>117781.4256</v>
      </c>
    </row>
    <row r="2014" spans="1:12" x14ac:dyDescent="0.25">
      <c r="A2014">
        <v>2013</v>
      </c>
      <c r="B2014" s="3">
        <v>0.22223756270501083</v>
      </c>
      <c r="C2014" s="3">
        <v>6.3696150759755238E-2</v>
      </c>
      <c r="D2014" s="1">
        <v>172757.81753073484</v>
      </c>
      <c r="E2014" s="1">
        <v>8835932</v>
      </c>
      <c r="F2014" s="1">
        <v>40119304</v>
      </c>
      <c r="G2014" s="16">
        <v>21416.699760274892</v>
      </c>
      <c r="H2014">
        <v>240.53</v>
      </c>
      <c r="I2014" s="1">
        <v>813.18000000000006</v>
      </c>
      <c r="J2014" s="16">
        <v>194174.51729100975</v>
      </c>
      <c r="K2014" s="5">
        <v>0.16524699828349859</v>
      </c>
      <c r="L2014" s="10">
        <v>382490.04920000001</v>
      </c>
    </row>
    <row r="2015" spans="1:12" x14ac:dyDescent="0.25">
      <c r="A2015">
        <v>2014</v>
      </c>
      <c r="B2015" s="3">
        <v>0.15439857180139419</v>
      </c>
      <c r="C2015" s="3">
        <v>7.1772844420076379E-2</v>
      </c>
      <c r="D2015" s="1">
        <v>247832.64667620024</v>
      </c>
      <c r="E2015" s="1">
        <v>10728353</v>
      </c>
      <c r="F2015" s="1">
        <v>44621218</v>
      </c>
      <c r="G2015" s="16">
        <v>21904.160304420529</v>
      </c>
      <c r="H2015">
        <v>90.18</v>
      </c>
      <c r="I2015" s="1">
        <v>329.8</v>
      </c>
      <c r="J2015" s="16">
        <v>269736.80698062078</v>
      </c>
      <c r="K2015" s="5">
        <v>0.1432135171819589</v>
      </c>
      <c r="L2015" s="10">
        <v>390713.92629999999</v>
      </c>
    </row>
    <row r="2016" spans="1:12" x14ac:dyDescent="0.25">
      <c r="A2016">
        <v>2015</v>
      </c>
      <c r="B2016" s="3">
        <v>0.15886351686250749</v>
      </c>
      <c r="C2016" s="3">
        <v>7.4584478815354238E-2</v>
      </c>
      <c r="D2016" s="1">
        <v>176338.39762411892</v>
      </c>
      <c r="E2016" s="1">
        <v>6593011</v>
      </c>
      <c r="F2016" s="1">
        <v>28703250</v>
      </c>
      <c r="G2016" s="16">
        <v>31847.201066374626</v>
      </c>
      <c r="H2016">
        <v>160.68</v>
      </c>
      <c r="I2016" s="1">
        <v>632.12</v>
      </c>
      <c r="J2016" s="16">
        <v>208185.59869049356</v>
      </c>
      <c r="K2016" s="5">
        <v>9.8145705918210091E-2</v>
      </c>
      <c r="L2016" s="10">
        <v>218057.78</v>
      </c>
    </row>
    <row r="2017" spans="1:12" x14ac:dyDescent="0.25">
      <c r="A2017">
        <v>2016</v>
      </c>
      <c r="B2017" s="3">
        <v>0.22708764066784068</v>
      </c>
      <c r="C2017" s="3">
        <v>6.0322364701503012E-2</v>
      </c>
      <c r="D2017" s="1">
        <v>189452.96388253348</v>
      </c>
      <c r="E2017" s="1">
        <v>9935360</v>
      </c>
      <c r="F2017" s="1">
        <v>34697789</v>
      </c>
      <c r="G2017" s="16">
        <v>32991.237336654282</v>
      </c>
      <c r="H2017">
        <v>301.20999999999998</v>
      </c>
      <c r="I2017" s="1">
        <v>764.57999999999993</v>
      </c>
      <c r="J2017" s="16">
        <v>222444.20121918776</v>
      </c>
      <c r="K2017" s="5">
        <v>3.3045694858432652E-2</v>
      </c>
      <c r="L2017" s="10">
        <v>103666.7271</v>
      </c>
    </row>
    <row r="2018" spans="1:12" x14ac:dyDescent="0.25">
      <c r="A2018">
        <v>2017</v>
      </c>
      <c r="B2018" s="3">
        <v>0.11316961672691227</v>
      </c>
      <c r="C2018" s="3">
        <v>5.8442733817485715E-2</v>
      </c>
      <c r="D2018" s="1">
        <v>251965.37805690712</v>
      </c>
      <c r="E2018" s="1">
        <v>7623971</v>
      </c>
      <c r="F2018" s="1">
        <v>32223684</v>
      </c>
      <c r="G2018" s="16">
        <v>58124.971687268422</v>
      </c>
      <c r="H2018">
        <v>202.73</v>
      </c>
      <c r="I2018" s="1">
        <v>719.57999999999993</v>
      </c>
      <c r="J2018" s="16">
        <v>310090.34974417556</v>
      </c>
      <c r="K2018" s="5">
        <v>3.8424822202093943E-2</v>
      </c>
      <c r="L2018" s="10">
        <v>186947.74400000001</v>
      </c>
    </row>
    <row r="2019" spans="1:12" x14ac:dyDescent="0.25">
      <c r="A2019">
        <v>2018</v>
      </c>
      <c r="B2019" s="3">
        <v>0.12649011256104928</v>
      </c>
      <c r="C2019" s="3">
        <v>5.0682671905901776E-2</v>
      </c>
      <c r="D2019" s="1">
        <v>267779.69867711049</v>
      </c>
      <c r="E2019" s="1">
        <v>9854645</v>
      </c>
      <c r="F2019" s="1">
        <v>46012366</v>
      </c>
      <c r="G2019" s="16">
        <v>27189.226177860775</v>
      </c>
      <c r="H2019">
        <v>92.03</v>
      </c>
      <c r="I2019" s="1">
        <v>278.51</v>
      </c>
      <c r="J2019" s="16">
        <v>294968.92485497124</v>
      </c>
      <c r="K2019" s="5">
        <v>0.10170607294163077</v>
      </c>
      <c r="L2019" s="10">
        <v>494259.3419</v>
      </c>
    </row>
    <row r="2020" spans="1:12" x14ac:dyDescent="0.25">
      <c r="A2020">
        <v>2019</v>
      </c>
      <c r="B2020" s="3">
        <v>0.22509553609532981</v>
      </c>
      <c r="C2020" s="3">
        <v>6.2822846072551883E-2</v>
      </c>
      <c r="D2020" s="1">
        <v>66644.240944471632</v>
      </c>
      <c r="E2020" s="1">
        <v>2680533</v>
      </c>
      <c r="F2020" s="1">
        <v>18137328</v>
      </c>
      <c r="G2020" s="16">
        <v>11498.949569811282</v>
      </c>
      <c r="H2020">
        <v>61.85</v>
      </c>
      <c r="I2020" s="1">
        <v>175.93</v>
      </c>
      <c r="J2020" s="16">
        <v>78143.19051428292</v>
      </c>
      <c r="K2020" s="5">
        <v>7.2258310085369509E-2</v>
      </c>
      <c r="L2020" s="10">
        <v>70307.906400000007</v>
      </c>
    </row>
    <row r="2021" spans="1:12" x14ac:dyDescent="0.25">
      <c r="A2021">
        <v>2020</v>
      </c>
      <c r="B2021" s="3">
        <v>0.20085535566367696</v>
      </c>
      <c r="C2021" s="3">
        <v>6.2404539628511099E-2</v>
      </c>
      <c r="D2021" s="1">
        <v>118813.36683229293</v>
      </c>
      <c r="E2021" s="1">
        <v>4357040</v>
      </c>
      <c r="F2021" s="1">
        <v>18083856</v>
      </c>
      <c r="G2021" s="16">
        <v>36119.696224422361</v>
      </c>
      <c r="H2021">
        <v>326.18</v>
      </c>
      <c r="I2021" s="1">
        <v>964.2</v>
      </c>
      <c r="J2021" s="16">
        <v>154933.0630567153</v>
      </c>
      <c r="K2021" s="5">
        <v>4.7809131854663026E-2</v>
      </c>
      <c r="L2021" s="10">
        <v>110134.0147</v>
      </c>
    </row>
    <row r="2022" spans="1:12" x14ac:dyDescent="0.25">
      <c r="A2022">
        <v>2021</v>
      </c>
      <c r="B2022" s="3">
        <v>0.22681541471809191</v>
      </c>
      <c r="C2022" s="3">
        <v>2.6840610572642032E-2</v>
      </c>
      <c r="D2022" s="1">
        <v>160215.44114414279</v>
      </c>
      <c r="E2022" s="1">
        <v>8390236</v>
      </c>
      <c r="F2022" s="1">
        <v>30900085</v>
      </c>
      <c r="G2022" s="16">
        <v>8388.9496516878371</v>
      </c>
      <c r="H2022">
        <v>59.16</v>
      </c>
      <c r="I2022" s="1">
        <v>306.14999999999998</v>
      </c>
      <c r="J2022" s="16">
        <v>168604.39079583064</v>
      </c>
      <c r="K2022" s="5">
        <v>3.0234400421496853E-2</v>
      </c>
      <c r="L2022" s="10">
        <v>189372.10209999999</v>
      </c>
    </row>
    <row r="2023" spans="1:12" x14ac:dyDescent="0.25">
      <c r="A2023">
        <v>2022</v>
      </c>
      <c r="B2023" s="3">
        <v>0.23325414213283432</v>
      </c>
      <c r="C2023" s="3">
        <v>2.8506656195150713E-2</v>
      </c>
      <c r="D2023" s="1">
        <v>48002.30610108353</v>
      </c>
      <c r="E2023" s="1">
        <v>1528136</v>
      </c>
      <c r="F2023" s="1">
        <v>10686770</v>
      </c>
      <c r="G2023" s="16">
        <v>16922.20003391225</v>
      </c>
      <c r="H2023">
        <v>163.06</v>
      </c>
      <c r="I2023" s="1">
        <v>576.45000000000005</v>
      </c>
      <c r="J2023" s="16">
        <v>64924.506134995783</v>
      </c>
      <c r="K2023" s="5">
        <v>0.1523224862049074</v>
      </c>
      <c r="L2023" s="10">
        <v>305027.65759999998</v>
      </c>
    </row>
    <row r="2024" spans="1:12" x14ac:dyDescent="0.25">
      <c r="A2024">
        <v>2023</v>
      </c>
      <c r="B2024" s="3">
        <v>0.1461334263690813</v>
      </c>
      <c r="C2024" s="3">
        <v>6.9000384979870655E-2</v>
      </c>
      <c r="D2024" s="1">
        <v>126271.28196826944</v>
      </c>
      <c r="E2024" s="1">
        <v>4445771</v>
      </c>
      <c r="F2024" s="1">
        <v>29974891</v>
      </c>
      <c r="G2024" s="16">
        <v>45040.193706091202</v>
      </c>
      <c r="H2024">
        <v>204.88</v>
      </c>
      <c r="I2024" s="1">
        <v>487.87</v>
      </c>
      <c r="J2024" s="16">
        <v>171311.47567436064</v>
      </c>
      <c r="K2024" s="5">
        <v>0.19937825462052272</v>
      </c>
      <c r="L2024" s="10">
        <v>380244.68680000002</v>
      </c>
    </row>
    <row r="2025" spans="1:12" x14ac:dyDescent="0.25">
      <c r="A2025">
        <v>2024</v>
      </c>
      <c r="B2025" s="3">
        <v>0.12027451617504949</v>
      </c>
      <c r="C2025" s="3">
        <v>6.637547629747087E-2</v>
      </c>
      <c r="D2025" s="1">
        <v>214125.65876477773</v>
      </c>
      <c r="E2025" s="1">
        <v>6690875</v>
      </c>
      <c r="F2025" s="1">
        <v>30241981</v>
      </c>
      <c r="G2025" s="16">
        <v>14759.696141389068</v>
      </c>
      <c r="H2025">
        <v>47.98</v>
      </c>
      <c r="I2025" s="1">
        <v>209.54999999999998</v>
      </c>
      <c r="J2025" s="16">
        <v>228885.35490616679</v>
      </c>
      <c r="K2025" s="5">
        <v>0.26350663695107623</v>
      </c>
      <c r="L2025" s="10">
        <v>627543.72840000002</v>
      </c>
    </row>
    <row r="2026" spans="1:12" x14ac:dyDescent="0.25">
      <c r="A2026">
        <v>2025</v>
      </c>
      <c r="B2026" s="3">
        <v>0.2423494091741174</v>
      </c>
      <c r="C2026" s="3">
        <v>4.1543660534750233E-2</v>
      </c>
      <c r="D2026" s="1">
        <v>64618.72648817124</v>
      </c>
      <c r="E2026" s="1">
        <v>2780701</v>
      </c>
      <c r="F2026" s="1">
        <v>17296567</v>
      </c>
      <c r="G2026" s="16">
        <v>14397.008179912225</v>
      </c>
      <c r="H2026">
        <v>151.35</v>
      </c>
      <c r="I2026" s="1">
        <v>464.51</v>
      </c>
      <c r="J2026" s="16">
        <v>79015.73466808346</v>
      </c>
      <c r="K2026" s="5">
        <v>6.1222250042995252E-2</v>
      </c>
      <c r="L2026" s="10">
        <v>108532.12609999999</v>
      </c>
    </row>
    <row r="2027" spans="1:12" x14ac:dyDescent="0.25">
      <c r="A2027">
        <v>2026</v>
      </c>
      <c r="B2027" s="3">
        <v>0.17110891153487418</v>
      </c>
      <c r="C2027" s="3">
        <v>3.1626756336116495E-2</v>
      </c>
      <c r="D2027" s="1">
        <v>232871.80306951664</v>
      </c>
      <c r="E2027" s="1">
        <v>9232729</v>
      </c>
      <c r="F2027" s="1">
        <v>40695731</v>
      </c>
      <c r="G2027" s="16">
        <v>62981.64515589967</v>
      </c>
      <c r="H2027">
        <v>424.68</v>
      </c>
      <c r="I2027" s="1">
        <v>1327.73</v>
      </c>
      <c r="J2027" s="16">
        <v>295853.4482254163</v>
      </c>
      <c r="K2027" s="5">
        <v>0.10275504785006384</v>
      </c>
      <c r="L2027" s="10">
        <v>779592.03529999999</v>
      </c>
    </row>
    <row r="2028" spans="1:12" x14ac:dyDescent="0.25">
      <c r="A2028">
        <v>2027</v>
      </c>
      <c r="B2028" s="3">
        <v>0.16166857364831394</v>
      </c>
      <c r="C2028" s="3">
        <v>2.1296686838400726E-2</v>
      </c>
      <c r="D2028" s="1">
        <v>116839.75504827431</v>
      </c>
      <c r="E2028" s="1">
        <v>3711474</v>
      </c>
      <c r="F2028" s="1">
        <v>16452419</v>
      </c>
      <c r="G2028" s="16">
        <v>27287.87423491825</v>
      </c>
      <c r="H2028">
        <v>140.97</v>
      </c>
      <c r="I2028" s="1">
        <v>520.92999999999995</v>
      </c>
      <c r="J2028" s="16">
        <v>144127.62928319257</v>
      </c>
      <c r="K2028" s="5">
        <v>0.15197735354831582</v>
      </c>
      <c r="L2028" s="10">
        <v>892957.76139999996</v>
      </c>
    </row>
    <row r="2029" spans="1:12" x14ac:dyDescent="0.25">
      <c r="A2029">
        <v>2028</v>
      </c>
      <c r="B2029" s="3">
        <v>0.20455277699016383</v>
      </c>
      <c r="C2029" s="3">
        <v>3.2234803147185118E-2</v>
      </c>
      <c r="D2029" s="1">
        <v>73367.280920397548</v>
      </c>
      <c r="E2029" s="1">
        <v>2728166</v>
      </c>
      <c r="F2029" s="1">
        <v>14463094</v>
      </c>
      <c r="G2029" s="16">
        <v>15530.286577512419</v>
      </c>
      <c r="H2029">
        <v>92.32</v>
      </c>
      <c r="I2029" s="1">
        <v>379.54</v>
      </c>
      <c r="J2029" s="16">
        <v>88897.567497909971</v>
      </c>
      <c r="K2029" s="5">
        <v>-6.962255232609349E-3</v>
      </c>
      <c r="L2029" s="10">
        <v>3576.1605</v>
      </c>
    </row>
    <row r="2030" spans="1:12" x14ac:dyDescent="0.25">
      <c r="A2030">
        <v>2029</v>
      </c>
      <c r="B2030" s="3">
        <v>0.1395782548267247</v>
      </c>
      <c r="C2030" s="3">
        <v>6.9682840747792754E-2</v>
      </c>
      <c r="D2030" s="1">
        <v>175580.04002518233</v>
      </c>
      <c r="E2030" s="1">
        <v>5158748</v>
      </c>
      <c r="F2030" s="1">
        <v>18503711</v>
      </c>
      <c r="G2030" s="16">
        <v>29723.624031747146</v>
      </c>
      <c r="H2030">
        <v>128.09</v>
      </c>
      <c r="I2030" s="1">
        <v>434.26</v>
      </c>
      <c r="J2030" s="16">
        <v>205303.66405692947</v>
      </c>
      <c r="K2030" s="5">
        <v>8.2028144287425553E-2</v>
      </c>
      <c r="L2030" s="10">
        <v>159283.5245</v>
      </c>
    </row>
    <row r="2031" spans="1:12" x14ac:dyDescent="0.25">
      <c r="A2031">
        <v>2030</v>
      </c>
      <c r="B2031" s="3">
        <v>0.1748370853967009</v>
      </c>
      <c r="C2031" s="3">
        <v>6.5301577919247664E-2</v>
      </c>
      <c r="D2031" s="1">
        <v>261537.63845443525</v>
      </c>
      <c r="E2031" s="1">
        <v>10557922</v>
      </c>
      <c r="F2031" s="1">
        <v>32041930</v>
      </c>
      <c r="G2031" s="16">
        <v>8111.4379347657859</v>
      </c>
      <c r="H2031">
        <v>31.92</v>
      </c>
      <c r="I2031" s="1">
        <v>161.45999999999998</v>
      </c>
      <c r="J2031" s="16">
        <v>269649.07638920104</v>
      </c>
      <c r="K2031" s="5">
        <v>0.20348919867593604</v>
      </c>
      <c r="L2031" s="10">
        <v>518403.13040000002</v>
      </c>
    </row>
    <row r="2032" spans="1:12" x14ac:dyDescent="0.25">
      <c r="A2032">
        <v>2031</v>
      </c>
      <c r="B2032" s="3">
        <v>0.10562009357771157</v>
      </c>
      <c r="C2032" s="3">
        <v>5.8136576138848137E-2</v>
      </c>
      <c r="D2032" s="1">
        <v>202084.29991666574</v>
      </c>
      <c r="E2032" s="1">
        <v>5910817</v>
      </c>
      <c r="F2032" s="1">
        <v>22325030</v>
      </c>
      <c r="G2032" s="16">
        <v>24784.462806125066</v>
      </c>
      <c r="H2032">
        <v>72.819999999999993</v>
      </c>
      <c r="I2032" s="1">
        <v>220.65</v>
      </c>
      <c r="J2032" s="16">
        <v>226868.76272279079</v>
      </c>
      <c r="K2032" s="5">
        <v>2.7997529160304548E-2</v>
      </c>
      <c r="L2032" s="10">
        <v>124908.46679999999</v>
      </c>
    </row>
    <row r="2033" spans="1:12" x14ac:dyDescent="0.25">
      <c r="A2033">
        <v>2032</v>
      </c>
      <c r="B2033" s="3">
        <v>0.17187571450674979</v>
      </c>
      <c r="C2033" s="3">
        <v>2.8736951317882516E-2</v>
      </c>
      <c r="D2033" s="1">
        <v>135445.66748410647</v>
      </c>
      <c r="E2033" s="1">
        <v>4463557</v>
      </c>
      <c r="F2033" s="1">
        <v>18094808</v>
      </c>
      <c r="G2033" s="16">
        <v>106922.2231605855</v>
      </c>
      <c r="H2033">
        <v>879.51</v>
      </c>
      <c r="I2033" s="1">
        <v>1890.77</v>
      </c>
      <c r="J2033" s="16">
        <v>242367.89064469197</v>
      </c>
      <c r="K2033" s="5">
        <v>0.26821671244989492</v>
      </c>
      <c r="L2033" s="10">
        <v>1859360.7794000001</v>
      </c>
    </row>
    <row r="2034" spans="1:12" x14ac:dyDescent="0.25">
      <c r="A2034">
        <v>2033</v>
      </c>
      <c r="B2034" s="3">
        <v>0.20192346367885267</v>
      </c>
      <c r="C2034" s="3">
        <v>4.6417692074799038E-2</v>
      </c>
      <c r="D2034" s="1">
        <v>167931.79546854962</v>
      </c>
      <c r="E2034" s="1">
        <v>7747426</v>
      </c>
      <c r="F2034" s="1">
        <v>28859403</v>
      </c>
      <c r="G2034" s="16">
        <v>21449.991753484457</v>
      </c>
      <c r="H2034">
        <v>156.44</v>
      </c>
      <c r="I2034" s="1">
        <v>493.23999999999995</v>
      </c>
      <c r="J2034" s="16">
        <v>189381.78722203407</v>
      </c>
      <c r="K2034" s="5">
        <v>0.25340091643037488</v>
      </c>
      <c r="L2034" s="10">
        <v>796863.68859999999</v>
      </c>
    </row>
    <row r="2035" spans="1:12" x14ac:dyDescent="0.25">
      <c r="A2035">
        <v>2034</v>
      </c>
      <c r="B2035" s="3">
        <v>0.17854052416430283</v>
      </c>
      <c r="C2035" s="3">
        <v>4.8407219645607479E-2</v>
      </c>
      <c r="D2035" s="1">
        <v>87297.586580919015</v>
      </c>
      <c r="E2035" s="1">
        <v>2947456</v>
      </c>
      <c r="F2035" s="1">
        <v>16242376</v>
      </c>
      <c r="G2035" s="16">
        <v>20582.267815954867</v>
      </c>
      <c r="H2035">
        <v>122.69</v>
      </c>
      <c r="I2035" s="1">
        <v>475.48</v>
      </c>
      <c r="J2035" s="16">
        <v>107879.85439687388</v>
      </c>
      <c r="K2035" s="5">
        <v>0.11192237747180395</v>
      </c>
      <c r="L2035" s="10">
        <v>180354.41589999999</v>
      </c>
    </row>
    <row r="2036" spans="1:12" x14ac:dyDescent="0.25">
      <c r="A2036">
        <v>2035</v>
      </c>
      <c r="B2036" s="3">
        <v>0.1560128145360595</v>
      </c>
      <c r="C2036" s="3">
        <v>3.3919788795965661E-2</v>
      </c>
      <c r="D2036" s="1">
        <v>268359.92418515374</v>
      </c>
      <c r="E2036" s="1">
        <v>9898668</v>
      </c>
      <c r="F2036" s="1">
        <v>34747370</v>
      </c>
      <c r="G2036" s="16">
        <v>16879.937791399778</v>
      </c>
      <c r="H2036">
        <v>70.3</v>
      </c>
      <c r="I2036" s="1">
        <v>240.68</v>
      </c>
      <c r="J2036" s="16">
        <v>285239.86197655351</v>
      </c>
      <c r="K2036" s="5">
        <v>0.20715167217477226</v>
      </c>
      <c r="L2036" s="10">
        <v>1382540.0782000001</v>
      </c>
    </row>
    <row r="2037" spans="1:12" x14ac:dyDescent="0.25">
      <c r="A2037">
        <v>2036</v>
      </c>
      <c r="B2037" s="3">
        <v>0.16109379652092692</v>
      </c>
      <c r="C2037" s="3">
        <v>5.9422273426541383E-2</v>
      </c>
      <c r="D2037" s="1">
        <v>63974.209899261696</v>
      </c>
      <c r="E2037" s="1">
        <v>2027997</v>
      </c>
      <c r="F2037" s="1">
        <v>16010027</v>
      </c>
      <c r="G2037" s="16">
        <v>26406.986165719423</v>
      </c>
      <c r="H2037">
        <v>136.05000000000001</v>
      </c>
      <c r="I2037" s="1">
        <v>425.41</v>
      </c>
      <c r="J2037" s="16">
        <v>90381.196064981123</v>
      </c>
      <c r="K2037" s="5">
        <v>9.5688602108507409E-2</v>
      </c>
      <c r="L2037" s="10">
        <v>127618.3527</v>
      </c>
    </row>
    <row r="2038" spans="1:12" x14ac:dyDescent="0.25">
      <c r="A2038">
        <v>2037</v>
      </c>
      <c r="B2038" s="3">
        <v>0.23127423926706672</v>
      </c>
      <c r="C2038" s="3">
        <v>6.3983698926805818E-2</v>
      </c>
      <c r="D2038" s="1">
        <v>102549.07478764509</v>
      </c>
      <c r="E2038" s="1">
        <v>4224939</v>
      </c>
      <c r="F2038" s="1">
        <v>16068808</v>
      </c>
      <c r="G2038" s="16">
        <v>15950.709047664835</v>
      </c>
      <c r="H2038">
        <v>151.22</v>
      </c>
      <c r="I2038" s="1">
        <v>485.14</v>
      </c>
      <c r="J2038" s="16">
        <v>118499.78383530992</v>
      </c>
      <c r="K2038" s="5">
        <v>8.3727020187533779E-2</v>
      </c>
      <c r="L2038" s="10">
        <v>116691.2071</v>
      </c>
    </row>
    <row r="2039" spans="1:12" x14ac:dyDescent="0.25">
      <c r="A2039">
        <v>2038</v>
      </c>
      <c r="B2039" s="3">
        <v>0.15711227960798657</v>
      </c>
      <c r="C2039" s="3">
        <v>6.3659037548959671E-2</v>
      </c>
      <c r="D2039" s="1">
        <v>38677.219148585224</v>
      </c>
      <c r="E2039" s="1">
        <v>1018870</v>
      </c>
      <c r="F2039" s="1">
        <v>9195860</v>
      </c>
      <c r="G2039" s="16">
        <v>11638.040910591113</v>
      </c>
      <c r="H2039">
        <v>48.77</v>
      </c>
      <c r="I2039" s="1">
        <v>216.75</v>
      </c>
      <c r="J2039" s="16">
        <v>50315.260059176333</v>
      </c>
      <c r="K2039" s="5">
        <v>0.11240705597730437</v>
      </c>
      <c r="L2039" s="10">
        <v>91217.380900000004</v>
      </c>
    </row>
    <row r="2040" spans="1:12" x14ac:dyDescent="0.25">
      <c r="A2040">
        <v>2039</v>
      </c>
      <c r="B2040" s="3">
        <v>0.17784850950369369</v>
      </c>
      <c r="C2040" s="3">
        <v>7.0133574187586881E-2</v>
      </c>
      <c r="D2040" s="1">
        <v>121047.53372129706</v>
      </c>
      <c r="E2040" s="1">
        <v>4076652</v>
      </c>
      <c r="F2040" s="1">
        <v>19095881</v>
      </c>
      <c r="G2040" s="16">
        <v>13009.087187786216</v>
      </c>
      <c r="H2040">
        <v>63.38</v>
      </c>
      <c r="I2040" s="1">
        <v>219.56</v>
      </c>
      <c r="J2040" s="16">
        <v>134056.62090908329</v>
      </c>
      <c r="K2040" s="5">
        <v>-4.3169527515164445E-2</v>
      </c>
      <c r="L2040" s="10">
        <v>-34956.833899999998</v>
      </c>
    </row>
    <row r="2041" spans="1:12" x14ac:dyDescent="0.25">
      <c r="A2041">
        <v>2040</v>
      </c>
      <c r="B2041" s="3">
        <v>0.18599243620067829</v>
      </c>
      <c r="C2041" s="3">
        <v>2.8763701729364162E-2</v>
      </c>
      <c r="D2041" s="1">
        <v>110047.94701458843</v>
      </c>
      <c r="E2041" s="1">
        <v>4691064</v>
      </c>
      <c r="F2041" s="1">
        <v>25534522</v>
      </c>
      <c r="G2041" s="16">
        <v>20313.050002680349</v>
      </c>
      <c r="H2041">
        <v>105.07</v>
      </c>
      <c r="I2041" s="1">
        <v>320.06</v>
      </c>
      <c r="J2041" s="16">
        <v>130360.99701726878</v>
      </c>
      <c r="K2041" s="5">
        <v>0.33398373230889034</v>
      </c>
      <c r="L2041" s="10">
        <v>1293975.0429</v>
      </c>
    </row>
    <row r="2042" spans="1:12" x14ac:dyDescent="0.25">
      <c r="A2042">
        <v>2041</v>
      </c>
      <c r="B2042" s="3">
        <v>0.12477796502436712</v>
      </c>
      <c r="C2042" s="3">
        <v>5.1034804292527075E-2</v>
      </c>
      <c r="D2042" s="1">
        <v>316902.26638298703</v>
      </c>
      <c r="E2042" s="1">
        <v>10107773</v>
      </c>
      <c r="F2042" s="1">
        <v>33984817</v>
      </c>
      <c r="G2042" s="16">
        <v>62068.658854984831</v>
      </c>
      <c r="H2042">
        <v>237.12</v>
      </c>
      <c r="I2042" s="1">
        <v>597.74</v>
      </c>
      <c r="J2042" s="16">
        <v>378970.92523797188</v>
      </c>
      <c r="K2042" s="5">
        <v>8.5377720736664872E-2</v>
      </c>
      <c r="L2042" s="10">
        <v>496436.05589999998</v>
      </c>
    </row>
    <row r="2043" spans="1:12" x14ac:dyDescent="0.25">
      <c r="A2043">
        <v>2042</v>
      </c>
      <c r="B2043" s="3">
        <v>0.2145681733540814</v>
      </c>
      <c r="C2043" s="3">
        <v>7.9897841212964615E-2</v>
      </c>
      <c r="D2043" s="1">
        <v>90227.734013597088</v>
      </c>
      <c r="E2043" s="1">
        <v>3485112</v>
      </c>
      <c r="F2043" s="1">
        <v>17292680</v>
      </c>
      <c r="G2043" s="16">
        <v>31357.314304594274</v>
      </c>
      <c r="H2043">
        <v>255.67</v>
      </c>
      <c r="I2043" s="1">
        <v>648.49</v>
      </c>
      <c r="J2043" s="16">
        <v>121585.04831819136</v>
      </c>
      <c r="K2043" s="5">
        <v>0.13770639741216201</v>
      </c>
      <c r="L2043" s="10">
        <v>148673.70250000001</v>
      </c>
    </row>
    <row r="2044" spans="1:12" x14ac:dyDescent="0.25">
      <c r="A2044">
        <v>2043</v>
      </c>
      <c r="B2044" s="3">
        <v>0.17403250540544551</v>
      </c>
      <c r="C2044" s="3">
        <v>2.9894134693157444E-2</v>
      </c>
      <c r="D2044" s="1">
        <v>100555.36786350478</v>
      </c>
      <c r="E2044" s="1">
        <v>3339788</v>
      </c>
      <c r="F2044" s="1">
        <v>17185585</v>
      </c>
      <c r="G2044" s="16">
        <v>26572.934700338254</v>
      </c>
      <c r="H2044">
        <v>152.36000000000001</v>
      </c>
      <c r="I2044" s="1">
        <v>448.92</v>
      </c>
      <c r="J2044" s="16">
        <v>127128.30256384304</v>
      </c>
      <c r="K2044" s="5">
        <v>0.14673494988423547</v>
      </c>
      <c r="L2044" s="10">
        <v>533979.01049999997</v>
      </c>
    </row>
    <row r="2045" spans="1:12" x14ac:dyDescent="0.25">
      <c r="A2045">
        <v>2044</v>
      </c>
      <c r="B2045" s="3">
        <v>0.21306899370469046</v>
      </c>
      <c r="C2045" s="3">
        <v>3.5386576176987893E-2</v>
      </c>
      <c r="D2045" s="1">
        <v>103075.41266547251</v>
      </c>
      <c r="E2045" s="1">
        <v>5030502</v>
      </c>
      <c r="F2045" s="1">
        <v>30743137</v>
      </c>
      <c r="G2045" s="16">
        <v>23447.095572128022</v>
      </c>
      <c r="H2045">
        <v>188.68</v>
      </c>
      <c r="I2045" s="1">
        <v>514.08999999999992</v>
      </c>
      <c r="J2045" s="16">
        <v>126522.50823760053</v>
      </c>
      <c r="K2045" s="5">
        <v>0.14851523477771295</v>
      </c>
      <c r="L2045" s="10">
        <v>444306.83769999997</v>
      </c>
    </row>
    <row r="2046" spans="1:12" x14ac:dyDescent="0.25">
      <c r="A2046">
        <v>2045</v>
      </c>
      <c r="B2046" s="3">
        <v>0.13589247924054845</v>
      </c>
      <c r="C2046" s="3">
        <v>3.0762280307120908E-2</v>
      </c>
      <c r="D2046" s="1">
        <v>50206.252260864421</v>
      </c>
      <c r="E2046" s="1">
        <v>1258418</v>
      </c>
      <c r="F2046" s="1">
        <v>10063095</v>
      </c>
      <c r="G2046" s="16">
        <v>111348.78060924672</v>
      </c>
      <c r="H2046">
        <v>539.05999999999995</v>
      </c>
      <c r="I2046" s="1">
        <v>1268.9399999999998</v>
      </c>
      <c r="J2046" s="16">
        <v>161555.03287011114</v>
      </c>
      <c r="K2046" s="5">
        <v>0.12226060549121442</v>
      </c>
      <c r="L2046" s="10">
        <v>545932.19510000001</v>
      </c>
    </row>
    <row r="2047" spans="1:12" x14ac:dyDescent="0.25">
      <c r="A2047">
        <v>2046</v>
      </c>
      <c r="B2047" s="3">
        <v>0.22804625838605663</v>
      </c>
      <c r="C2047" s="3">
        <v>4.5358546225574836E-2</v>
      </c>
      <c r="D2047" s="1">
        <v>60207.095478458294</v>
      </c>
      <c r="E2047" s="1">
        <v>2449497</v>
      </c>
      <c r="F2047" s="1">
        <v>14605206</v>
      </c>
      <c r="G2047" s="16">
        <v>9352.8570125080641</v>
      </c>
      <c r="H2047">
        <v>66.569999999999993</v>
      </c>
      <c r="I2047" s="1">
        <v>239.66</v>
      </c>
      <c r="J2047" s="16">
        <v>69559.95249096636</v>
      </c>
      <c r="K2047" s="5">
        <v>6.1308428273727719E-3</v>
      </c>
      <c r="L2047" s="10">
        <v>20326.7729</v>
      </c>
    </row>
    <row r="2048" spans="1:12" x14ac:dyDescent="0.25">
      <c r="A2048">
        <v>2047</v>
      </c>
      <c r="B2048" s="3">
        <v>0.23531914272833612</v>
      </c>
      <c r="C2048" s="3">
        <v>3.8645269111972143E-2</v>
      </c>
      <c r="D2048" s="1">
        <v>157850.68974278049</v>
      </c>
      <c r="E2048" s="1">
        <v>8640290</v>
      </c>
      <c r="F2048" s="1">
        <v>32389728</v>
      </c>
      <c r="G2048" s="16">
        <v>14079.035745444206</v>
      </c>
      <c r="H2048">
        <v>138.44</v>
      </c>
      <c r="I2048" s="1">
        <v>437.34999999999997</v>
      </c>
      <c r="J2048" s="16">
        <v>171929.72548822471</v>
      </c>
      <c r="K2048" s="5">
        <v>0.31128175087053483</v>
      </c>
      <c r="L2048" s="10">
        <v>1097327.1203999999</v>
      </c>
    </row>
    <row r="2049" spans="1:12" x14ac:dyDescent="0.25">
      <c r="A2049">
        <v>2048</v>
      </c>
      <c r="B2049" s="3">
        <v>0.12650154889788906</v>
      </c>
      <c r="C2049" s="3">
        <v>2.085742255513371E-2</v>
      </c>
      <c r="D2049" s="1">
        <v>115835.33132631805</v>
      </c>
      <c r="E2049" s="1">
        <v>3723880</v>
      </c>
      <c r="F2049" s="1">
        <v>22150298</v>
      </c>
      <c r="G2049" s="16">
        <v>49353.250539512548</v>
      </c>
      <c r="H2049">
        <v>191.3</v>
      </c>
      <c r="I2049" s="1">
        <v>584.87000000000012</v>
      </c>
      <c r="J2049" s="16">
        <v>165188.58186583058</v>
      </c>
      <c r="K2049" s="5">
        <v>0.20180811222612177</v>
      </c>
      <c r="L2049" s="10">
        <v>1448150.7326</v>
      </c>
    </row>
    <row r="2050" spans="1:12" x14ac:dyDescent="0.25">
      <c r="A2050">
        <v>2049</v>
      </c>
      <c r="B2050" s="3">
        <v>0.24511345817537361</v>
      </c>
      <c r="C2050" s="3">
        <v>6.3037701538251847E-2</v>
      </c>
      <c r="D2050" s="1">
        <v>123860.96350018456</v>
      </c>
      <c r="E2050" s="1">
        <v>7138567</v>
      </c>
      <c r="F2050" s="1">
        <v>32336057</v>
      </c>
      <c r="G2050" s="16">
        <v>9985.2218397052875</v>
      </c>
      <c r="H2050">
        <v>81.22</v>
      </c>
      <c r="I2050" s="1">
        <v>217.53</v>
      </c>
      <c r="J2050" s="16">
        <v>133846.18533988984</v>
      </c>
      <c r="K2050" s="5">
        <v>6.6548152126537696E-2</v>
      </c>
      <c r="L2050" s="10">
        <v>119548.9308</v>
      </c>
    </row>
    <row r="2051" spans="1:12" x14ac:dyDescent="0.25">
      <c r="A2051">
        <v>2050</v>
      </c>
      <c r="B2051" s="3">
        <v>0.13009652967944335</v>
      </c>
      <c r="C2051" s="3">
        <v>4.8392370471844845E-2</v>
      </c>
      <c r="D2051" s="1">
        <v>340078.36558281363</v>
      </c>
      <c r="E2051" s="1">
        <v>11114696</v>
      </c>
      <c r="F2051" s="1">
        <v>40138300</v>
      </c>
      <c r="G2051" s="16">
        <v>48497.085155121771</v>
      </c>
      <c r="H2051">
        <v>193.66</v>
      </c>
      <c r="I2051" s="1">
        <v>563.83000000000004</v>
      </c>
      <c r="J2051" s="16">
        <v>388575.45073793537</v>
      </c>
      <c r="K2051" s="5">
        <v>0.12146968831217259</v>
      </c>
      <c r="L2051" s="10">
        <v>732515.41700000002</v>
      </c>
    </row>
    <row r="2052" spans="1:12" x14ac:dyDescent="0.25">
      <c r="A2052">
        <v>2051</v>
      </c>
      <c r="B2052" s="3">
        <v>0.17527607417404972</v>
      </c>
      <c r="C2052" s="3">
        <v>2.7845075839965934E-2</v>
      </c>
      <c r="D2052" s="1">
        <v>75243.662353648979</v>
      </c>
      <c r="E2052" s="1">
        <v>2510426</v>
      </c>
      <c r="F2052" s="1">
        <v>17207374</v>
      </c>
      <c r="G2052" s="16">
        <v>24411.960538831026</v>
      </c>
      <c r="H2052">
        <v>116.51</v>
      </c>
      <c r="I2052" s="1">
        <v>360.63</v>
      </c>
      <c r="J2052" s="16">
        <v>99655.622892480009</v>
      </c>
      <c r="K2052" s="5">
        <v>6.051549512840021E-2</v>
      </c>
      <c r="L2052" s="10">
        <v>206337.92809999999</v>
      </c>
    </row>
    <row r="2053" spans="1:12" x14ac:dyDescent="0.25">
      <c r="A2053">
        <v>2052</v>
      </c>
      <c r="B2053" s="3">
        <v>0.17029178561109631</v>
      </c>
      <c r="C2053" s="3">
        <v>3.6609159115132989E-2</v>
      </c>
      <c r="D2053" s="1">
        <v>261943.65522606013</v>
      </c>
      <c r="E2053" s="1">
        <v>12467627</v>
      </c>
      <c r="F2053" s="1">
        <v>43613592</v>
      </c>
      <c r="G2053" s="16">
        <v>36323.518671931699</v>
      </c>
      <c r="H2053">
        <v>243.35</v>
      </c>
      <c r="I2053" s="1">
        <v>875.68000000000006</v>
      </c>
      <c r="J2053" s="16">
        <v>298267.17389799183</v>
      </c>
      <c r="K2053" s="5">
        <v>0.11818640595882063</v>
      </c>
      <c r="L2053" s="10">
        <v>815856.56530000002</v>
      </c>
    </row>
    <row r="2054" spans="1:12" x14ac:dyDescent="0.25">
      <c r="A2054">
        <v>2053</v>
      </c>
      <c r="B2054" s="3">
        <v>0.19246071854884392</v>
      </c>
      <c r="C2054" s="3">
        <v>4.4856620835841313E-2</v>
      </c>
      <c r="D2054" s="1">
        <v>175673.53645764152</v>
      </c>
      <c r="E2054" s="1">
        <v>7731331</v>
      </c>
      <c r="F2054" s="1">
        <v>37510181</v>
      </c>
      <c r="G2054" s="16">
        <v>22616.97443785812</v>
      </c>
      <c r="H2054">
        <v>151.99</v>
      </c>
      <c r="I2054" s="1">
        <v>624.88000000000011</v>
      </c>
      <c r="J2054" s="16">
        <v>198290.51089549964</v>
      </c>
      <c r="K2054" s="5">
        <v>9.276455414733048E-2</v>
      </c>
      <c r="L2054" s="10">
        <v>345713.2352</v>
      </c>
    </row>
    <row r="2055" spans="1:12" x14ac:dyDescent="0.25">
      <c r="A2055">
        <v>2054</v>
      </c>
      <c r="B2055" s="3">
        <v>0.13244897749574414</v>
      </c>
      <c r="C2055" s="3">
        <v>5.1838780804406639E-2</v>
      </c>
      <c r="D2055" s="1">
        <v>236983.76236301349</v>
      </c>
      <c r="E2055" s="1">
        <v>9024980</v>
      </c>
      <c r="F2055" s="1">
        <v>55519646</v>
      </c>
      <c r="G2055" s="16">
        <v>20678.125989052802</v>
      </c>
      <c r="H2055">
        <v>73.08</v>
      </c>
      <c r="I2055" s="1">
        <v>266.17</v>
      </c>
      <c r="J2055" s="16">
        <v>257661.88835206628</v>
      </c>
      <c r="K2055" s="5">
        <v>0.1869784372581379</v>
      </c>
      <c r="L2055" s="10">
        <v>747169.36580000003</v>
      </c>
    </row>
    <row r="2056" spans="1:12" x14ac:dyDescent="0.25">
      <c r="A2056">
        <v>2055</v>
      </c>
      <c r="B2056" s="3">
        <v>0.17618672683365394</v>
      </c>
      <c r="C2056" s="3">
        <v>2.3728827645040605E-2</v>
      </c>
      <c r="D2056" s="1">
        <v>435069.09526644455</v>
      </c>
      <c r="E2056" s="1">
        <v>21459393</v>
      </c>
      <c r="F2056" s="1">
        <v>84702601</v>
      </c>
      <c r="G2056" s="16">
        <v>18000.146338896491</v>
      </c>
      <c r="H2056">
        <v>105.11</v>
      </c>
      <c r="I2056" s="1">
        <v>389.3</v>
      </c>
      <c r="J2056" s="16">
        <v>453069.24160534103</v>
      </c>
      <c r="K2056" s="5">
        <v>1.0011407414560816E-3</v>
      </c>
      <c r="L2056" s="10">
        <v>93477.521200000003</v>
      </c>
    </row>
    <row r="2057" spans="1:12" x14ac:dyDescent="0.25">
      <c r="A2057">
        <v>2056</v>
      </c>
      <c r="B2057" s="3">
        <v>0.17588753060195639</v>
      </c>
      <c r="C2057" s="3">
        <v>5.0479032719945471E-2</v>
      </c>
      <c r="D2057" s="1">
        <v>167130.50444857273</v>
      </c>
      <c r="E2057" s="1">
        <v>6781297</v>
      </c>
      <c r="F2057" s="1">
        <v>23898899</v>
      </c>
      <c r="G2057" s="16">
        <v>34068.319063143412</v>
      </c>
      <c r="H2057">
        <v>240.82</v>
      </c>
      <c r="I2057" s="1">
        <v>795.7</v>
      </c>
      <c r="J2057" s="16">
        <v>201198.82351171615</v>
      </c>
      <c r="K2057" s="5">
        <v>0.17805871140365576</v>
      </c>
      <c r="L2057" s="10">
        <v>528368.82960000006</v>
      </c>
    </row>
    <row r="2058" spans="1:12" x14ac:dyDescent="0.25">
      <c r="A2058">
        <v>2057</v>
      </c>
      <c r="B2058" s="3">
        <v>0.24985240402057982</v>
      </c>
      <c r="C2058" s="3">
        <v>7.5398774260386742E-2</v>
      </c>
      <c r="D2058" s="1">
        <v>92649.703655357007</v>
      </c>
      <c r="E2058" s="1">
        <v>4107771</v>
      </c>
      <c r="F2058" s="1">
        <v>20374370</v>
      </c>
      <c r="G2058" s="16">
        <v>11668.329105073368</v>
      </c>
      <c r="H2058">
        <v>131.22999999999999</v>
      </c>
      <c r="I2058" s="1">
        <v>439.98</v>
      </c>
      <c r="J2058" s="16">
        <v>104318.03276043037</v>
      </c>
      <c r="K2058" s="5">
        <v>0.14233422510443544</v>
      </c>
      <c r="L2058" s="10">
        <v>139320.55790000001</v>
      </c>
    </row>
    <row r="2059" spans="1:12" x14ac:dyDescent="0.25">
      <c r="A2059">
        <v>2058</v>
      </c>
      <c r="B2059" s="3">
        <v>0.19372923013184323</v>
      </c>
      <c r="C2059" s="3">
        <v>3.1250889858645034E-2</v>
      </c>
      <c r="D2059" s="1">
        <v>160088.87999310213</v>
      </c>
      <c r="E2059" s="1">
        <v>7089909</v>
      </c>
      <c r="F2059" s="1">
        <v>25145788</v>
      </c>
      <c r="G2059" s="16">
        <v>13476.08591060292</v>
      </c>
      <c r="H2059">
        <v>73.84</v>
      </c>
      <c r="I2059" s="1">
        <v>297.99</v>
      </c>
      <c r="J2059" s="16">
        <v>173564.96590370504</v>
      </c>
      <c r="K2059" s="5">
        <v>3.2838551711599835E-2</v>
      </c>
      <c r="L2059" s="10">
        <v>175508.34669999999</v>
      </c>
    </row>
    <row r="2060" spans="1:12" x14ac:dyDescent="0.25">
      <c r="A2060">
        <v>2059</v>
      </c>
      <c r="B2060" s="3">
        <v>0.22083914990407255</v>
      </c>
      <c r="C2060" s="3">
        <v>3.2320024391284924E-2</v>
      </c>
      <c r="D2060" s="1">
        <v>171658.39552322714</v>
      </c>
      <c r="E2060" s="1">
        <v>8716848</v>
      </c>
      <c r="F2060" s="1">
        <v>35557281</v>
      </c>
      <c r="G2060" s="16">
        <v>15486.582272101163</v>
      </c>
      <c r="H2060">
        <v>133.79</v>
      </c>
      <c r="I2060" s="1">
        <v>400.71000000000004</v>
      </c>
      <c r="J2060" s="16">
        <v>187144.9777953283</v>
      </c>
      <c r="K2060" s="5">
        <v>-6.4672808893421613E-3</v>
      </c>
      <c r="L2060" s="10">
        <v>3197.0509999999999</v>
      </c>
    </row>
    <row r="2061" spans="1:12" x14ac:dyDescent="0.25">
      <c r="A2061">
        <v>2060</v>
      </c>
      <c r="B2061" s="3">
        <v>0.24246198666558005</v>
      </c>
      <c r="C2061" s="3">
        <v>5.7406990156055188E-2</v>
      </c>
      <c r="D2061" s="1">
        <v>81661.175011562213</v>
      </c>
      <c r="E2061" s="1">
        <v>3515645</v>
      </c>
      <c r="F2061" s="1">
        <v>19719026</v>
      </c>
      <c r="G2061" s="16">
        <v>16112.681566048561</v>
      </c>
      <c r="H2061">
        <v>169.16</v>
      </c>
      <c r="I2061" s="1">
        <v>454.56999999999994</v>
      </c>
      <c r="J2061" s="16">
        <v>97773.856577610772</v>
      </c>
      <c r="K2061" s="5">
        <v>0.15494839163526242</v>
      </c>
      <c r="L2061" s="10">
        <v>203520.07699999999</v>
      </c>
    </row>
    <row r="2062" spans="1:12" x14ac:dyDescent="0.25">
      <c r="A2062">
        <v>2061</v>
      </c>
      <c r="B2062" s="3">
        <v>0.13546510916849086</v>
      </c>
      <c r="C2062" s="3">
        <v>5.3237719116677643E-2</v>
      </c>
      <c r="D2062" s="1">
        <v>246486.09247404084</v>
      </c>
      <c r="E2062" s="1">
        <v>8257803</v>
      </c>
      <c r="F2062" s="1">
        <v>30478858</v>
      </c>
      <c r="G2062" s="16">
        <v>22208.776927872506</v>
      </c>
      <c r="H2062">
        <v>80.260000000000005</v>
      </c>
      <c r="I2062" s="1">
        <v>278.53000000000003</v>
      </c>
      <c r="J2062" s="16">
        <v>268694.86940191337</v>
      </c>
      <c r="K2062" s="5">
        <v>0.12198580812496547</v>
      </c>
      <c r="L2062" s="10">
        <v>440179.38789999997</v>
      </c>
    </row>
    <row r="2063" spans="1:12" x14ac:dyDescent="0.25">
      <c r="A2063">
        <v>2062</v>
      </c>
      <c r="B2063" s="3">
        <v>0.14545080111065056</v>
      </c>
      <c r="C2063" s="3">
        <v>6.7157224758317383E-2</v>
      </c>
      <c r="D2063" s="1">
        <v>78035.815191301022</v>
      </c>
      <c r="E2063" s="1">
        <v>2340378</v>
      </c>
      <c r="F2063" s="1">
        <v>14783317</v>
      </c>
      <c r="G2063" s="16">
        <v>31590.310145212323</v>
      </c>
      <c r="H2063">
        <v>142.69</v>
      </c>
      <c r="I2063" s="1">
        <v>531.14</v>
      </c>
      <c r="J2063" s="16">
        <v>109626.12533651335</v>
      </c>
      <c r="K2063" s="5">
        <v>3.4921792971564239E-2</v>
      </c>
      <c r="L2063" s="10">
        <v>60376.424299999999</v>
      </c>
    </row>
    <row r="2064" spans="1:12" x14ac:dyDescent="0.25">
      <c r="A2064">
        <v>2063</v>
      </c>
      <c r="B2064" s="3">
        <v>0.19325700550353903</v>
      </c>
      <c r="C2064" s="3">
        <v>4.33433893929559E-2</v>
      </c>
      <c r="D2064" s="1">
        <v>184508.87864105625</v>
      </c>
      <c r="E2064" s="1">
        <v>8152288</v>
      </c>
      <c r="F2064" s="1">
        <v>32166288</v>
      </c>
      <c r="G2064" s="16">
        <v>34826.977755949978</v>
      </c>
      <c r="H2064">
        <v>235.63</v>
      </c>
      <c r="I2064" s="1">
        <v>664.14</v>
      </c>
      <c r="J2064" s="16">
        <v>219335.85639700622</v>
      </c>
      <c r="K2064" s="5">
        <v>-4.6033866056225739E-2</v>
      </c>
      <c r="L2064" s="10">
        <v>-162491.89360000001</v>
      </c>
    </row>
    <row r="2065" spans="1:12" x14ac:dyDescent="0.25">
      <c r="A2065">
        <v>2064</v>
      </c>
      <c r="B2065" s="3">
        <v>0.18493727506694074</v>
      </c>
      <c r="C2065" s="3">
        <v>4.0012200428642758E-2</v>
      </c>
      <c r="D2065" s="1">
        <v>70661.49806207222</v>
      </c>
      <c r="E2065" s="1">
        <v>2442378</v>
      </c>
      <c r="F2065" s="1">
        <v>16932695</v>
      </c>
      <c r="G2065" s="16">
        <v>18189.810158560213</v>
      </c>
      <c r="H2065">
        <v>93.23</v>
      </c>
      <c r="I2065" s="1">
        <v>284.67</v>
      </c>
      <c r="J2065" s="16">
        <v>88851.308220632432</v>
      </c>
      <c r="K2065" s="5">
        <v>0.10659572955153518</v>
      </c>
      <c r="L2065" s="10">
        <v>194179.98259999999</v>
      </c>
    </row>
    <row r="2066" spans="1:12" x14ac:dyDescent="0.25">
      <c r="A2066">
        <v>2065</v>
      </c>
      <c r="B2066" s="3">
        <v>0.20167471044349367</v>
      </c>
      <c r="C2066" s="3">
        <v>7.101119738516172E-2</v>
      </c>
      <c r="D2066" s="1">
        <v>145207.69756507099</v>
      </c>
      <c r="E2066" s="1">
        <v>5341376</v>
      </c>
      <c r="F2066" s="1">
        <v>21309377</v>
      </c>
      <c r="G2066" s="16">
        <v>7805.5590944407104</v>
      </c>
      <c r="H2066">
        <v>45.41</v>
      </c>
      <c r="I2066" s="1">
        <v>236.76</v>
      </c>
      <c r="J2066" s="16">
        <v>153013.25665951171</v>
      </c>
      <c r="K2066" s="5">
        <v>1.3725416413145456E-2</v>
      </c>
      <c r="L2066" s="10">
        <v>30746.478800000001</v>
      </c>
    </row>
    <row r="2067" spans="1:12" x14ac:dyDescent="0.25">
      <c r="A2067">
        <v>2066</v>
      </c>
      <c r="B2067" s="3">
        <v>0.18931415869056409</v>
      </c>
      <c r="C2067" s="3">
        <v>5.5237889262247333E-2</v>
      </c>
      <c r="D2067" s="1">
        <v>117958.72411631262</v>
      </c>
      <c r="E2067" s="1">
        <v>5111193</v>
      </c>
      <c r="F2067" s="1">
        <v>25914618</v>
      </c>
      <c r="G2067" s="16">
        <v>24378.340218724941</v>
      </c>
      <c r="H2067">
        <v>159.41999999999999</v>
      </c>
      <c r="I2067" s="1">
        <v>514.37</v>
      </c>
      <c r="J2067" s="16">
        <v>142337.06433503755</v>
      </c>
      <c r="K2067" s="5">
        <v>0.11034126782781777</v>
      </c>
      <c r="L2067" s="10">
        <v>229760.4406</v>
      </c>
    </row>
    <row r="2068" spans="1:12" x14ac:dyDescent="0.25">
      <c r="A2068">
        <v>2067</v>
      </c>
      <c r="B2068" s="3">
        <v>0.17698200834471073</v>
      </c>
      <c r="C2068" s="3">
        <v>4.4891649931103846E-2</v>
      </c>
      <c r="D2068" s="1">
        <v>226337.00413089962</v>
      </c>
      <c r="E2068" s="1">
        <v>11217906</v>
      </c>
      <c r="F2068" s="1">
        <v>42967015</v>
      </c>
      <c r="G2068" s="16">
        <v>62659.404495050374</v>
      </c>
      <c r="H2068">
        <v>447.77</v>
      </c>
      <c r="I2068" s="1">
        <v>1001.75</v>
      </c>
      <c r="J2068" s="16">
        <v>288996.40862594999</v>
      </c>
      <c r="K2068" s="5">
        <v>0.17323900683547988</v>
      </c>
      <c r="L2068" s="10">
        <v>850801.23569999996</v>
      </c>
    </row>
    <row r="2069" spans="1:12" x14ac:dyDescent="0.25">
      <c r="A2069">
        <v>2068</v>
      </c>
      <c r="B2069" s="3">
        <v>0.22836780546396235</v>
      </c>
      <c r="C2069" s="3">
        <v>6.466535368478514E-2</v>
      </c>
      <c r="D2069" s="1">
        <v>57124.712620390615</v>
      </c>
      <c r="E2069" s="1">
        <v>2326994</v>
      </c>
      <c r="F2069" s="1">
        <v>14159073</v>
      </c>
      <c r="G2069" s="16">
        <v>10959.810797412832</v>
      </c>
      <c r="H2069">
        <v>101.12</v>
      </c>
      <c r="I2069" s="1">
        <v>403.36</v>
      </c>
      <c r="J2069" s="16">
        <v>68084.523417803444</v>
      </c>
      <c r="K2069" s="5">
        <v>0.15679853033247063</v>
      </c>
      <c r="L2069" s="10">
        <v>131358.54610000001</v>
      </c>
    </row>
    <row r="2070" spans="1:12" x14ac:dyDescent="0.25">
      <c r="A2070">
        <v>2069</v>
      </c>
      <c r="B2070" s="3">
        <v>0.1883259444146641</v>
      </c>
      <c r="C2070" s="3">
        <v>4.3240615621737977E-2</v>
      </c>
      <c r="D2070" s="1">
        <v>46715.384247756301</v>
      </c>
      <c r="E2070" s="1">
        <v>1635000</v>
      </c>
      <c r="F2070" s="1">
        <v>16014562</v>
      </c>
      <c r="G2070" s="16">
        <v>10142.476818531972</v>
      </c>
      <c r="H2070">
        <v>43.25</v>
      </c>
      <c r="I2070" s="1">
        <v>162.67000000000002</v>
      </c>
      <c r="J2070" s="16">
        <v>56857.861066288271</v>
      </c>
      <c r="K2070" s="5">
        <v>3.3475488017323682E-2</v>
      </c>
      <c r="L2070" s="10">
        <v>52877.851699999999</v>
      </c>
    </row>
    <row r="2071" spans="1:12" x14ac:dyDescent="0.25">
      <c r="A2071">
        <v>2070</v>
      </c>
      <c r="B2071" s="3">
        <v>0.20734664483920029</v>
      </c>
      <c r="C2071" s="3">
        <v>5.1101576744942673E-2</v>
      </c>
      <c r="D2071" s="1">
        <v>156892.19254887381</v>
      </c>
      <c r="E2071" s="1">
        <v>7438256</v>
      </c>
      <c r="F2071" s="1">
        <v>27992919</v>
      </c>
      <c r="G2071" s="16">
        <v>13473.978090578608</v>
      </c>
      <c r="H2071">
        <v>81.78</v>
      </c>
      <c r="I2071" s="1">
        <v>304.80000000000007</v>
      </c>
      <c r="J2071" s="16">
        <v>170366.17063945241</v>
      </c>
      <c r="K2071" s="5">
        <v>0.23875673296949101</v>
      </c>
      <c r="L2071" s="10">
        <v>572019.84739999997</v>
      </c>
    </row>
    <row r="2072" spans="1:12" x14ac:dyDescent="0.25">
      <c r="A2072">
        <v>2071</v>
      </c>
      <c r="B2072" s="3">
        <v>0.21717114715971073</v>
      </c>
      <c r="C2072" s="3">
        <v>4.7210284992737335E-2</v>
      </c>
      <c r="D2072" s="1">
        <v>301552.85458369832</v>
      </c>
      <c r="E2072" s="1">
        <v>19196938</v>
      </c>
      <c r="F2072" s="1">
        <v>55655201</v>
      </c>
      <c r="G2072" s="16">
        <v>11045.087597575091</v>
      </c>
      <c r="H2072">
        <v>72.239999999999995</v>
      </c>
      <c r="I2072" s="1">
        <v>307.23</v>
      </c>
      <c r="J2072" s="16">
        <v>312597.94218127342</v>
      </c>
      <c r="K2072" s="5">
        <v>-7.0077509008118932E-2</v>
      </c>
      <c r="L2072" s="10">
        <v>-316887.27309999999</v>
      </c>
    </row>
    <row r="2073" spans="1:12" x14ac:dyDescent="0.25">
      <c r="A2073">
        <v>2072</v>
      </c>
      <c r="B2073" s="3">
        <v>0.21991430251768659</v>
      </c>
      <c r="C2073" s="3">
        <v>4.3150620201757139E-2</v>
      </c>
      <c r="D2073" s="1">
        <v>185510.26513852715</v>
      </c>
      <c r="E2073" s="1">
        <v>9375650</v>
      </c>
      <c r="F2073" s="1">
        <v>31080572</v>
      </c>
      <c r="G2073" s="16">
        <v>23886.630084654109</v>
      </c>
      <c r="H2073">
        <v>204.48</v>
      </c>
      <c r="I2073" s="1">
        <v>627.05999999999995</v>
      </c>
      <c r="J2073" s="16">
        <v>209396.89522318126</v>
      </c>
      <c r="K2073" s="5">
        <v>5.8868643809460011E-2</v>
      </c>
      <c r="L2073" s="10">
        <v>205030.65280000001</v>
      </c>
    </row>
    <row r="2074" spans="1:12" x14ac:dyDescent="0.25">
      <c r="A2074">
        <v>2073</v>
      </c>
      <c r="B2074" s="3">
        <v>0.16578440289847884</v>
      </c>
      <c r="C2074" s="3">
        <v>2.6353788689869227E-2</v>
      </c>
      <c r="D2074" s="1">
        <v>94165.761863334556</v>
      </c>
      <c r="E2074" s="1">
        <v>3639007</v>
      </c>
      <c r="F2074" s="1">
        <v>24900883</v>
      </c>
      <c r="G2074" s="16">
        <v>34469.384592337396</v>
      </c>
      <c r="H2074">
        <v>184.45</v>
      </c>
      <c r="I2074" s="1">
        <v>539.52</v>
      </c>
      <c r="J2074" s="16">
        <v>128635.14645567196</v>
      </c>
      <c r="K2074" s="5">
        <v>0.18970818404850431</v>
      </c>
      <c r="L2074" s="10">
        <v>863907.28870000003</v>
      </c>
    </row>
    <row r="2075" spans="1:12" x14ac:dyDescent="0.25">
      <c r="A2075">
        <v>2074</v>
      </c>
      <c r="B2075" s="3">
        <v>0.15500672962856069</v>
      </c>
      <c r="C2075" s="3">
        <v>4.4814083631244561E-2</v>
      </c>
      <c r="D2075" s="1">
        <v>120165.79413179361</v>
      </c>
      <c r="E2075" s="1">
        <v>4411346</v>
      </c>
      <c r="F2075" s="1">
        <v>22903970</v>
      </c>
      <c r="G2075" s="16">
        <v>36247.173047953664</v>
      </c>
      <c r="H2075">
        <v>177.18</v>
      </c>
      <c r="I2075" s="1">
        <v>464.9</v>
      </c>
      <c r="J2075" s="16">
        <v>156412.96717974727</v>
      </c>
      <c r="K2075" s="5">
        <v>-6.7407267892692357E-3</v>
      </c>
      <c r="L2075" s="10">
        <v>22301.818500000001</v>
      </c>
    </row>
    <row r="2076" spans="1:12" x14ac:dyDescent="0.25">
      <c r="A2076">
        <v>2075</v>
      </c>
      <c r="B2076" s="3">
        <v>0.20934231107263934</v>
      </c>
      <c r="C2076" s="3">
        <v>4.2090636735392324E-2</v>
      </c>
      <c r="D2076" s="1">
        <v>67031.016365181145</v>
      </c>
      <c r="E2076" s="1">
        <v>2538126</v>
      </c>
      <c r="F2076" s="1">
        <v>13105353</v>
      </c>
      <c r="G2076" s="16">
        <v>20982.734734240152</v>
      </c>
      <c r="H2076">
        <v>163.37</v>
      </c>
      <c r="I2076" s="1">
        <v>403.63</v>
      </c>
      <c r="J2076" s="16">
        <v>88013.751099421293</v>
      </c>
      <c r="K2076" s="5">
        <v>3.9451846962252055E-2</v>
      </c>
      <c r="L2076" s="10">
        <v>64891.0792</v>
      </c>
    </row>
    <row r="2077" spans="1:12" x14ac:dyDescent="0.25">
      <c r="A2077">
        <v>2076</v>
      </c>
      <c r="B2077" s="3">
        <v>0.11956806059157854</v>
      </c>
      <c r="C2077" s="3">
        <v>3.1724874578276441E-2</v>
      </c>
      <c r="D2077" s="1">
        <v>371259.99995419022</v>
      </c>
      <c r="E2077" s="1">
        <v>13134153</v>
      </c>
      <c r="F2077" s="1">
        <v>59615372</v>
      </c>
      <c r="G2077" s="16">
        <v>43240.330024883035</v>
      </c>
      <c r="H2077">
        <v>158.72</v>
      </c>
      <c r="I2077" s="1">
        <v>541.24</v>
      </c>
      <c r="J2077" s="16">
        <v>414500.32997907326</v>
      </c>
      <c r="K2077" s="5">
        <v>0.14938883433634623</v>
      </c>
      <c r="L2077" s="10">
        <v>1722799.6819</v>
      </c>
    </row>
    <row r="2078" spans="1:12" x14ac:dyDescent="0.25">
      <c r="A2078">
        <v>2077</v>
      </c>
      <c r="B2078" s="3">
        <v>0.20167746042231011</v>
      </c>
      <c r="C2078" s="3">
        <v>7.5440969760679918E-2</v>
      </c>
      <c r="D2078" s="1">
        <v>218553.89143343648</v>
      </c>
      <c r="E2078" s="1">
        <v>10070416</v>
      </c>
      <c r="F2078" s="1">
        <v>35540804</v>
      </c>
      <c r="G2078" s="16">
        <v>22894.04992415677</v>
      </c>
      <c r="H2078">
        <v>166.57</v>
      </c>
      <c r="I2078" s="1">
        <v>464.04</v>
      </c>
      <c r="J2078" s="16">
        <v>241447.94135759326</v>
      </c>
      <c r="K2078" s="5">
        <v>2.5991771506821904E-2</v>
      </c>
      <c r="L2078" s="10">
        <v>83967.929000000004</v>
      </c>
    </row>
    <row r="2079" spans="1:12" x14ac:dyDescent="0.25">
      <c r="A2079">
        <v>2078</v>
      </c>
      <c r="B2079" s="3">
        <v>0.1776867681770862</v>
      </c>
      <c r="C2079" s="3">
        <v>7.7833297504027107E-2</v>
      </c>
      <c r="D2079" s="1">
        <v>131145.13280465751</v>
      </c>
      <c r="E2079" s="1">
        <v>5367914</v>
      </c>
      <c r="F2079" s="1">
        <v>22080054</v>
      </c>
      <c r="G2079" s="16">
        <v>17105.787333954493</v>
      </c>
      <c r="H2079">
        <v>83.16</v>
      </c>
      <c r="I2079" s="1">
        <v>356.18999999999994</v>
      </c>
      <c r="J2079" s="16">
        <v>148250.92013861201</v>
      </c>
      <c r="K2079" s="5">
        <v>0.10270481929599992</v>
      </c>
      <c r="L2079" s="10">
        <v>124424.0503</v>
      </c>
    </row>
    <row r="2080" spans="1:12" x14ac:dyDescent="0.25">
      <c r="A2080">
        <v>2079</v>
      </c>
      <c r="B2080" s="3">
        <v>0.24682392586385959</v>
      </c>
      <c r="C2080" s="3">
        <v>3.7183239571067533E-2</v>
      </c>
      <c r="D2080" s="1">
        <v>123824.86770902094</v>
      </c>
      <c r="E2080" s="1">
        <v>7201529</v>
      </c>
      <c r="F2080" s="1">
        <v>33509330</v>
      </c>
      <c r="G2080" s="16">
        <v>10449.734459586074</v>
      </c>
      <c r="H2080">
        <v>114.31</v>
      </c>
      <c r="I2080" s="1">
        <v>399.53000000000003</v>
      </c>
      <c r="J2080" s="16">
        <v>134274.602168607</v>
      </c>
      <c r="K2080" s="5">
        <v>0.15578358416632229</v>
      </c>
      <c r="L2080" s="10">
        <v>477339.65789999999</v>
      </c>
    </row>
    <row r="2081" spans="1:12" x14ac:dyDescent="0.25">
      <c r="A2081">
        <v>2080</v>
      </c>
      <c r="B2081" s="3">
        <v>0.13609466993133659</v>
      </c>
      <c r="C2081" s="3">
        <v>2.6240694854673039E-2</v>
      </c>
      <c r="D2081" s="1">
        <v>47336.150860902409</v>
      </c>
      <c r="E2081" s="1">
        <v>1187036</v>
      </c>
      <c r="F2081" s="1">
        <v>7812819</v>
      </c>
      <c r="G2081" s="16">
        <v>14502.672444619096</v>
      </c>
      <c r="H2081">
        <v>52.43</v>
      </c>
      <c r="I2081" s="1">
        <v>204.65000000000003</v>
      </c>
      <c r="J2081" s="16">
        <v>61838.82330552151</v>
      </c>
      <c r="K2081" s="5">
        <v>0.11154208770783024</v>
      </c>
      <c r="L2081" s="10">
        <v>229931.86869999999</v>
      </c>
    </row>
    <row r="2082" spans="1:12" x14ac:dyDescent="0.25">
      <c r="A2082">
        <v>2081</v>
      </c>
      <c r="B2082" s="3">
        <v>0.23531952472156584</v>
      </c>
      <c r="C2082" s="3">
        <v>4.2772696650647091E-2</v>
      </c>
      <c r="D2082" s="1">
        <v>117587.64588249223</v>
      </c>
      <c r="E2082" s="1">
        <v>6436424</v>
      </c>
      <c r="F2082" s="1">
        <v>33401505</v>
      </c>
      <c r="G2082" s="16">
        <v>13045.123913157548</v>
      </c>
      <c r="H2082">
        <v>128.37</v>
      </c>
      <c r="I2082" s="1">
        <v>621.54999999999995</v>
      </c>
      <c r="J2082" s="16">
        <v>130632.76979564977</v>
      </c>
      <c r="K2082" s="5">
        <v>0.14756330917782726</v>
      </c>
      <c r="L2082" s="10">
        <v>352917.57829999999</v>
      </c>
    </row>
    <row r="2083" spans="1:12" x14ac:dyDescent="0.25">
      <c r="A2083">
        <v>2082</v>
      </c>
      <c r="B2083" s="3">
        <v>0.21687364283360552</v>
      </c>
      <c r="C2083" s="3">
        <v>4.4783686842426118E-2</v>
      </c>
      <c r="D2083" s="1">
        <v>115369.0465619615</v>
      </c>
      <c r="E2083" s="1">
        <v>5740695</v>
      </c>
      <c r="F2083" s="1">
        <v>25395144</v>
      </c>
      <c r="G2083" s="16">
        <v>27796.164426357936</v>
      </c>
      <c r="H2083">
        <v>231.63</v>
      </c>
      <c r="I2083" s="1">
        <v>612.26</v>
      </c>
      <c r="J2083" s="16">
        <v>143165.21098831942</v>
      </c>
      <c r="K2083" s="5">
        <v>0.21256428220888404</v>
      </c>
      <c r="L2083" s="10">
        <v>534930.04509999999</v>
      </c>
    </row>
    <row r="2084" spans="1:12" x14ac:dyDescent="0.25">
      <c r="A2084">
        <v>2083</v>
      </c>
      <c r="B2084" s="3">
        <v>0.23118826113806121</v>
      </c>
      <c r="C2084" s="3">
        <v>5.2480172140688092E-2</v>
      </c>
      <c r="D2084" s="1">
        <v>61646.148651294825</v>
      </c>
      <c r="E2084" s="1">
        <v>3302391</v>
      </c>
      <c r="F2084" s="1">
        <v>26503413</v>
      </c>
      <c r="G2084" s="16">
        <v>20784.310249152808</v>
      </c>
      <c r="H2084">
        <v>196.82</v>
      </c>
      <c r="I2084" s="1">
        <v>580.35</v>
      </c>
      <c r="J2084" s="16">
        <v>82430.458900447629</v>
      </c>
      <c r="K2084" s="5">
        <v>9.3607688156288144E-2</v>
      </c>
      <c r="L2084" s="10">
        <v>158151.0264</v>
      </c>
    </row>
    <row r="2085" spans="1:12" x14ac:dyDescent="0.25">
      <c r="A2085">
        <v>2084</v>
      </c>
      <c r="B2085" s="3">
        <v>0.18637850046376433</v>
      </c>
      <c r="C2085" s="3">
        <v>7.4939575209015799E-2</v>
      </c>
      <c r="D2085" s="1">
        <v>116502.95711588619</v>
      </c>
      <c r="E2085" s="1">
        <v>4048303</v>
      </c>
      <c r="F2085" s="1">
        <v>18781366</v>
      </c>
      <c r="G2085" s="16">
        <v>29299.687422420189</v>
      </c>
      <c r="H2085">
        <v>186.89</v>
      </c>
      <c r="I2085" s="1">
        <v>517.20000000000005</v>
      </c>
      <c r="J2085" s="16">
        <v>145802.6445383064</v>
      </c>
      <c r="K2085" s="5">
        <v>4.2625012753642201E-2</v>
      </c>
      <c r="L2085" s="10">
        <v>62189.004300000001</v>
      </c>
    </row>
    <row r="2086" spans="1:12" x14ac:dyDescent="0.25">
      <c r="A2086">
        <v>2085</v>
      </c>
      <c r="B2086" s="3">
        <v>0.20888557868465074</v>
      </c>
      <c r="C2086" s="3">
        <v>7.0952658041329011E-2</v>
      </c>
      <c r="D2086" s="1">
        <v>179257.54423434281</v>
      </c>
      <c r="E2086" s="1">
        <v>8564920</v>
      </c>
      <c r="F2086" s="1">
        <v>41296002</v>
      </c>
      <c r="G2086" s="16">
        <v>9095.7603822301389</v>
      </c>
      <c r="H2086">
        <v>55.89</v>
      </c>
      <c r="I2086" s="1">
        <v>207.07</v>
      </c>
      <c r="J2086" s="16">
        <v>188353.30461657295</v>
      </c>
      <c r="K2086" s="5">
        <v>0.16395473396485272</v>
      </c>
      <c r="L2086" s="10">
        <v>310970.94349999999</v>
      </c>
    </row>
    <row r="2087" spans="1:12" x14ac:dyDescent="0.25">
      <c r="A2087">
        <v>2086</v>
      </c>
      <c r="B2087" s="3">
        <v>0.22146500282854598</v>
      </c>
      <c r="C2087" s="3">
        <v>7.7057472472185834E-2</v>
      </c>
      <c r="D2087" s="1">
        <v>224993.05336639693</v>
      </c>
      <c r="E2087" s="1">
        <v>11461963</v>
      </c>
      <c r="F2087" s="1">
        <v>37759085</v>
      </c>
      <c r="G2087" s="16">
        <v>50460.491264729324</v>
      </c>
      <c r="H2087">
        <v>562.39</v>
      </c>
      <c r="I2087" s="1">
        <v>1431.1799999999998</v>
      </c>
      <c r="J2087" s="16">
        <v>275453.54463112622</v>
      </c>
      <c r="K2087" s="5">
        <v>0.23427039448292972</v>
      </c>
      <c r="L2087" s="10">
        <v>533800.05920000002</v>
      </c>
    </row>
    <row r="2088" spans="1:12" x14ac:dyDescent="0.25">
      <c r="A2088">
        <v>2087</v>
      </c>
      <c r="B2088" s="3">
        <v>0.19206228076229939</v>
      </c>
      <c r="C2088" s="3">
        <v>7.4189077435644721E-2</v>
      </c>
      <c r="D2088" s="1">
        <v>141214.8586578187</v>
      </c>
      <c r="E2088" s="1">
        <v>5011295</v>
      </c>
      <c r="F2088" s="1">
        <v>19205684</v>
      </c>
      <c r="G2088" s="16">
        <v>44379.562054058079</v>
      </c>
      <c r="H2088">
        <v>297.10000000000002</v>
      </c>
      <c r="I2088" s="1">
        <v>665.82</v>
      </c>
      <c r="J2088" s="16">
        <v>185594.42071187677</v>
      </c>
      <c r="K2088" s="5">
        <v>7.7320269693909344E-2</v>
      </c>
      <c r="L2088" s="10">
        <v>112987.84970000001</v>
      </c>
    </row>
    <row r="2089" spans="1:12" x14ac:dyDescent="0.25">
      <c r="A2089">
        <v>2088</v>
      </c>
      <c r="B2089" s="3">
        <v>0.12879912622331716</v>
      </c>
      <c r="C2089" s="3">
        <v>3.8828191395880542E-2</v>
      </c>
      <c r="D2089" s="1">
        <v>315841.58407650219</v>
      </c>
      <c r="E2089" s="1">
        <v>10261215</v>
      </c>
      <c r="F2089" s="1">
        <v>32676867</v>
      </c>
      <c r="G2089" s="16">
        <v>20750.451835145093</v>
      </c>
      <c r="H2089">
        <v>71.430000000000007</v>
      </c>
      <c r="I2089" s="1">
        <v>243.65</v>
      </c>
      <c r="J2089" s="16">
        <v>336592.03591164725</v>
      </c>
      <c r="K2089" s="5">
        <v>6.7202019347293238E-3</v>
      </c>
      <c r="L2089" s="10">
        <v>62561.837699999996</v>
      </c>
    </row>
    <row r="2090" spans="1:12" x14ac:dyDescent="0.25">
      <c r="A2090">
        <v>2089</v>
      </c>
      <c r="B2090" s="3">
        <v>0.17902871217815458</v>
      </c>
      <c r="C2090" s="3">
        <v>5.4961391769952017E-2</v>
      </c>
      <c r="D2090" s="1">
        <v>254173.23816426608</v>
      </c>
      <c r="E2090" s="1">
        <v>10471798</v>
      </c>
      <c r="F2090" s="1">
        <v>32649161</v>
      </c>
      <c r="G2090" s="16">
        <v>29401.006197787585</v>
      </c>
      <c r="H2090">
        <v>176.11</v>
      </c>
      <c r="I2090" s="1">
        <v>672.78</v>
      </c>
      <c r="J2090" s="16">
        <v>283574.24436205364</v>
      </c>
      <c r="K2090" s="5">
        <v>8.4845266666131847E-2</v>
      </c>
      <c r="L2090" s="10">
        <v>300290.10470000003</v>
      </c>
    </row>
    <row r="2091" spans="1:12" x14ac:dyDescent="0.25">
      <c r="A2091">
        <v>2090</v>
      </c>
      <c r="B2091" s="3">
        <v>0.20230361783618606</v>
      </c>
      <c r="C2091" s="3">
        <v>4.9679790878125192E-2</v>
      </c>
      <c r="D2091" s="1">
        <v>196621.68139329</v>
      </c>
      <c r="E2091" s="1">
        <v>9088319</v>
      </c>
      <c r="F2091" s="1">
        <v>32643947</v>
      </c>
      <c r="G2091" s="16">
        <v>9198.8401309260116</v>
      </c>
      <c r="H2091">
        <v>53.8</v>
      </c>
      <c r="I2091" s="1">
        <v>204.61</v>
      </c>
      <c r="J2091" s="16">
        <v>205820.52152421602</v>
      </c>
      <c r="K2091" s="5">
        <v>0.17898575201995981</v>
      </c>
      <c r="L2091" s="10">
        <v>579494.89709999994</v>
      </c>
    </row>
    <row r="2092" spans="1:12" x14ac:dyDescent="0.25">
      <c r="A2092">
        <v>2091</v>
      </c>
      <c r="B2092" s="3">
        <v>0.13569513665407459</v>
      </c>
      <c r="C2092" s="3">
        <v>4.6535128942456122E-2</v>
      </c>
      <c r="D2092" s="1">
        <v>456468.57304864068</v>
      </c>
      <c r="E2092" s="1">
        <v>17712471</v>
      </c>
      <c r="F2092" s="1">
        <v>61211504</v>
      </c>
      <c r="G2092" s="16">
        <v>15107.904158446219</v>
      </c>
      <c r="H2092">
        <v>54.34</v>
      </c>
      <c r="I2092" s="1">
        <v>193.78</v>
      </c>
      <c r="J2092" s="16">
        <v>471576.47720708692</v>
      </c>
      <c r="K2092" s="5">
        <v>8.1460852544814111E-2</v>
      </c>
      <c r="L2092" s="10">
        <v>612529.97420000006</v>
      </c>
    </row>
    <row r="2093" spans="1:12" x14ac:dyDescent="0.25">
      <c r="A2093">
        <v>2092</v>
      </c>
      <c r="B2093" s="3">
        <v>0.1580421963056558</v>
      </c>
      <c r="C2093" s="3">
        <v>2.9808699983355152E-2</v>
      </c>
      <c r="D2093" s="1">
        <v>126543.87909448208</v>
      </c>
      <c r="E2093" s="1">
        <v>4712850</v>
      </c>
      <c r="F2093" s="1">
        <v>27740233</v>
      </c>
      <c r="G2093" s="16">
        <v>23561.957381042779</v>
      </c>
      <c r="H2093">
        <v>118.12</v>
      </c>
      <c r="I2093" s="1">
        <v>430.34</v>
      </c>
      <c r="J2093" s="16">
        <v>150105.83647552485</v>
      </c>
      <c r="K2093" s="5">
        <v>9.5696156466757554E-2</v>
      </c>
      <c r="L2093" s="10">
        <v>409698.31790000002</v>
      </c>
    </row>
    <row r="2094" spans="1:12" x14ac:dyDescent="0.25">
      <c r="A2094">
        <v>2093</v>
      </c>
      <c r="B2094" s="3">
        <v>0.22481746270282704</v>
      </c>
      <c r="C2094" s="3">
        <v>7.5137443067888582E-2</v>
      </c>
      <c r="D2094" s="1">
        <v>444777.54468000127</v>
      </c>
      <c r="E2094" s="1">
        <v>38363796</v>
      </c>
      <c r="F2094" s="1">
        <v>117174160</v>
      </c>
      <c r="G2094" s="16">
        <v>20383.913670923317</v>
      </c>
      <c r="H2094">
        <v>235.18</v>
      </c>
      <c r="I2094" s="1">
        <v>895.43000000000006</v>
      </c>
      <c r="J2094" s="16">
        <v>465161.4583509246</v>
      </c>
      <c r="K2094" s="5">
        <v>0.1946572680813777</v>
      </c>
      <c r="L2094" s="10">
        <v>729490.97400000005</v>
      </c>
    </row>
    <row r="2095" spans="1:12" x14ac:dyDescent="0.25">
      <c r="A2095">
        <v>2094</v>
      </c>
      <c r="B2095" s="3">
        <v>0.14378647253221463</v>
      </c>
      <c r="C2095" s="3">
        <v>7.6862032258758164E-2</v>
      </c>
      <c r="D2095" s="1">
        <v>123224.36631886587</v>
      </c>
      <c r="E2095" s="1">
        <v>4291128</v>
      </c>
      <c r="F2095" s="1">
        <v>24134080</v>
      </c>
      <c r="G2095" s="16">
        <v>30548.4544733777</v>
      </c>
      <c r="H2095">
        <v>136.13</v>
      </c>
      <c r="I2095" s="1">
        <v>508.22</v>
      </c>
      <c r="J2095" s="16">
        <v>153772.82079224358</v>
      </c>
      <c r="K2095" s="5">
        <v>0.20648019054685501</v>
      </c>
      <c r="L2095" s="10">
        <v>313412.0661</v>
      </c>
    </row>
    <row r="2096" spans="1:12" x14ac:dyDescent="0.25">
      <c r="A2096">
        <v>2095</v>
      </c>
      <c r="B2096" s="3">
        <v>0.1241751521694105</v>
      </c>
      <c r="C2096" s="3">
        <v>2.6966735414876569E-2</v>
      </c>
      <c r="D2096" s="1">
        <v>98524.938717396028</v>
      </c>
      <c r="E2096" s="1">
        <v>2744716</v>
      </c>
      <c r="F2096" s="1">
        <v>14106872</v>
      </c>
      <c r="G2096" s="16">
        <v>82890.339285572103</v>
      </c>
      <c r="H2096">
        <v>359.33</v>
      </c>
      <c r="I2096" s="1">
        <v>953.95</v>
      </c>
      <c r="J2096" s="16">
        <v>181415.27800296812</v>
      </c>
      <c r="K2096" s="5">
        <v>-3.307994279060842E-2</v>
      </c>
      <c r="L2096" s="10">
        <v>-160366.61050000001</v>
      </c>
    </row>
    <row r="2097" spans="1:12" x14ac:dyDescent="0.25">
      <c r="A2097">
        <v>2096</v>
      </c>
      <c r="B2097" s="3">
        <v>0.16541858905855278</v>
      </c>
      <c r="C2097" s="3">
        <v>6.1822645917977204E-2</v>
      </c>
      <c r="D2097" s="1">
        <v>187045.80810064345</v>
      </c>
      <c r="E2097" s="1">
        <v>7215660</v>
      </c>
      <c r="F2097" s="1">
        <v>36230642</v>
      </c>
      <c r="G2097" s="16">
        <v>28975.631029705022</v>
      </c>
      <c r="H2097">
        <v>154.53</v>
      </c>
      <c r="I2097" s="1">
        <v>469.84000000000003</v>
      </c>
      <c r="J2097" s="16">
        <v>216021.43913034847</v>
      </c>
      <c r="K2097" s="5">
        <v>8.336273405836328E-2</v>
      </c>
      <c r="L2097" s="10">
        <v>252813.02179999999</v>
      </c>
    </row>
    <row r="2098" spans="1:12" x14ac:dyDescent="0.25">
      <c r="A2098">
        <v>2097</v>
      </c>
      <c r="B2098" s="3">
        <v>0.10853394437591606</v>
      </c>
      <c r="C2098" s="3">
        <v>4.8737758000128056E-2</v>
      </c>
      <c r="D2098" s="1">
        <v>96489.68130834974</v>
      </c>
      <c r="E2098" s="1">
        <v>2548995</v>
      </c>
      <c r="F2098" s="1">
        <v>14421801</v>
      </c>
      <c r="G2098" s="16">
        <v>15966.024804592413</v>
      </c>
      <c r="H2098">
        <v>47.78</v>
      </c>
      <c r="I2098" s="1">
        <v>213.49999999999997</v>
      </c>
      <c r="J2098" s="16">
        <v>112455.70611294215</v>
      </c>
      <c r="K2098" s="5">
        <v>4.5812532544505548E-2</v>
      </c>
      <c r="L2098" s="10">
        <v>120916.56419999999</v>
      </c>
    </row>
    <row r="2099" spans="1:12" x14ac:dyDescent="0.25">
      <c r="A2099">
        <v>2098</v>
      </c>
      <c r="B2099" s="3">
        <v>0.10064487567145246</v>
      </c>
      <c r="C2099" s="3">
        <v>3.9993300508878254E-2</v>
      </c>
      <c r="D2099" s="1">
        <v>137007.79939584105</v>
      </c>
      <c r="E2099" s="1">
        <v>3919436</v>
      </c>
      <c r="F2099" s="1">
        <v>24883210</v>
      </c>
      <c r="G2099" s="16">
        <v>84690.900872917788</v>
      </c>
      <c r="H2099">
        <v>297.39999999999998</v>
      </c>
      <c r="I2099" s="1">
        <v>836.91</v>
      </c>
      <c r="J2099" s="16">
        <v>221698.70026875884</v>
      </c>
      <c r="K2099" s="5">
        <v>0.15802100679177769</v>
      </c>
      <c r="L2099" s="10">
        <v>738557.00300000003</v>
      </c>
    </row>
    <row r="2100" spans="1:12" x14ac:dyDescent="0.25">
      <c r="A2100">
        <v>2099</v>
      </c>
      <c r="B2100" s="3">
        <v>0.2122449180642158</v>
      </c>
      <c r="C2100" s="3">
        <v>7.6843890238323553E-2</v>
      </c>
      <c r="D2100" s="1">
        <v>25886.033561845274</v>
      </c>
      <c r="E2100" s="1">
        <v>780703</v>
      </c>
      <c r="F2100" s="1">
        <v>7653897</v>
      </c>
      <c r="G2100" s="16">
        <v>4987.0283449009739</v>
      </c>
      <c r="H2100">
        <v>24.7</v>
      </c>
      <c r="I2100" s="1">
        <v>121.4</v>
      </c>
      <c r="J2100" s="16">
        <v>30873.061906746247</v>
      </c>
      <c r="K2100" s="5">
        <v>0.10694587871194702</v>
      </c>
      <c r="L2100" s="10">
        <v>37940.423300000002</v>
      </c>
    </row>
    <row r="2101" spans="1:12" x14ac:dyDescent="0.25">
      <c r="A2101">
        <v>2100</v>
      </c>
      <c r="B2101" s="3">
        <v>0.21187537106962256</v>
      </c>
      <c r="C2101" s="3">
        <v>5.9726580816756039E-2</v>
      </c>
      <c r="D2101" s="1">
        <v>130395.28914484734</v>
      </c>
      <c r="E2101" s="1">
        <v>4985172</v>
      </c>
      <c r="F2101" s="1">
        <v>21293944</v>
      </c>
      <c r="G2101" s="16">
        <v>19161.050507801156</v>
      </c>
      <c r="H2101">
        <v>120.51</v>
      </c>
      <c r="I2101" s="1">
        <v>341.05</v>
      </c>
      <c r="J2101" s="16">
        <v>149556.33965264849</v>
      </c>
      <c r="K2101" s="5">
        <v>5.6064790249353819E-2</v>
      </c>
      <c r="L2101" s="10">
        <v>112860.68399999999</v>
      </c>
    </row>
    <row r="2102" spans="1:12" x14ac:dyDescent="0.25">
      <c r="A2102">
        <v>2101</v>
      </c>
      <c r="B2102" s="3">
        <v>0.10870734812099697</v>
      </c>
      <c r="C2102" s="3">
        <v>6.779180466664346E-2</v>
      </c>
      <c r="D2102" s="1">
        <v>206645.17578249</v>
      </c>
      <c r="E2102" s="1">
        <v>6128398</v>
      </c>
      <c r="F2102" s="1">
        <v>25349633</v>
      </c>
      <c r="G2102" s="16">
        <v>23625.29066745445</v>
      </c>
      <c r="H2102">
        <v>70.83</v>
      </c>
      <c r="I2102" s="1">
        <v>312.45999999999998</v>
      </c>
      <c r="J2102" s="16">
        <v>230270.46644994445</v>
      </c>
      <c r="K2102" s="5">
        <v>9.5133041249268038E-2</v>
      </c>
      <c r="L2102" s="10">
        <v>259417.00630000001</v>
      </c>
    </row>
    <row r="2103" spans="1:12" x14ac:dyDescent="0.25">
      <c r="A2103">
        <v>2102</v>
      </c>
      <c r="B2103" s="3">
        <v>0.20560346027786047</v>
      </c>
      <c r="C2103" s="3">
        <v>4.2094342269128213E-2</v>
      </c>
      <c r="D2103" s="1">
        <v>112217.94440837478</v>
      </c>
      <c r="E2103" s="1">
        <v>4189417</v>
      </c>
      <c r="F2103" s="1">
        <v>20006513</v>
      </c>
      <c r="G2103" s="16">
        <v>32044.4946077575</v>
      </c>
      <c r="H2103">
        <v>241.28</v>
      </c>
      <c r="I2103" s="1">
        <v>686.92</v>
      </c>
      <c r="J2103" s="16">
        <v>144262.43901613227</v>
      </c>
      <c r="K2103" s="5">
        <v>4.1564903144243798E-2</v>
      </c>
      <c r="L2103" s="10">
        <v>107009.07429999999</v>
      </c>
    </row>
    <row r="2104" spans="1:12" x14ac:dyDescent="0.25">
      <c r="A2104">
        <v>2103</v>
      </c>
      <c r="B2104" s="3">
        <v>0.20868214198599208</v>
      </c>
      <c r="C2104" s="3">
        <v>7.9307534618378875E-2</v>
      </c>
      <c r="D2104" s="1">
        <v>102014.96713712064</v>
      </c>
      <c r="E2104" s="1">
        <v>3853135</v>
      </c>
      <c r="F2104" s="1">
        <v>19353487</v>
      </c>
      <c r="G2104" s="16">
        <v>29163.017669768542</v>
      </c>
      <c r="H2104">
        <v>225.85</v>
      </c>
      <c r="I2104" s="1">
        <v>563.47</v>
      </c>
      <c r="J2104" s="16">
        <v>131177.98480688917</v>
      </c>
      <c r="K2104" s="5">
        <v>-7.2650845057250057E-2</v>
      </c>
      <c r="L2104" s="10">
        <v>-58723.2497</v>
      </c>
    </row>
    <row r="2105" spans="1:12" x14ac:dyDescent="0.25">
      <c r="A2105">
        <v>2104</v>
      </c>
      <c r="B2105" s="3">
        <v>0.14775768321492705</v>
      </c>
      <c r="C2105" s="3">
        <v>5.270304007235746E-2</v>
      </c>
      <c r="D2105" s="1">
        <v>201415.42981177673</v>
      </c>
      <c r="E2105" s="1">
        <v>7145674</v>
      </c>
      <c r="F2105" s="1">
        <v>33826477</v>
      </c>
      <c r="G2105" s="16">
        <v>33802.565159047736</v>
      </c>
      <c r="H2105">
        <v>155.47999999999999</v>
      </c>
      <c r="I2105" s="1">
        <v>501.06999999999994</v>
      </c>
      <c r="J2105" s="16">
        <v>235217.99497082445</v>
      </c>
      <c r="K2105" s="5">
        <v>2.2204543884181051E-2</v>
      </c>
      <c r="L2105" s="10">
        <v>122368.0822</v>
      </c>
    </row>
    <row r="2106" spans="1:12" x14ac:dyDescent="0.25">
      <c r="A2106">
        <v>2105</v>
      </c>
      <c r="B2106" s="3">
        <v>0.14354203241710961</v>
      </c>
      <c r="C2106" s="3">
        <v>7.2389467180779807E-2</v>
      </c>
      <c r="D2106" s="1">
        <v>300594.73308621341</v>
      </c>
      <c r="E2106" s="1">
        <v>10455859</v>
      </c>
      <c r="F2106" s="1">
        <v>37870638</v>
      </c>
      <c r="G2106" s="16">
        <v>42182.455012044731</v>
      </c>
      <c r="H2106">
        <v>187.61</v>
      </c>
      <c r="I2106" s="1">
        <v>576.62</v>
      </c>
      <c r="J2106" s="16">
        <v>342777.18809825816</v>
      </c>
      <c r="K2106" s="5">
        <v>-0.10301300487545115</v>
      </c>
      <c r="L2106" s="10">
        <v>-299056.11570000002</v>
      </c>
    </row>
    <row r="2107" spans="1:12" x14ac:dyDescent="0.25">
      <c r="A2107">
        <v>2106</v>
      </c>
      <c r="B2107" s="3">
        <v>0.11429761034295326</v>
      </c>
      <c r="C2107" s="3">
        <v>6.2979844311965835E-2</v>
      </c>
      <c r="D2107" s="1">
        <v>521953.18425706058</v>
      </c>
      <c r="E2107" s="1">
        <v>17922373</v>
      </c>
      <c r="F2107" s="1">
        <v>62203274</v>
      </c>
      <c r="G2107" s="16">
        <v>49099.666792025157</v>
      </c>
      <c r="H2107">
        <v>172.72</v>
      </c>
      <c r="I2107" s="1">
        <v>609.19000000000005</v>
      </c>
      <c r="J2107" s="16">
        <v>571052.85104908573</v>
      </c>
      <c r="K2107" s="5">
        <v>0.12110952544153476</v>
      </c>
      <c r="L2107" s="10">
        <v>731207.6605</v>
      </c>
    </row>
    <row r="2108" spans="1:12" x14ac:dyDescent="0.25">
      <c r="A2108">
        <v>2107</v>
      </c>
      <c r="B2108" s="3">
        <v>0.21766303837373052</v>
      </c>
      <c r="C2108" s="3">
        <v>7.2523019875398539E-2</v>
      </c>
      <c r="D2108" s="1">
        <v>218396.86261764044</v>
      </c>
      <c r="E2108" s="1">
        <v>10911226</v>
      </c>
      <c r="F2108" s="1">
        <v>33043812</v>
      </c>
      <c r="G2108" s="16">
        <v>24194.29392741913</v>
      </c>
      <c r="H2108">
        <v>202.71</v>
      </c>
      <c r="I2108" s="1">
        <v>591.16000000000008</v>
      </c>
      <c r="J2108" s="16">
        <v>242591.15654505958</v>
      </c>
      <c r="K2108" s="5">
        <v>0.12536386489905102</v>
      </c>
      <c r="L2108" s="10">
        <v>256849.8131</v>
      </c>
    </row>
    <row r="2109" spans="1:12" x14ac:dyDescent="0.25">
      <c r="A2109">
        <v>2108</v>
      </c>
      <c r="B2109" s="3">
        <v>0.23207755152343565</v>
      </c>
      <c r="C2109" s="3">
        <v>5.7402778541839158E-2</v>
      </c>
      <c r="D2109" s="1">
        <v>132731.152464196</v>
      </c>
      <c r="E2109" s="1">
        <v>5485596</v>
      </c>
      <c r="F2109" s="1">
        <v>17968298</v>
      </c>
      <c r="G2109" s="16">
        <v>27916.141314876386</v>
      </c>
      <c r="H2109">
        <v>346.93</v>
      </c>
      <c r="I2109" s="1">
        <v>1191.83</v>
      </c>
      <c r="J2109" s="16">
        <v>160647.29377907238</v>
      </c>
      <c r="K2109" s="5">
        <v>8.352867142469432E-2</v>
      </c>
      <c r="L2109" s="10">
        <v>178432.30220000001</v>
      </c>
    </row>
    <row r="2110" spans="1:12" x14ac:dyDescent="0.25">
      <c r="A2110">
        <v>2109</v>
      </c>
      <c r="B2110" s="3">
        <v>0.13933962437694383</v>
      </c>
      <c r="C2110" s="3">
        <v>5.7569866619077981E-2</v>
      </c>
      <c r="D2110" s="1">
        <v>116306.00539029384</v>
      </c>
      <c r="E2110" s="1">
        <v>3414362</v>
      </c>
      <c r="F2110" s="1">
        <v>21174845</v>
      </c>
      <c r="G2110" s="16">
        <v>12389.271379284875</v>
      </c>
      <c r="H2110">
        <v>39.520000000000003</v>
      </c>
      <c r="I2110" s="1">
        <v>182.65</v>
      </c>
      <c r="J2110" s="16">
        <v>128695.27676957872</v>
      </c>
      <c r="K2110" s="5">
        <v>3.0492894108694841E-2</v>
      </c>
      <c r="L2110" s="10">
        <v>52137.278299999998</v>
      </c>
    </row>
    <row r="2111" spans="1:12" x14ac:dyDescent="0.25">
      <c r="A2111">
        <v>2110</v>
      </c>
      <c r="B2111" s="3">
        <v>0.1481610531123653</v>
      </c>
      <c r="C2111" s="3">
        <v>4.1210488493628919E-2</v>
      </c>
      <c r="D2111" s="1">
        <v>132066.42916110824</v>
      </c>
      <c r="E2111" s="1">
        <v>4694241</v>
      </c>
      <c r="F2111" s="1">
        <v>23851758</v>
      </c>
      <c r="G2111" s="16">
        <v>104300.24726056281</v>
      </c>
      <c r="H2111">
        <v>566.17999999999995</v>
      </c>
      <c r="I2111" s="1">
        <v>1292.9000000000001</v>
      </c>
      <c r="J2111" s="16">
        <v>236366.67642167106</v>
      </c>
      <c r="K2111" s="5">
        <v>0.2365571214742791</v>
      </c>
      <c r="L2111" s="10">
        <v>1051071.0101999999</v>
      </c>
    </row>
    <row r="2112" spans="1:12" x14ac:dyDescent="0.25">
      <c r="A2112">
        <v>2111</v>
      </c>
      <c r="B2112" s="3">
        <v>0.18996922081687623</v>
      </c>
      <c r="C2112" s="3">
        <v>5.0807381211462138E-2</v>
      </c>
      <c r="D2112" s="1">
        <v>131121.3415788704</v>
      </c>
      <c r="E2112" s="1">
        <v>5699941</v>
      </c>
      <c r="F2112" s="1">
        <v>27385273</v>
      </c>
      <c r="G2112" s="16">
        <v>22825.327711454433</v>
      </c>
      <c r="H2112">
        <v>121.48</v>
      </c>
      <c r="I2112" s="1">
        <v>348.59</v>
      </c>
      <c r="J2112" s="16">
        <v>153946.66929032485</v>
      </c>
      <c r="K2112" s="5">
        <v>0.20938253779407967</v>
      </c>
      <c r="L2112" s="10">
        <v>495939.39649999997</v>
      </c>
    </row>
    <row r="2113" spans="1:12" x14ac:dyDescent="0.25">
      <c r="A2113">
        <v>2112</v>
      </c>
      <c r="B2113" s="3">
        <v>0.17177413152991522</v>
      </c>
      <c r="C2113" s="3">
        <v>2.5897914675508317E-2</v>
      </c>
      <c r="D2113" s="1">
        <v>194374.68970698348</v>
      </c>
      <c r="E2113" s="1">
        <v>7731215</v>
      </c>
      <c r="F2113" s="1">
        <v>38267244</v>
      </c>
      <c r="G2113" s="16">
        <v>58427.303831483077</v>
      </c>
      <c r="H2113">
        <v>396.69</v>
      </c>
      <c r="I2113" s="1">
        <v>957.04</v>
      </c>
      <c r="J2113" s="16">
        <v>252801.99353846657</v>
      </c>
      <c r="K2113" s="5">
        <v>9.0687616978944091E-2</v>
      </c>
      <c r="L2113" s="10">
        <v>814306.12719999999</v>
      </c>
    </row>
    <row r="2114" spans="1:12" x14ac:dyDescent="0.25">
      <c r="A2114">
        <v>2113</v>
      </c>
      <c r="B2114" s="3">
        <v>0.1040580824953162</v>
      </c>
      <c r="C2114" s="3">
        <v>4.3347768853973845E-2</v>
      </c>
      <c r="D2114" s="1">
        <v>273329.19028870203</v>
      </c>
      <c r="E2114" s="1">
        <v>7939060</v>
      </c>
      <c r="F2114" s="1">
        <v>27861192</v>
      </c>
      <c r="G2114" s="16">
        <v>21790.002885718892</v>
      </c>
      <c r="H2114">
        <v>63.32</v>
      </c>
      <c r="I2114" s="1">
        <v>275.55</v>
      </c>
      <c r="J2114" s="16">
        <v>295119.19317442091</v>
      </c>
      <c r="K2114" s="5">
        <v>0.15070018826852577</v>
      </c>
      <c r="L2114" s="10">
        <v>753392.83250000002</v>
      </c>
    </row>
    <row r="2115" spans="1:12" x14ac:dyDescent="0.25">
      <c r="A2115">
        <v>2114</v>
      </c>
      <c r="B2115" s="3">
        <v>0.16327509793849004</v>
      </c>
      <c r="C2115" s="3">
        <v>5.9418361735262049E-2</v>
      </c>
      <c r="D2115" s="1">
        <v>286200.8431893441</v>
      </c>
      <c r="E2115" s="1">
        <v>13060518</v>
      </c>
      <c r="F2115" s="1">
        <v>60087430</v>
      </c>
      <c r="G2115" s="16">
        <v>22111.106281895816</v>
      </c>
      <c r="H2115">
        <v>96.92</v>
      </c>
      <c r="I2115" s="1">
        <v>372.74</v>
      </c>
      <c r="J2115" s="16">
        <v>308311.94947123993</v>
      </c>
      <c r="K2115" s="5">
        <v>0.16907808815286843</v>
      </c>
      <c r="L2115" s="10">
        <v>607358.78870000003</v>
      </c>
    </row>
    <row r="2116" spans="1:12" x14ac:dyDescent="0.25">
      <c r="A2116">
        <v>2115</v>
      </c>
      <c r="B2116" s="3">
        <v>0.12996003510897822</v>
      </c>
      <c r="C2116" s="3">
        <v>3.2043269889396431E-2</v>
      </c>
      <c r="D2116" s="1">
        <v>162714.61411565109</v>
      </c>
      <c r="E2116" s="1">
        <v>4623932</v>
      </c>
      <c r="F2116" s="1">
        <v>19185880</v>
      </c>
      <c r="G2116" s="16">
        <v>23468.116944123492</v>
      </c>
      <c r="H2116">
        <v>81.39</v>
      </c>
      <c r="I2116" s="1">
        <v>250.93</v>
      </c>
      <c r="J2116" s="16">
        <v>186182.73105977458</v>
      </c>
      <c r="K2116" s="5">
        <v>0.25638236666009218</v>
      </c>
      <c r="L2116" s="10">
        <v>1230721.4476999999</v>
      </c>
    </row>
    <row r="2117" spans="1:12" x14ac:dyDescent="0.25">
      <c r="A2117">
        <v>2116</v>
      </c>
      <c r="B2117" s="3">
        <v>0.20175118843539372</v>
      </c>
      <c r="C2117" s="3">
        <v>2.1578397473738371E-2</v>
      </c>
      <c r="D2117" s="1">
        <v>176354.77858439711</v>
      </c>
      <c r="E2117" s="1">
        <v>8129004</v>
      </c>
      <c r="F2117" s="1">
        <v>35289010</v>
      </c>
      <c r="G2117" s="16">
        <v>30738.384394094799</v>
      </c>
      <c r="H2117">
        <v>223.61</v>
      </c>
      <c r="I2117" s="1">
        <v>745.72</v>
      </c>
      <c r="J2117" s="16">
        <v>207093.16297849192</v>
      </c>
      <c r="K2117" s="5">
        <v>8.9325543260180024E-2</v>
      </c>
      <c r="L2117" s="10">
        <v>766779.7476</v>
      </c>
    </row>
    <row r="2118" spans="1:12" x14ac:dyDescent="0.25">
      <c r="A2118">
        <v>2117</v>
      </c>
      <c r="B2118" s="3">
        <v>0.19800620976377481</v>
      </c>
      <c r="C2118" s="3">
        <v>6.9072066882772717E-2</v>
      </c>
      <c r="D2118" s="1">
        <v>193010.35229858779</v>
      </c>
      <c r="E2118" s="1">
        <v>10887498</v>
      </c>
      <c r="F2118" s="1">
        <v>46973471</v>
      </c>
      <c r="G2118" s="16">
        <v>18355.930366495206</v>
      </c>
      <c r="H2118">
        <v>103.81</v>
      </c>
      <c r="I2118" s="1">
        <v>380.22</v>
      </c>
      <c r="J2118" s="16">
        <v>211366.28266508301</v>
      </c>
      <c r="K2118" s="5">
        <v>0.29630787580873658</v>
      </c>
      <c r="L2118" s="10">
        <v>700704.61499999999</v>
      </c>
    </row>
    <row r="2119" spans="1:12" x14ac:dyDescent="0.25">
      <c r="A2119">
        <v>2118</v>
      </c>
      <c r="B2119" s="3">
        <v>0.17875094423365184</v>
      </c>
      <c r="C2119" s="3">
        <v>4.4269029854328373E-2</v>
      </c>
      <c r="D2119" s="1">
        <v>291447.56245390116</v>
      </c>
      <c r="E2119" s="1">
        <v>14601232</v>
      </c>
      <c r="F2119" s="1">
        <v>52920430</v>
      </c>
      <c r="G2119" s="16">
        <v>9519.557814477721</v>
      </c>
      <c r="H2119">
        <v>38.32</v>
      </c>
      <c r="I2119" s="1">
        <v>138.83000000000001</v>
      </c>
      <c r="J2119" s="16">
        <v>300967.12026837887</v>
      </c>
      <c r="K2119" s="5">
        <v>0.11205152908675681</v>
      </c>
      <c r="L2119" s="10">
        <v>593491.3247</v>
      </c>
    </row>
    <row r="2120" spans="1:12" x14ac:dyDescent="0.25">
      <c r="A2120">
        <v>2119</v>
      </c>
      <c r="B2120" s="3">
        <v>0.12052238929827977</v>
      </c>
      <c r="C2120" s="3">
        <v>4.949859549247615E-2</v>
      </c>
      <c r="D2120" s="1">
        <v>251832.05647610142</v>
      </c>
      <c r="E2120" s="1">
        <v>7877970</v>
      </c>
      <c r="F2120" s="1">
        <v>39735695</v>
      </c>
      <c r="G2120" s="16">
        <v>16766.741836016394</v>
      </c>
      <c r="H2120">
        <v>47.88</v>
      </c>
      <c r="I2120" s="1">
        <v>156.9</v>
      </c>
      <c r="J2120" s="16">
        <v>268598.79831211781</v>
      </c>
      <c r="K2120" s="5">
        <v>5.4357434810752531E-2</v>
      </c>
      <c r="L2120" s="10">
        <v>290329.53110000002</v>
      </c>
    </row>
    <row r="2121" spans="1:12" x14ac:dyDescent="0.25">
      <c r="A2121">
        <v>2120</v>
      </c>
      <c r="B2121" s="3">
        <v>0.11668385278972546</v>
      </c>
      <c r="C2121" s="3">
        <v>2.945480921961199E-2</v>
      </c>
      <c r="D2121" s="1">
        <v>60289.411785727723</v>
      </c>
      <c r="E2121" s="1">
        <v>1637174</v>
      </c>
      <c r="F2121" s="1">
        <v>11305718</v>
      </c>
      <c r="G2121" s="16">
        <v>19917.4340929438</v>
      </c>
      <c r="H2121">
        <v>63.22</v>
      </c>
      <c r="I2121" s="1">
        <v>200.57</v>
      </c>
      <c r="J2121" s="16">
        <v>80206.84587867152</v>
      </c>
      <c r="K2121" s="5">
        <v>-7.0381984438858652E-2</v>
      </c>
      <c r="L2121" s="10">
        <v>-142787.06299999999</v>
      </c>
    </row>
    <row r="2122" spans="1:12" x14ac:dyDescent="0.25">
      <c r="A2122">
        <v>2121</v>
      </c>
      <c r="B2122" s="3">
        <v>0.23610450244068804</v>
      </c>
      <c r="C2122" s="3">
        <v>3.9075459408168832E-2</v>
      </c>
      <c r="D2122" s="1">
        <v>110435.17559684484</v>
      </c>
      <c r="E2122" s="1">
        <v>4636698</v>
      </c>
      <c r="F2122" s="1">
        <v>20887775</v>
      </c>
      <c r="G2122" s="16">
        <v>28075.208571642677</v>
      </c>
      <c r="H2122">
        <v>364.35</v>
      </c>
      <c r="I2122" s="1">
        <v>1072.1199999999999</v>
      </c>
      <c r="J2122" s="16">
        <v>138510.38416848751</v>
      </c>
      <c r="K2122" s="5">
        <v>0.12885920911790619</v>
      </c>
      <c r="L2122" s="10">
        <v>385379.48050000001</v>
      </c>
    </row>
    <row r="2123" spans="1:12" x14ac:dyDescent="0.25">
      <c r="A2123">
        <v>2122</v>
      </c>
      <c r="B2123" s="3">
        <v>0.22271775052700338</v>
      </c>
      <c r="C2123" s="3">
        <v>5.0106157583409243E-2</v>
      </c>
      <c r="D2123" s="1">
        <v>121388.81528352792</v>
      </c>
      <c r="E2123" s="1">
        <v>6223956</v>
      </c>
      <c r="F2123" s="1">
        <v>25258837</v>
      </c>
      <c r="G2123" s="16">
        <v>17788.927677977197</v>
      </c>
      <c r="H2123">
        <v>156.19</v>
      </c>
      <c r="I2123" s="1">
        <v>547.56999999999994</v>
      </c>
      <c r="J2123" s="16">
        <v>139177.74296150511</v>
      </c>
      <c r="K2123" s="5">
        <v>0.10615984933766939</v>
      </c>
      <c r="L2123" s="10">
        <v>251712.50289999999</v>
      </c>
    </row>
    <row r="2124" spans="1:12" x14ac:dyDescent="0.25">
      <c r="A2124">
        <v>2123</v>
      </c>
      <c r="B2124" s="3">
        <v>0.23853169757677867</v>
      </c>
      <c r="C2124" s="3">
        <v>2.8267126112353876E-2</v>
      </c>
      <c r="D2124" s="1">
        <v>118561.08066892413</v>
      </c>
      <c r="E2124" s="1">
        <v>6599906</v>
      </c>
      <c r="F2124" s="1">
        <v>23219073</v>
      </c>
      <c r="G2124" s="16">
        <v>12235.50028012475</v>
      </c>
      <c r="H2124">
        <v>94.48</v>
      </c>
      <c r="I2124" s="1">
        <v>296.88</v>
      </c>
      <c r="J2124" s="16">
        <v>130796.58094904888</v>
      </c>
      <c r="K2124" s="5">
        <v>0.27475795492390476</v>
      </c>
      <c r="L2124" s="10">
        <v>1067726.49</v>
      </c>
    </row>
    <row r="2125" spans="1:12" x14ac:dyDescent="0.25">
      <c r="A2125">
        <v>2124</v>
      </c>
      <c r="B2125" s="3">
        <v>0.22120615672883062</v>
      </c>
      <c r="C2125" s="3">
        <v>7.8002632457236071E-2</v>
      </c>
      <c r="D2125" s="1">
        <v>119934.05678950655</v>
      </c>
      <c r="E2125" s="1">
        <v>7834887</v>
      </c>
      <c r="F2125" s="1">
        <v>43827295</v>
      </c>
      <c r="G2125" s="16">
        <v>7750.8470932544542</v>
      </c>
      <c r="H2125">
        <v>52.21</v>
      </c>
      <c r="I2125" s="1">
        <v>245.21</v>
      </c>
      <c r="J2125" s="16">
        <v>127684.90388276101</v>
      </c>
      <c r="K2125" s="5">
        <v>0.13694497860566793</v>
      </c>
      <c r="L2125" s="10">
        <v>143713.88990000001</v>
      </c>
    </row>
    <row r="2126" spans="1:12" x14ac:dyDescent="0.25">
      <c r="A2126">
        <v>2125</v>
      </c>
      <c r="B2126" s="3">
        <v>0.17219158828172337</v>
      </c>
      <c r="C2126" s="3">
        <v>7.4311734577199751E-2</v>
      </c>
      <c r="D2126" s="1">
        <v>164571.03788588374</v>
      </c>
      <c r="E2126" s="1">
        <v>5429582</v>
      </c>
      <c r="F2126" s="1">
        <v>21447647</v>
      </c>
      <c r="G2126" s="16">
        <v>35084.703144616098</v>
      </c>
      <c r="H2126">
        <v>198.07</v>
      </c>
      <c r="I2126" s="1">
        <v>590.70000000000005</v>
      </c>
      <c r="J2126" s="16">
        <v>199655.74103049983</v>
      </c>
      <c r="K2126" s="5">
        <v>0.23425829410445459</v>
      </c>
      <c r="L2126" s="10">
        <v>404511.16869999998</v>
      </c>
    </row>
    <row r="2127" spans="1:12" x14ac:dyDescent="0.25">
      <c r="A2127">
        <v>2126</v>
      </c>
      <c r="B2127" s="3">
        <v>0.12452567357238976</v>
      </c>
      <c r="C2127" s="3">
        <v>5.087896092986996E-2</v>
      </c>
      <c r="D2127" s="1">
        <v>64893.911757913222</v>
      </c>
      <c r="E2127" s="1">
        <v>1809994</v>
      </c>
      <c r="F2127" s="1">
        <v>11315413</v>
      </c>
      <c r="G2127" s="16">
        <v>58584.36675240763</v>
      </c>
      <c r="H2127">
        <v>223.51</v>
      </c>
      <c r="I2127" s="1">
        <v>632.92999999999995</v>
      </c>
      <c r="J2127" s="16">
        <v>123478.27851032084</v>
      </c>
      <c r="K2127" s="5">
        <v>2.4267729990320838E-2</v>
      </c>
      <c r="L2127" s="10">
        <v>66268.039000000004</v>
      </c>
    </row>
    <row r="2128" spans="1:12" x14ac:dyDescent="0.25">
      <c r="A2128">
        <v>2127</v>
      </c>
      <c r="B2128" s="3">
        <v>0.24305274665285978</v>
      </c>
      <c r="C2128" s="3">
        <v>7.7814855399140695E-2</v>
      </c>
      <c r="D2128" s="1">
        <v>240318.20665323798</v>
      </c>
      <c r="E2128" s="1">
        <v>18099259</v>
      </c>
      <c r="F2128" s="1">
        <v>52574989</v>
      </c>
      <c r="G2128" s="16">
        <v>8754.6863041773431</v>
      </c>
      <c r="H2128">
        <v>69.989999999999995</v>
      </c>
      <c r="I2128" s="1">
        <v>257.17</v>
      </c>
      <c r="J2128" s="16">
        <v>249072.89295741532</v>
      </c>
      <c r="K2128" s="5">
        <v>1.6609228728657173E-2</v>
      </c>
      <c r="L2128" s="10">
        <v>73146.375899999999</v>
      </c>
    </row>
    <row r="2129" spans="1:12" x14ac:dyDescent="0.25">
      <c r="A2129">
        <v>2128</v>
      </c>
      <c r="B2129" s="3">
        <v>0.11118392832419338</v>
      </c>
      <c r="C2129" s="3">
        <v>6.1574093389809001E-2</v>
      </c>
      <c r="D2129" s="1">
        <v>217031.16509194658</v>
      </c>
      <c r="E2129" s="1">
        <v>6508446</v>
      </c>
      <c r="F2129" s="1">
        <v>28598524</v>
      </c>
      <c r="G2129" s="16">
        <v>15337.593702313829</v>
      </c>
      <c r="H2129">
        <v>46.72</v>
      </c>
      <c r="I2129" s="1">
        <v>213.27</v>
      </c>
      <c r="J2129" s="16">
        <v>232368.75879426042</v>
      </c>
      <c r="K2129" s="5">
        <v>-6.2947482914702493E-2</v>
      </c>
      <c r="L2129" s="10">
        <v>-148432.99059999999</v>
      </c>
    </row>
    <row r="2130" spans="1:12" x14ac:dyDescent="0.25">
      <c r="A2130">
        <v>2129</v>
      </c>
      <c r="B2130" s="3">
        <v>0.21645774322150779</v>
      </c>
      <c r="C2130" s="3">
        <v>3.2993614188505514E-2</v>
      </c>
      <c r="D2130" s="1">
        <v>106644.78639035596</v>
      </c>
      <c r="E2130" s="1">
        <v>5295330</v>
      </c>
      <c r="F2130" s="1">
        <v>24811728</v>
      </c>
      <c r="G2130" s="16">
        <v>9943.9434245220746</v>
      </c>
      <c r="H2130">
        <v>64.64</v>
      </c>
      <c r="I2130" s="1">
        <v>235.70999999999998</v>
      </c>
      <c r="J2130" s="16">
        <v>116588.72981487804</v>
      </c>
      <c r="K2130" s="5">
        <v>6.4074266114423573E-2</v>
      </c>
      <c r="L2130" s="10">
        <v>195126.19959999999</v>
      </c>
    </row>
    <row r="2131" spans="1:12" x14ac:dyDescent="0.25">
      <c r="A2131">
        <v>2130</v>
      </c>
      <c r="B2131" s="3">
        <v>0.11252349943054611</v>
      </c>
      <c r="C2131" s="3">
        <v>3.388364093320699E-2</v>
      </c>
      <c r="D2131" s="1">
        <v>184434.8669849821</v>
      </c>
      <c r="E2131" s="1">
        <v>5564398</v>
      </c>
      <c r="F2131" s="1">
        <v>25600721</v>
      </c>
      <c r="G2131" s="16">
        <v>35824.459978360668</v>
      </c>
      <c r="H2131">
        <v>124.22</v>
      </c>
      <c r="I2131" s="1">
        <v>515.57000000000005</v>
      </c>
      <c r="J2131" s="16">
        <v>220259.32696334278</v>
      </c>
      <c r="K2131" s="5">
        <v>0.10855680827518559</v>
      </c>
      <c r="L2131" s="10">
        <v>611475.80900000001</v>
      </c>
    </row>
    <row r="2132" spans="1:12" x14ac:dyDescent="0.25">
      <c r="A2132">
        <v>2131</v>
      </c>
      <c r="B2132" s="3">
        <v>0.13931647622137733</v>
      </c>
      <c r="C2132" s="3">
        <v>3.6858879789163211E-2</v>
      </c>
      <c r="D2132" s="1">
        <v>90854.179052434614</v>
      </c>
      <c r="E2132" s="1">
        <v>2666960</v>
      </c>
      <c r="F2132" s="1">
        <v>17480967</v>
      </c>
      <c r="G2132" s="16">
        <v>35759.941240927015</v>
      </c>
      <c r="H2132">
        <v>153.91999999999999</v>
      </c>
      <c r="I2132" s="1">
        <v>609.65</v>
      </c>
      <c r="J2132" s="16">
        <v>126614.12029336163</v>
      </c>
      <c r="K2132" s="5">
        <v>8.7058927324875302E-2</v>
      </c>
      <c r="L2132" s="10">
        <v>281301.75459999999</v>
      </c>
    </row>
    <row r="2133" spans="1:12" x14ac:dyDescent="0.25">
      <c r="A2133">
        <v>2132</v>
      </c>
      <c r="B2133" s="3">
        <v>0.16404102812364879</v>
      </c>
      <c r="C2133" s="3">
        <v>7.391113223989787E-2</v>
      </c>
      <c r="D2133" s="1">
        <v>74364.543905227503</v>
      </c>
      <c r="E2133" s="1">
        <v>2382398</v>
      </c>
      <c r="F2133" s="1">
        <v>14763525</v>
      </c>
      <c r="G2133" s="16">
        <v>35270.926691893532</v>
      </c>
      <c r="H2133">
        <v>186.08</v>
      </c>
      <c r="I2133" s="1">
        <v>644.34</v>
      </c>
      <c r="J2133" s="16">
        <v>109635.47059712104</v>
      </c>
      <c r="K2133" s="5">
        <v>3.5544744590548037E-2</v>
      </c>
      <c r="L2133" s="10">
        <v>51576.471299999997</v>
      </c>
    </row>
    <row r="2134" spans="1:12" x14ac:dyDescent="0.25">
      <c r="A2134">
        <v>2133</v>
      </c>
      <c r="B2134" s="3">
        <v>0.1499983183205324</v>
      </c>
      <c r="C2134" s="3">
        <v>6.9791998947735745E-2</v>
      </c>
      <c r="D2134" s="1">
        <v>47163.327215221303</v>
      </c>
      <c r="E2134" s="1">
        <v>1437303</v>
      </c>
      <c r="F2134" s="1">
        <v>12201862</v>
      </c>
      <c r="G2134" s="16">
        <v>14807.341522084567</v>
      </c>
      <c r="H2134">
        <v>59.06</v>
      </c>
      <c r="I2134" s="1">
        <v>227.36</v>
      </c>
      <c r="J2134" s="16">
        <v>61970.668737305867</v>
      </c>
      <c r="K2134" s="5">
        <v>0.10161724219717186</v>
      </c>
      <c r="L2134" s="10">
        <v>72227.602899999998</v>
      </c>
    </row>
    <row r="2135" spans="1:12" x14ac:dyDescent="0.25">
      <c r="A2135">
        <v>2134</v>
      </c>
      <c r="B2135" s="3">
        <v>0.20407881929324023</v>
      </c>
      <c r="C2135" s="3">
        <v>7.3298885044415618E-2</v>
      </c>
      <c r="D2135" s="1">
        <v>90634.425418230094</v>
      </c>
      <c r="E2135" s="1">
        <v>3364228</v>
      </c>
      <c r="F2135" s="1">
        <v>15130688</v>
      </c>
      <c r="G2135" s="16">
        <v>30628.03733183369</v>
      </c>
      <c r="H2135">
        <v>227.71</v>
      </c>
      <c r="I2135" s="1">
        <v>592.83000000000004</v>
      </c>
      <c r="J2135" s="16">
        <v>121262.46275006379</v>
      </c>
      <c r="K2135" s="5">
        <v>0.23328879362051494</v>
      </c>
      <c r="L2135" s="10">
        <v>263399.38919999998</v>
      </c>
    </row>
    <row r="2136" spans="1:12" x14ac:dyDescent="0.25">
      <c r="A2136">
        <v>2135</v>
      </c>
      <c r="B2136" s="3">
        <v>0.20861141881186113</v>
      </c>
      <c r="C2136" s="3">
        <v>7.3294401848427074E-2</v>
      </c>
      <c r="D2136" s="1">
        <v>133937.84895941321</v>
      </c>
      <c r="E2136" s="1">
        <v>6390684</v>
      </c>
      <c r="F2136" s="1">
        <v>42063210</v>
      </c>
      <c r="G2136" s="16">
        <v>16765.885555085672</v>
      </c>
      <c r="H2136">
        <v>129.80000000000001</v>
      </c>
      <c r="I2136" s="1">
        <v>389.99</v>
      </c>
      <c r="J2136" s="16">
        <v>150703.73451449888</v>
      </c>
      <c r="K2136" s="5">
        <v>0.11236928880685106</v>
      </c>
      <c r="L2136" s="10">
        <v>228496.59049999999</v>
      </c>
    </row>
    <row r="2137" spans="1:12" x14ac:dyDescent="0.25">
      <c r="A2137">
        <v>2136</v>
      </c>
      <c r="B2137" s="3">
        <v>0.12475551766510679</v>
      </c>
      <c r="C2137" s="3">
        <v>2.0626595100886613E-2</v>
      </c>
      <c r="D2137" s="1">
        <v>190071.3398626608</v>
      </c>
      <c r="E2137" s="1">
        <v>6061805</v>
      </c>
      <c r="F2137" s="1">
        <v>32245989</v>
      </c>
      <c r="G2137" s="16">
        <v>72781.537259836885</v>
      </c>
      <c r="H2137">
        <v>278.39999999999998</v>
      </c>
      <c r="I2137" s="1">
        <v>718.69999999999993</v>
      </c>
      <c r="J2137" s="16">
        <v>262852.87712249765</v>
      </c>
      <c r="K2137" s="5">
        <v>0.17126864993256663</v>
      </c>
      <c r="L2137" s="10">
        <v>1946690.7197</v>
      </c>
    </row>
    <row r="2138" spans="1:12" x14ac:dyDescent="0.25">
      <c r="A2138">
        <v>2137</v>
      </c>
      <c r="B2138" s="3">
        <v>0.12656995452186459</v>
      </c>
      <c r="C2138" s="3">
        <v>4.9499718556314062E-2</v>
      </c>
      <c r="D2138" s="1">
        <v>80046.882235305253</v>
      </c>
      <c r="E2138" s="1">
        <v>1963776</v>
      </c>
      <c r="F2138" s="1">
        <v>8769033</v>
      </c>
      <c r="G2138" s="16">
        <v>35159.231353098294</v>
      </c>
      <c r="H2138">
        <v>136.63</v>
      </c>
      <c r="I2138" s="1">
        <v>393.16</v>
      </c>
      <c r="J2138" s="16">
        <v>115206.11358840355</v>
      </c>
      <c r="K2138" s="5">
        <v>1.8537559799423477E-2</v>
      </c>
      <c r="L2138" s="10">
        <v>39967.162199999999</v>
      </c>
    </row>
    <row r="2139" spans="1:12" x14ac:dyDescent="0.25">
      <c r="A2139">
        <v>2138</v>
      </c>
      <c r="B2139" s="3">
        <v>0.17186156592570076</v>
      </c>
      <c r="C2139" s="3">
        <v>6.6549365554961895E-2</v>
      </c>
      <c r="D2139" s="1">
        <v>134677.35739776146</v>
      </c>
      <c r="E2139" s="1">
        <v>5359016</v>
      </c>
      <c r="F2139" s="1">
        <v>27823271</v>
      </c>
      <c r="G2139" s="16">
        <v>26587.131764956983</v>
      </c>
      <c r="H2139">
        <v>149.77000000000001</v>
      </c>
      <c r="I2139" s="1">
        <v>451.14</v>
      </c>
      <c r="J2139" s="16">
        <v>161264.48916271844</v>
      </c>
      <c r="K2139" s="5">
        <v>3.1986764743449393E-2</v>
      </c>
      <c r="L2139" s="10">
        <v>71359.178499999995</v>
      </c>
    </row>
    <row r="2140" spans="1:12" x14ac:dyDescent="0.25">
      <c r="A2140">
        <v>2139</v>
      </c>
      <c r="B2140" s="3">
        <v>0.15786289950830504</v>
      </c>
      <c r="C2140" s="3">
        <v>5.2530663211780113E-2</v>
      </c>
      <c r="D2140" s="1">
        <v>265736.28210978024</v>
      </c>
      <c r="E2140" s="1">
        <v>11741936</v>
      </c>
      <c r="F2140" s="1">
        <v>54618847</v>
      </c>
      <c r="G2140" s="16">
        <v>19423.613095817385</v>
      </c>
      <c r="H2140">
        <v>97.16</v>
      </c>
      <c r="I2140" s="1">
        <v>425.52</v>
      </c>
      <c r="J2140" s="16">
        <v>285159.89520559763</v>
      </c>
      <c r="K2140" s="5">
        <v>0.24991443991503276</v>
      </c>
      <c r="L2140" s="10">
        <v>1044138.0686</v>
      </c>
    </row>
    <row r="2141" spans="1:12" x14ac:dyDescent="0.25">
      <c r="A2141">
        <v>2140</v>
      </c>
      <c r="B2141" s="3">
        <v>0.16605893430497723</v>
      </c>
      <c r="C2141" s="3">
        <v>5.8890092059177626E-2</v>
      </c>
      <c r="D2141" s="1">
        <v>169375.07642497472</v>
      </c>
      <c r="E2141" s="1">
        <v>6554068</v>
      </c>
      <c r="F2141" s="1">
        <v>27026770</v>
      </c>
      <c r="G2141" s="16">
        <v>35646.881502019241</v>
      </c>
      <c r="H2141">
        <v>191.24</v>
      </c>
      <c r="I2141" s="1">
        <v>718.32</v>
      </c>
      <c r="J2141" s="16">
        <v>205021.95792699396</v>
      </c>
      <c r="K2141" s="5">
        <v>7.0156768215946769E-2</v>
      </c>
      <c r="L2141" s="10">
        <v>220031.14360000001</v>
      </c>
    </row>
    <row r="2142" spans="1:12" x14ac:dyDescent="0.25">
      <c r="A2142">
        <v>2141</v>
      </c>
      <c r="B2142" s="3">
        <v>0.18517642711578525</v>
      </c>
      <c r="C2142" s="3">
        <v>3.9366301413035806E-2</v>
      </c>
      <c r="D2142" s="1">
        <v>62992.696278847761</v>
      </c>
      <c r="E2142" s="1">
        <v>1775683</v>
      </c>
      <c r="F2142" s="1">
        <v>9060667</v>
      </c>
      <c r="G2142" s="16">
        <v>24480.377197895563</v>
      </c>
      <c r="H2142">
        <v>154.68</v>
      </c>
      <c r="I2142" s="1">
        <v>428.88</v>
      </c>
      <c r="J2142" s="16">
        <v>87473.073476743331</v>
      </c>
      <c r="K2142" s="5">
        <v>0.2127314311658981</v>
      </c>
      <c r="L2142" s="10">
        <v>357103.45189999999</v>
      </c>
    </row>
    <row r="2143" spans="1:12" x14ac:dyDescent="0.25">
      <c r="A2143">
        <v>2142</v>
      </c>
      <c r="B2143" s="3">
        <v>0.18890031609674046</v>
      </c>
      <c r="C2143" s="3">
        <v>3.3319922928376849E-2</v>
      </c>
      <c r="D2143" s="1">
        <v>51730.081421985167</v>
      </c>
      <c r="E2143" s="1">
        <v>1814357</v>
      </c>
      <c r="F2143" s="1">
        <v>12830905</v>
      </c>
      <c r="G2143" s="16">
        <v>22973.02873657523</v>
      </c>
      <c r="H2143">
        <v>149.79</v>
      </c>
      <c r="I2143" s="1">
        <v>534.68999999999994</v>
      </c>
      <c r="J2143" s="16">
        <v>74703.11015856039</v>
      </c>
      <c r="K2143" s="5">
        <v>0.11257493880374433</v>
      </c>
      <c r="L2143" s="10">
        <v>222098.2451</v>
      </c>
    </row>
    <row r="2144" spans="1:12" x14ac:dyDescent="0.25">
      <c r="A2144">
        <v>2143</v>
      </c>
      <c r="B2144" s="3">
        <v>0.11843477392565566</v>
      </c>
      <c r="C2144" s="3">
        <v>7.9096738791382001E-2</v>
      </c>
      <c r="D2144" s="1">
        <v>186099.36473499547</v>
      </c>
      <c r="E2144" s="1">
        <v>5766735</v>
      </c>
      <c r="F2144" s="1">
        <v>34476435</v>
      </c>
      <c r="G2144" s="16">
        <v>88810.110322165216</v>
      </c>
      <c r="H2144">
        <v>366.41</v>
      </c>
      <c r="I2144" s="1">
        <v>812.45</v>
      </c>
      <c r="J2144" s="16">
        <v>274909.47505716071</v>
      </c>
      <c r="K2144" s="5">
        <v>0.11408999125147337</v>
      </c>
      <c r="L2144" s="10">
        <v>235301.44990000001</v>
      </c>
    </row>
    <row r="2145" spans="1:12" x14ac:dyDescent="0.25">
      <c r="A2145">
        <v>2144</v>
      </c>
      <c r="B2145" s="3">
        <v>0.10643475499152434</v>
      </c>
      <c r="C2145" s="3">
        <v>3.5041466368438128E-2</v>
      </c>
      <c r="D2145" s="1">
        <v>100862.42409243392</v>
      </c>
      <c r="E2145" s="1">
        <v>2645778</v>
      </c>
      <c r="F2145" s="1">
        <v>13790406</v>
      </c>
      <c r="G2145" s="16">
        <v>22915.451239618524</v>
      </c>
      <c r="H2145">
        <v>67.680000000000007</v>
      </c>
      <c r="I2145" s="1">
        <v>239.57999999999998</v>
      </c>
      <c r="J2145" s="16">
        <v>123777.87533205244</v>
      </c>
      <c r="K2145" s="5">
        <v>0.3046292107880022</v>
      </c>
      <c r="L2145" s="10">
        <v>860757.09510000004</v>
      </c>
    </row>
    <row r="2146" spans="1:12" x14ac:dyDescent="0.25">
      <c r="A2146">
        <v>2145</v>
      </c>
      <c r="B2146" s="3">
        <v>0.15466705307683265</v>
      </c>
      <c r="C2146" s="3">
        <v>2.4001016315674809E-2</v>
      </c>
      <c r="D2146" s="1">
        <v>185463.7623294518</v>
      </c>
      <c r="E2146" s="1">
        <v>6797521</v>
      </c>
      <c r="F2146" s="1">
        <v>25690822</v>
      </c>
      <c r="G2146" s="16">
        <v>31366.340337661069</v>
      </c>
      <c r="H2146">
        <v>153.08000000000001</v>
      </c>
      <c r="I2146" s="1">
        <v>511.28</v>
      </c>
      <c r="J2146" s="16">
        <v>216830.10266711286</v>
      </c>
      <c r="K2146" s="5">
        <v>-4.2573570420846751E-2</v>
      </c>
      <c r="L2146" s="10">
        <v>-308892.58069999999</v>
      </c>
    </row>
    <row r="2147" spans="1:12" x14ac:dyDescent="0.25">
      <c r="A2147">
        <v>2146</v>
      </c>
      <c r="B2147" s="3">
        <v>0.18145134297055004</v>
      </c>
      <c r="C2147" s="3">
        <v>4.001133261846148E-2</v>
      </c>
      <c r="D2147" s="1">
        <v>62911.97802674595</v>
      </c>
      <c r="E2147" s="1">
        <v>2146854</v>
      </c>
      <c r="F2147" s="1">
        <v>13035135</v>
      </c>
      <c r="G2147" s="16">
        <v>9751.8905021991359</v>
      </c>
      <c r="H2147">
        <v>48.71</v>
      </c>
      <c r="I2147" s="1">
        <v>215.29000000000002</v>
      </c>
      <c r="J2147" s="16">
        <v>72663.86852894508</v>
      </c>
      <c r="K2147" s="5">
        <v>0.13492041557190604</v>
      </c>
      <c r="L2147" s="10">
        <v>206526.34349999999</v>
      </c>
    </row>
    <row r="2148" spans="1:12" x14ac:dyDescent="0.25">
      <c r="A2148">
        <v>2147</v>
      </c>
      <c r="B2148" s="3">
        <v>0.14012248284670853</v>
      </c>
      <c r="C2148" s="3">
        <v>2.8581859723372061E-2</v>
      </c>
      <c r="D2148" s="1">
        <v>34365.651795487698</v>
      </c>
      <c r="E2148" s="1">
        <v>869872</v>
      </c>
      <c r="F2148" s="1">
        <v>8868267</v>
      </c>
      <c r="G2148" s="16">
        <v>44056.91393836894</v>
      </c>
      <c r="H2148">
        <v>190.62</v>
      </c>
      <c r="I2148" s="1">
        <v>521.5</v>
      </c>
      <c r="J2148" s="16">
        <v>78422.565733856638</v>
      </c>
      <c r="K2148" s="5">
        <v>0.20089152138251448</v>
      </c>
      <c r="L2148" s="10">
        <v>488327.73330000002</v>
      </c>
    </row>
    <row r="2149" spans="1:12" x14ac:dyDescent="0.25">
      <c r="A2149">
        <v>2148</v>
      </c>
      <c r="B2149" s="3">
        <v>0.20293865990641397</v>
      </c>
      <c r="C2149" s="3">
        <v>5.2862539243260037E-2</v>
      </c>
      <c r="D2149" s="1">
        <v>161819.74432222289</v>
      </c>
      <c r="E2149" s="1">
        <v>7503560</v>
      </c>
      <c r="F2149" s="1">
        <v>34079616</v>
      </c>
      <c r="G2149" s="16">
        <v>12475.912752571388</v>
      </c>
      <c r="H2149">
        <v>73.08</v>
      </c>
      <c r="I2149" s="1">
        <v>223.95</v>
      </c>
      <c r="J2149" s="16">
        <v>174295.65707479429</v>
      </c>
      <c r="K2149" s="5">
        <v>8.7685475165230203E-2</v>
      </c>
      <c r="L2149" s="10">
        <v>215653.61139999999</v>
      </c>
    </row>
    <row r="2150" spans="1:12" x14ac:dyDescent="0.25">
      <c r="A2150">
        <v>2149</v>
      </c>
      <c r="B2150" s="3">
        <v>0.19607198692585015</v>
      </c>
      <c r="C2150" s="3">
        <v>2.6155026514567782E-2</v>
      </c>
      <c r="D2150" s="1">
        <v>144501.57832977141</v>
      </c>
      <c r="E2150" s="1">
        <v>6474512</v>
      </c>
      <c r="F2150" s="1">
        <v>27916375</v>
      </c>
      <c r="G2150" s="16">
        <v>53403.655982125798</v>
      </c>
      <c r="H2150">
        <v>460.23</v>
      </c>
      <c r="I2150" s="1">
        <v>1084.3400000000001</v>
      </c>
      <c r="J2150" s="16">
        <v>197905.23431189719</v>
      </c>
      <c r="K2150" s="5">
        <v>0.23446073012757906</v>
      </c>
      <c r="L2150" s="10">
        <v>1538636.4857999999</v>
      </c>
    </row>
    <row r="2151" spans="1:12" x14ac:dyDescent="0.25">
      <c r="A2151">
        <v>2150</v>
      </c>
      <c r="B2151" s="3">
        <v>0.18802415737708233</v>
      </c>
      <c r="C2151" s="3">
        <v>2.1191328400631516E-2</v>
      </c>
      <c r="D2151" s="1">
        <v>255712.43353106701</v>
      </c>
      <c r="E2151" s="1">
        <v>11009886</v>
      </c>
      <c r="F2151" s="1">
        <v>34120425</v>
      </c>
      <c r="G2151" s="16">
        <v>25405.998811052028</v>
      </c>
      <c r="H2151">
        <v>164.06</v>
      </c>
      <c r="I2151" s="1">
        <v>428.58</v>
      </c>
      <c r="J2151" s="16">
        <v>281118.43234211905</v>
      </c>
      <c r="K2151" s="5">
        <v>0.1866408914078988</v>
      </c>
      <c r="L2151" s="10">
        <v>2156372.6349999998</v>
      </c>
    </row>
    <row r="2152" spans="1:12" x14ac:dyDescent="0.25">
      <c r="A2152">
        <v>2151</v>
      </c>
      <c r="B2152" s="3">
        <v>0.24538385492643153</v>
      </c>
      <c r="C2152" s="3">
        <v>7.3728976861351228E-2</v>
      </c>
      <c r="D2152" s="1">
        <v>63443.747417208855</v>
      </c>
      <c r="E2152" s="1">
        <v>2763207</v>
      </c>
      <c r="F2152" s="1">
        <v>17722168</v>
      </c>
      <c r="G2152" s="16">
        <v>12702.279740364564</v>
      </c>
      <c r="H2152">
        <v>103.35</v>
      </c>
      <c r="I2152" s="1">
        <v>369.75</v>
      </c>
      <c r="J2152" s="16">
        <v>76146.027157573422</v>
      </c>
      <c r="K2152" s="5">
        <v>0.12075689368737259</v>
      </c>
      <c r="L2152" s="10">
        <v>93631.131399999998</v>
      </c>
    </row>
    <row r="2153" spans="1:12" x14ac:dyDescent="0.25">
      <c r="A2153">
        <v>2152</v>
      </c>
      <c r="B2153" s="3">
        <v>0.20012538467808211</v>
      </c>
      <c r="C2153" s="3">
        <v>3.3359739204815247E-2</v>
      </c>
      <c r="D2153" s="1">
        <v>115212.90939855405</v>
      </c>
      <c r="E2153" s="1">
        <v>4213461</v>
      </c>
      <c r="F2153" s="1">
        <v>17744479</v>
      </c>
      <c r="G2153" s="16">
        <v>34074.745425198809</v>
      </c>
      <c r="H2153">
        <v>244.73</v>
      </c>
      <c r="I2153" s="1">
        <v>612.97</v>
      </c>
      <c r="J2153" s="16">
        <v>149287.65482375288</v>
      </c>
      <c r="K2153" s="5">
        <v>9.2566091081685842E-2</v>
      </c>
      <c r="L2153" s="10">
        <v>347952.46659999999</v>
      </c>
    </row>
    <row r="2154" spans="1:12" x14ac:dyDescent="0.25">
      <c r="A2154">
        <v>2153</v>
      </c>
      <c r="B2154" s="3">
        <v>0.12998937069378194</v>
      </c>
      <c r="C2154" s="3">
        <v>4.7301623325734343E-2</v>
      </c>
      <c r="D2154" s="1">
        <v>161451.94487262805</v>
      </c>
      <c r="E2154" s="1">
        <v>5274094</v>
      </c>
      <c r="F2154" s="1">
        <v>23740894</v>
      </c>
      <c r="G2154" s="16">
        <v>48891.220283783943</v>
      </c>
      <c r="H2154">
        <v>195.12</v>
      </c>
      <c r="I2154" s="1">
        <v>489.95</v>
      </c>
      <c r="J2154" s="16">
        <v>210343.165156412</v>
      </c>
      <c r="K2154" s="5">
        <v>5.8636086298129553E-2</v>
      </c>
      <c r="L2154" s="10">
        <v>226736.68830000001</v>
      </c>
    </row>
    <row r="2155" spans="1:12" x14ac:dyDescent="0.25">
      <c r="A2155">
        <v>2154</v>
      </c>
      <c r="B2155" s="3">
        <v>0.22138820185324076</v>
      </c>
      <c r="C2155" s="3">
        <v>4.4556802303919819E-2</v>
      </c>
      <c r="D2155" s="1">
        <v>61362.633488406478</v>
      </c>
      <c r="E2155" s="1">
        <v>1894368</v>
      </c>
      <c r="F2155" s="1">
        <v>10429887</v>
      </c>
      <c r="G2155" s="16">
        <v>23183.471779857729</v>
      </c>
      <c r="H2155">
        <v>258.14999999999998</v>
      </c>
      <c r="I2155" s="1">
        <v>837.28000000000009</v>
      </c>
      <c r="J2155" s="16">
        <v>84546.105268264204</v>
      </c>
      <c r="K2155" s="5">
        <v>5.904833923796269E-2</v>
      </c>
      <c r="L2155" s="10">
        <v>99637.408899999995</v>
      </c>
    </row>
    <row r="2156" spans="1:12" x14ac:dyDescent="0.25">
      <c r="A2156">
        <v>2155</v>
      </c>
      <c r="B2156" s="3">
        <v>0.15665458629548745</v>
      </c>
      <c r="C2156" s="3">
        <v>7.728573624729082E-2</v>
      </c>
      <c r="D2156" s="1">
        <v>86108.37226174165</v>
      </c>
      <c r="E2156" s="1">
        <v>2686774</v>
      </c>
      <c r="F2156" s="1">
        <v>14940916</v>
      </c>
      <c r="G2156" s="16">
        <v>68633.870891897386</v>
      </c>
      <c r="H2156">
        <v>403.23</v>
      </c>
      <c r="I2156" s="1">
        <v>969.88</v>
      </c>
      <c r="J2156" s="16">
        <v>154742.24315363902</v>
      </c>
      <c r="K2156" s="5">
        <v>0.30660281756522434</v>
      </c>
      <c r="L2156" s="10">
        <v>400474.28129999997</v>
      </c>
    </row>
    <row r="2157" spans="1:12" x14ac:dyDescent="0.25">
      <c r="A2157">
        <v>2156</v>
      </c>
      <c r="B2157" s="3">
        <v>0.24377116233764159</v>
      </c>
      <c r="C2157" s="3">
        <v>7.7256417000215349E-2</v>
      </c>
      <c r="D2157" s="1">
        <v>90278.338713956589</v>
      </c>
      <c r="E2157" s="1">
        <v>5166226</v>
      </c>
      <c r="F2157" s="1">
        <v>28579199</v>
      </c>
      <c r="G2157" s="16">
        <v>10715.499062769492</v>
      </c>
      <c r="H2157">
        <v>86.19</v>
      </c>
      <c r="I2157" s="1">
        <v>380.63</v>
      </c>
      <c r="J2157" s="16">
        <v>100993.83777672608</v>
      </c>
      <c r="K2157" s="5">
        <v>0.16754383960365871</v>
      </c>
      <c r="L2157" s="10">
        <v>164135.4999</v>
      </c>
    </row>
    <row r="2158" spans="1:12" x14ac:dyDescent="0.25">
      <c r="A2158">
        <v>2157</v>
      </c>
      <c r="B2158" s="3">
        <v>0.2135778267874337</v>
      </c>
      <c r="C2158" s="3">
        <v>2.2802423455804705E-2</v>
      </c>
      <c r="D2158" s="1">
        <v>86508.957355837396</v>
      </c>
      <c r="E2158" s="1">
        <v>4232923</v>
      </c>
      <c r="F2158" s="1">
        <v>23075299</v>
      </c>
      <c r="G2158" s="16">
        <v>16967.259729559661</v>
      </c>
      <c r="H2158">
        <v>137.12</v>
      </c>
      <c r="I2158" s="1">
        <v>614.95000000000005</v>
      </c>
      <c r="J2158" s="16">
        <v>103476.21708539706</v>
      </c>
      <c r="K2158" s="5">
        <v>0.17988049832108749</v>
      </c>
      <c r="L2158" s="10">
        <v>782262.49970000004</v>
      </c>
    </row>
    <row r="2159" spans="1:12" x14ac:dyDescent="0.25">
      <c r="A2159">
        <v>2158</v>
      </c>
      <c r="B2159" s="3">
        <v>0.10660394251492873</v>
      </c>
      <c r="C2159" s="3">
        <v>7.5062507182581437E-2</v>
      </c>
      <c r="D2159" s="1">
        <v>272532.19947236433</v>
      </c>
      <c r="E2159" s="1">
        <v>8006535</v>
      </c>
      <c r="F2159" s="1">
        <v>28904379</v>
      </c>
      <c r="G2159" s="16">
        <v>70088.826350068834</v>
      </c>
      <c r="H2159">
        <v>231.96</v>
      </c>
      <c r="I2159" s="1">
        <v>742.79000000000008</v>
      </c>
      <c r="J2159" s="16">
        <v>342621.02582243318</v>
      </c>
      <c r="K2159" s="5">
        <v>7.96923636656756E-2</v>
      </c>
      <c r="L2159" s="10">
        <v>262378.36139999999</v>
      </c>
    </row>
    <row r="2160" spans="1:12" x14ac:dyDescent="0.25">
      <c r="A2160">
        <v>2159</v>
      </c>
      <c r="B2160" s="3">
        <v>0.20944037874977395</v>
      </c>
      <c r="C2160" s="3">
        <v>3.2412651049347208E-2</v>
      </c>
      <c r="D2160" s="1">
        <v>42464.886888524219</v>
      </c>
      <c r="E2160" s="1">
        <v>1608527</v>
      </c>
      <c r="F2160" s="1">
        <v>13364055</v>
      </c>
      <c r="G2160" s="16">
        <v>19653.852322607818</v>
      </c>
      <c r="H2160">
        <v>121.02</v>
      </c>
      <c r="I2160" s="1">
        <v>328.15999999999997</v>
      </c>
      <c r="J2160" s="16">
        <v>62118.739211132037</v>
      </c>
      <c r="K2160" s="5">
        <v>0.19612029488219557</v>
      </c>
      <c r="L2160" s="10">
        <v>316250.886</v>
      </c>
    </row>
    <row r="2161" spans="1:12" x14ac:dyDescent="0.25">
      <c r="A2161">
        <v>2160</v>
      </c>
      <c r="B2161" s="3">
        <v>0.24952955135962837</v>
      </c>
      <c r="C2161" s="3">
        <v>5.7522346628350512E-2</v>
      </c>
      <c r="D2161" s="1">
        <v>66093.764182060273</v>
      </c>
      <c r="E2161" s="1">
        <v>2926593</v>
      </c>
      <c r="F2161" s="1">
        <v>18030956</v>
      </c>
      <c r="G2161" s="16">
        <v>18213.05070343626</v>
      </c>
      <c r="H2161">
        <v>204.5</v>
      </c>
      <c r="I2161" s="1">
        <v>503.05</v>
      </c>
      <c r="J2161" s="16">
        <v>84306.81488549654</v>
      </c>
      <c r="K2161" s="5">
        <v>4.5785258895129563E-3</v>
      </c>
      <c r="L2161" s="10">
        <v>7318.8842999999997</v>
      </c>
    </row>
    <row r="2162" spans="1:12" x14ac:dyDescent="0.25">
      <c r="A2162">
        <v>2161</v>
      </c>
      <c r="B2162" s="3">
        <v>0.1350793970108714</v>
      </c>
      <c r="C2162" s="3">
        <v>5.9492399748847943E-2</v>
      </c>
      <c r="D2162" s="1">
        <v>326042.11941581336</v>
      </c>
      <c r="E2162" s="1">
        <v>12606523</v>
      </c>
      <c r="F2162" s="1">
        <v>50808291</v>
      </c>
      <c r="G2162" s="16">
        <v>26886.047207586558</v>
      </c>
      <c r="H2162">
        <v>96.61</v>
      </c>
      <c r="I2162" s="1">
        <v>281.08</v>
      </c>
      <c r="J2162" s="16">
        <v>352928.16662339994</v>
      </c>
      <c r="K2162" s="5">
        <v>6.6522410609771015E-3</v>
      </c>
      <c r="L2162" s="10">
        <v>46127.972000000002</v>
      </c>
    </row>
    <row r="2163" spans="1:12" x14ac:dyDescent="0.25">
      <c r="A2163">
        <v>2162</v>
      </c>
      <c r="B2163" s="3">
        <v>0.19933151603827254</v>
      </c>
      <c r="C2163" s="3">
        <v>4.8891306998769438E-2</v>
      </c>
      <c r="D2163" s="1">
        <v>89692.668045189625</v>
      </c>
      <c r="E2163" s="1">
        <v>3270405</v>
      </c>
      <c r="F2163" s="1">
        <v>15063418</v>
      </c>
      <c r="G2163" s="16">
        <v>44154.200730616518</v>
      </c>
      <c r="H2163">
        <v>315.2</v>
      </c>
      <c r="I2163" s="1">
        <v>693.65</v>
      </c>
      <c r="J2163" s="16">
        <v>133846.86877580616</v>
      </c>
      <c r="K2163" s="5">
        <v>0.14575279717782538</v>
      </c>
      <c r="L2163" s="10">
        <v>312074.2009</v>
      </c>
    </row>
    <row r="2164" spans="1:12" x14ac:dyDescent="0.25">
      <c r="A2164">
        <v>2163</v>
      </c>
      <c r="B2164" s="3">
        <v>0.19537082110835091</v>
      </c>
      <c r="C2164" s="3">
        <v>6.9621857257702896E-2</v>
      </c>
      <c r="D2164" s="1">
        <v>79267.945002491411</v>
      </c>
      <c r="E2164" s="1">
        <v>2847822</v>
      </c>
      <c r="F2164" s="1">
        <v>16347184</v>
      </c>
      <c r="G2164" s="16">
        <v>21229.239079416337</v>
      </c>
      <c r="H2164">
        <v>146.31</v>
      </c>
      <c r="I2164" s="1">
        <v>386.41999999999996</v>
      </c>
      <c r="J2164" s="16">
        <v>100497.18408190775</v>
      </c>
      <c r="K2164" s="5">
        <v>0.24673052659349112</v>
      </c>
      <c r="L2164" s="10">
        <v>236711.5901</v>
      </c>
    </row>
    <row r="2165" spans="1:12" x14ac:dyDescent="0.25">
      <c r="A2165">
        <v>2164</v>
      </c>
      <c r="B2165" s="3">
        <v>0.13872837688128464</v>
      </c>
      <c r="C2165" s="3">
        <v>3.1664175604731691E-2</v>
      </c>
      <c r="D2165" s="1">
        <v>285656.1981716305</v>
      </c>
      <c r="E2165" s="1">
        <v>9715966</v>
      </c>
      <c r="F2165" s="1">
        <v>37366038</v>
      </c>
      <c r="G2165" s="16">
        <v>37196.397887460385</v>
      </c>
      <c r="H2165">
        <v>159.16999999999999</v>
      </c>
      <c r="I2165" s="1">
        <v>548.08999999999992</v>
      </c>
      <c r="J2165" s="16">
        <v>322852.59605909087</v>
      </c>
      <c r="K2165" s="5">
        <v>0.12430608495848813</v>
      </c>
      <c r="L2165" s="10">
        <v>1091262.5497999999</v>
      </c>
    </row>
    <row r="2166" spans="1:12" x14ac:dyDescent="0.25">
      <c r="A2166">
        <v>2165</v>
      </c>
      <c r="B2166" s="3">
        <v>0.18319724397688569</v>
      </c>
      <c r="C2166" s="3">
        <v>4.5023027763059248E-2</v>
      </c>
      <c r="D2166" s="1">
        <v>429359.41335289291</v>
      </c>
      <c r="E2166" s="1">
        <v>22102317</v>
      </c>
      <c r="F2166" s="1">
        <v>63267219</v>
      </c>
      <c r="G2166" s="16">
        <v>49422.222772932953</v>
      </c>
      <c r="H2166">
        <v>375.78</v>
      </c>
      <c r="I2166" s="1">
        <v>950.49</v>
      </c>
      <c r="J2166" s="16">
        <v>478781.63612582587</v>
      </c>
      <c r="K2166" s="5">
        <v>4.4722637880052152E-2</v>
      </c>
      <c r="L2166" s="10">
        <v>406185.49080000003</v>
      </c>
    </row>
    <row r="2167" spans="1:12" x14ac:dyDescent="0.25">
      <c r="A2167">
        <v>2166</v>
      </c>
      <c r="B2167" s="3">
        <v>0.1651839520471311</v>
      </c>
      <c r="C2167" s="3">
        <v>4.5987824939497074E-2</v>
      </c>
      <c r="D2167" s="1">
        <v>89011.464576969316</v>
      </c>
      <c r="E2167" s="1">
        <v>2863362</v>
      </c>
      <c r="F2167" s="1">
        <v>15276698</v>
      </c>
      <c r="G2167" s="16">
        <v>15036.536946977427</v>
      </c>
      <c r="H2167">
        <v>55.72</v>
      </c>
      <c r="I2167" s="1">
        <v>182.45</v>
      </c>
      <c r="J2167" s="16">
        <v>104048.00152394675</v>
      </c>
      <c r="K2167" s="5">
        <v>0.13495844315244504</v>
      </c>
      <c r="L2167" s="10">
        <v>255392.6263</v>
      </c>
    </row>
    <row r="2168" spans="1:12" x14ac:dyDescent="0.25">
      <c r="A2168">
        <v>2167</v>
      </c>
      <c r="B2168" s="3">
        <v>0.18199417178041383</v>
      </c>
      <c r="C2168" s="3">
        <v>5.2599235039333433E-2</v>
      </c>
      <c r="D2168" s="1">
        <v>94074.62908388098</v>
      </c>
      <c r="E2168" s="1">
        <v>3932327</v>
      </c>
      <c r="F2168" s="1">
        <v>39940029</v>
      </c>
      <c r="G2168" s="16">
        <v>34248.507979293827</v>
      </c>
      <c r="H2168">
        <v>210.37</v>
      </c>
      <c r="I2168" s="1">
        <v>522.44000000000005</v>
      </c>
      <c r="J2168" s="16">
        <v>128323.1370631748</v>
      </c>
      <c r="K2168" s="5">
        <v>1.3064041027750321E-2</v>
      </c>
      <c r="L2168" s="10">
        <v>105108.2687</v>
      </c>
    </row>
    <row r="2169" spans="1:12" x14ac:dyDescent="0.25">
      <c r="A2169">
        <v>2168</v>
      </c>
      <c r="B2169" s="3">
        <v>0.21737096176928494</v>
      </c>
      <c r="C2169" s="3">
        <v>7.865926733738092E-2</v>
      </c>
      <c r="D2169" s="1">
        <v>175046.19750897484</v>
      </c>
      <c r="E2169" s="1">
        <v>8732378</v>
      </c>
      <c r="F2169" s="1">
        <v>28827086</v>
      </c>
      <c r="G2169" s="16">
        <v>12571.338998200032</v>
      </c>
      <c r="H2169">
        <v>82.14</v>
      </c>
      <c r="I2169" s="1">
        <v>253.68</v>
      </c>
      <c r="J2169" s="16">
        <v>187617.53650717487</v>
      </c>
      <c r="K2169" s="5">
        <v>-6.1308762611943929E-2</v>
      </c>
      <c r="L2169" s="10">
        <v>-62561.152300000002</v>
      </c>
    </row>
    <row r="2170" spans="1:12" x14ac:dyDescent="0.25">
      <c r="A2170">
        <v>2169</v>
      </c>
      <c r="B2170" s="3">
        <v>0.21683635536430787</v>
      </c>
      <c r="C2170" s="3">
        <v>6.6883308669792654E-2</v>
      </c>
      <c r="D2170" s="1">
        <v>81393.125064823806</v>
      </c>
      <c r="E2170" s="1">
        <v>4049307</v>
      </c>
      <c r="F2170" s="1">
        <v>26752204</v>
      </c>
      <c r="G2170" s="16">
        <v>12258.65012416327</v>
      </c>
      <c r="H2170">
        <v>102.04</v>
      </c>
      <c r="I2170" s="1">
        <v>384.45</v>
      </c>
      <c r="J2170" s="16">
        <v>93651.775188987071</v>
      </c>
      <c r="K2170" s="5">
        <v>9.8563137925125041E-2</v>
      </c>
      <c r="L2170" s="10">
        <v>121362.868</v>
      </c>
    </row>
    <row r="2171" spans="1:12" x14ac:dyDescent="0.25">
      <c r="A2171">
        <v>2170</v>
      </c>
      <c r="B2171" s="3">
        <v>0.15505355545853355</v>
      </c>
      <c r="C2171" s="3">
        <v>6.0335225295546455E-2</v>
      </c>
      <c r="D2171" s="1">
        <v>42845.301909727525</v>
      </c>
      <c r="E2171" s="1">
        <v>1123175</v>
      </c>
      <c r="F2171" s="1">
        <v>10481596</v>
      </c>
      <c r="G2171" s="16">
        <v>52510.03885154696</v>
      </c>
      <c r="H2171">
        <v>304.01</v>
      </c>
      <c r="I2171" s="1">
        <v>808.22</v>
      </c>
      <c r="J2171" s="16">
        <v>95355.340761274478</v>
      </c>
      <c r="K2171" s="5">
        <v>7.5051244557711921E-2</v>
      </c>
      <c r="L2171" s="10">
        <v>101173.3688</v>
      </c>
    </row>
    <row r="2172" spans="1:12" x14ac:dyDescent="0.25">
      <c r="A2172">
        <v>2171</v>
      </c>
      <c r="B2172" s="3">
        <v>0.18696688467667621</v>
      </c>
      <c r="C2172" s="3">
        <v>2.025177355951694E-2</v>
      </c>
      <c r="D2172" s="1">
        <v>77972.915330965989</v>
      </c>
      <c r="E2172" s="1">
        <v>2715326</v>
      </c>
      <c r="F2172" s="1">
        <v>17730908</v>
      </c>
      <c r="G2172" s="16">
        <v>22755.136360449484</v>
      </c>
      <c r="H2172">
        <v>179.08</v>
      </c>
      <c r="I2172" s="1">
        <v>800.64</v>
      </c>
      <c r="J2172" s="16">
        <v>100728.05169141547</v>
      </c>
      <c r="K2172" s="5">
        <v>-3.7806243736449904E-2</v>
      </c>
      <c r="L2172" s="10">
        <v>-128371.35159999999</v>
      </c>
    </row>
    <row r="2173" spans="1:12" x14ac:dyDescent="0.25">
      <c r="A2173">
        <v>2172</v>
      </c>
      <c r="B2173" s="3">
        <v>0.11743158815081778</v>
      </c>
      <c r="C2173" s="3">
        <v>7.9574416209648474E-2</v>
      </c>
      <c r="D2173" s="1">
        <v>421666.71206975309</v>
      </c>
      <c r="E2173" s="1">
        <v>14737716</v>
      </c>
      <c r="F2173" s="1">
        <v>50571108</v>
      </c>
      <c r="G2173" s="16">
        <v>50874.178482705138</v>
      </c>
      <c r="H2173">
        <v>183.73</v>
      </c>
      <c r="I2173" s="1">
        <v>620.23</v>
      </c>
      <c r="J2173" s="16">
        <v>472540.89055245824</v>
      </c>
      <c r="K2173" s="5">
        <v>0.17104714452307729</v>
      </c>
      <c r="L2173" s="10">
        <v>677172.75859999994</v>
      </c>
    </row>
    <row r="2174" spans="1:12" x14ac:dyDescent="0.25">
      <c r="A2174">
        <v>2173</v>
      </c>
      <c r="B2174" s="3">
        <v>0.10409799710922882</v>
      </c>
      <c r="C2174" s="3">
        <v>2.242004096559333E-2</v>
      </c>
      <c r="D2174" s="1">
        <v>194142.9722485852</v>
      </c>
      <c r="E2174" s="1">
        <v>5640048</v>
      </c>
      <c r="F2174" s="1">
        <v>29530574</v>
      </c>
      <c r="G2174" s="16">
        <v>52697.8526888204</v>
      </c>
      <c r="H2174">
        <v>170.88</v>
      </c>
      <c r="I2174" s="1">
        <v>622.20000000000005</v>
      </c>
      <c r="J2174" s="16">
        <v>246840.82493740559</v>
      </c>
      <c r="K2174" s="5">
        <v>1.1604462979416776E-2</v>
      </c>
      <c r="L2174" s="10">
        <v>160040.72440000001</v>
      </c>
    </row>
    <row r="2175" spans="1:12" x14ac:dyDescent="0.25">
      <c r="A2175">
        <v>2174</v>
      </c>
      <c r="B2175" s="3">
        <v>0.16942675096050602</v>
      </c>
      <c r="C2175" s="3">
        <v>4.251996625095493E-2</v>
      </c>
      <c r="D2175" s="1">
        <v>191335.87680845434</v>
      </c>
      <c r="E2175" s="1">
        <v>9059613</v>
      </c>
      <c r="F2175" s="1">
        <v>45277911</v>
      </c>
      <c r="G2175" s="16">
        <v>13868.394600530584</v>
      </c>
      <c r="H2175">
        <v>63.42</v>
      </c>
      <c r="I2175" s="1">
        <v>222.87</v>
      </c>
      <c r="J2175" s="16">
        <v>205204.27140898493</v>
      </c>
      <c r="K2175" s="5">
        <v>0.32226372517040869</v>
      </c>
      <c r="L2175" s="10">
        <v>1234527.5907999999</v>
      </c>
    </row>
    <row r="2176" spans="1:12" x14ac:dyDescent="0.25">
      <c r="A2176">
        <v>2175</v>
      </c>
      <c r="B2176" s="3">
        <v>0.11338099884233835</v>
      </c>
      <c r="C2176" s="3">
        <v>6.8356337092953828E-2</v>
      </c>
      <c r="D2176" s="1">
        <v>264311.21656811761</v>
      </c>
      <c r="E2176" s="1">
        <v>8005160</v>
      </c>
      <c r="F2176" s="1">
        <v>42144639</v>
      </c>
      <c r="G2176" s="16">
        <v>33881.584378454216</v>
      </c>
      <c r="H2176">
        <v>104.94</v>
      </c>
      <c r="I2176" s="1">
        <v>290.66000000000003</v>
      </c>
      <c r="J2176" s="16">
        <v>298192.80094657181</v>
      </c>
      <c r="K2176" s="5">
        <v>2.152015214734047E-2</v>
      </c>
      <c r="L2176" s="10">
        <v>75944.564599999998</v>
      </c>
    </row>
    <row r="2177" spans="1:12" x14ac:dyDescent="0.25">
      <c r="A2177">
        <v>2176</v>
      </c>
      <c r="B2177" s="3">
        <v>0.18654888048587517</v>
      </c>
      <c r="C2177" s="3">
        <v>3.8802680621562766E-2</v>
      </c>
      <c r="D2177" s="1">
        <v>161266.86803475177</v>
      </c>
      <c r="E2177" s="1">
        <v>6893228</v>
      </c>
      <c r="F2177" s="1">
        <v>25092676</v>
      </c>
      <c r="G2177" s="16">
        <v>28209.910244995925</v>
      </c>
      <c r="H2177">
        <v>179.96</v>
      </c>
      <c r="I2177" s="1">
        <v>605.73</v>
      </c>
      <c r="J2177" s="16">
        <v>189476.7782797477</v>
      </c>
      <c r="K2177" s="5">
        <v>6.540980165407502E-4</v>
      </c>
      <c r="L2177" s="10">
        <v>36805.315799999997</v>
      </c>
    </row>
    <row r="2178" spans="1:12" x14ac:dyDescent="0.25">
      <c r="A2178">
        <v>2177</v>
      </c>
      <c r="B2178" s="3">
        <v>0.12766001422001966</v>
      </c>
      <c r="C2178" s="3">
        <v>6.6833936737179453E-2</v>
      </c>
      <c r="D2178" s="1">
        <v>52268.602956631374</v>
      </c>
      <c r="E2178" s="1">
        <v>1285499</v>
      </c>
      <c r="F2178" s="1">
        <v>9601120</v>
      </c>
      <c r="G2178" s="16">
        <v>64787.011842660504</v>
      </c>
      <c r="H2178">
        <v>253.24</v>
      </c>
      <c r="I2178" s="1">
        <v>693.81</v>
      </c>
      <c r="J2178" s="16">
        <v>117055.61479929188</v>
      </c>
      <c r="K2178" s="5">
        <v>0.1602849258705013</v>
      </c>
      <c r="L2178" s="10">
        <v>196018.13459999999</v>
      </c>
    </row>
    <row r="2179" spans="1:12" x14ac:dyDescent="0.25">
      <c r="A2179">
        <v>2178</v>
      </c>
      <c r="B2179" s="3">
        <v>0.21896093809211509</v>
      </c>
      <c r="C2179" s="3">
        <v>5.1713615115647468E-2</v>
      </c>
      <c r="D2179" s="1">
        <v>141639.742390286</v>
      </c>
      <c r="E2179" s="1">
        <v>7123560</v>
      </c>
      <c r="F2179" s="1">
        <v>33076754</v>
      </c>
      <c r="G2179" s="16">
        <v>15406.369821358694</v>
      </c>
      <c r="H2179">
        <v>130.88999999999999</v>
      </c>
      <c r="I2179" s="1">
        <v>398.44</v>
      </c>
      <c r="J2179" s="16">
        <v>157046.11221164471</v>
      </c>
      <c r="K2179" s="5">
        <v>0.26036319334759478</v>
      </c>
      <c r="L2179" s="10">
        <v>589255.68420000002</v>
      </c>
    </row>
    <row r="2180" spans="1:12" x14ac:dyDescent="0.25">
      <c r="A2180">
        <v>2179</v>
      </c>
      <c r="B2180" s="3">
        <v>0.13411066568236721</v>
      </c>
      <c r="C2180" s="3">
        <v>5.2345044425380918E-2</v>
      </c>
      <c r="D2180" s="1">
        <v>44744.649061139411</v>
      </c>
      <c r="E2180" s="1">
        <v>1116915</v>
      </c>
      <c r="F2180" s="1">
        <v>10257536</v>
      </c>
      <c r="G2180" s="16">
        <v>65991.444792042705</v>
      </c>
      <c r="H2180">
        <v>272.18</v>
      </c>
      <c r="I2180" s="1">
        <v>661.41000000000008</v>
      </c>
      <c r="J2180" s="16">
        <v>110736.09385318212</v>
      </c>
      <c r="K2180" s="5">
        <v>-2.4476434510841055E-2</v>
      </c>
      <c r="L2180" s="10">
        <v>-15050.849200000001</v>
      </c>
    </row>
    <row r="2181" spans="1:12" x14ac:dyDescent="0.25">
      <c r="A2181">
        <v>2180</v>
      </c>
      <c r="B2181" s="3">
        <v>0.22685606654976614</v>
      </c>
      <c r="C2181" s="3">
        <v>2.4218230803756308E-2</v>
      </c>
      <c r="D2181" s="1">
        <v>86093.600573807154</v>
      </c>
      <c r="E2181" s="1">
        <v>4509538</v>
      </c>
      <c r="F2181" s="1">
        <v>24272479</v>
      </c>
      <c r="G2181" s="16">
        <v>10997.377925869412</v>
      </c>
      <c r="H2181">
        <v>77.41</v>
      </c>
      <c r="I2181" s="1">
        <v>222.62</v>
      </c>
      <c r="J2181" s="16">
        <v>97090.978499676567</v>
      </c>
      <c r="K2181" s="5">
        <v>8.7300804704065427E-2</v>
      </c>
      <c r="L2181" s="10">
        <v>354993.7499</v>
      </c>
    </row>
    <row r="2182" spans="1:12" x14ac:dyDescent="0.25">
      <c r="A2182">
        <v>2181</v>
      </c>
      <c r="B2182" s="3">
        <v>0.14746813061159797</v>
      </c>
      <c r="C2182" s="3">
        <v>5.9287238995286623E-2</v>
      </c>
      <c r="D2182" s="1">
        <v>88009.323439822794</v>
      </c>
      <c r="E2182" s="1">
        <v>2658274</v>
      </c>
      <c r="F2182" s="1">
        <v>17259202</v>
      </c>
      <c r="G2182" s="16">
        <v>58625.170727740231</v>
      </c>
      <c r="H2182">
        <v>316.31</v>
      </c>
      <c r="I2182" s="1">
        <v>1008</v>
      </c>
      <c r="J2182" s="16">
        <v>146634.49416756304</v>
      </c>
      <c r="K2182" s="5">
        <v>0.22187612338828075</v>
      </c>
      <c r="L2182" s="10">
        <v>413649.54139999999</v>
      </c>
    </row>
    <row r="2183" spans="1:12" x14ac:dyDescent="0.25">
      <c r="A2183">
        <v>2182</v>
      </c>
      <c r="B2183" s="3">
        <v>0.22419490267124936</v>
      </c>
      <c r="C2183" s="3">
        <v>7.4275257739112949E-2</v>
      </c>
      <c r="D2183" s="1">
        <v>67823.979321539955</v>
      </c>
      <c r="E2183" s="1">
        <v>2718494</v>
      </c>
      <c r="F2183" s="1">
        <v>12854055</v>
      </c>
      <c r="G2183" s="16">
        <v>27407.69553162294</v>
      </c>
      <c r="H2183">
        <v>243.97</v>
      </c>
      <c r="I2183" s="1">
        <v>610.48</v>
      </c>
      <c r="J2183" s="16">
        <v>95231.674853162898</v>
      </c>
      <c r="K2183" s="5">
        <v>0.1428185109681287</v>
      </c>
      <c r="L2183" s="10">
        <v>140991.5797</v>
      </c>
    </row>
    <row r="2184" spans="1:12" x14ac:dyDescent="0.25">
      <c r="A2184">
        <v>2183</v>
      </c>
      <c r="B2184" s="3">
        <v>0.24639148164623198</v>
      </c>
      <c r="C2184" s="3">
        <v>5.1569135545996861E-2</v>
      </c>
      <c r="D2184" s="1">
        <v>141233.12209765468</v>
      </c>
      <c r="E2184" s="1">
        <v>6175935</v>
      </c>
      <c r="F2184" s="1">
        <v>21144569</v>
      </c>
      <c r="G2184" s="16">
        <v>6380.5334653447562</v>
      </c>
      <c r="H2184">
        <v>52.36</v>
      </c>
      <c r="I2184" s="1">
        <v>210.06</v>
      </c>
      <c r="J2184" s="16">
        <v>147613.65556299943</v>
      </c>
      <c r="K2184" s="5">
        <v>0.1618973329583753</v>
      </c>
      <c r="L2184" s="10">
        <v>326500.72950000002</v>
      </c>
    </row>
    <row r="2185" spans="1:12" x14ac:dyDescent="0.25">
      <c r="A2185">
        <v>2184</v>
      </c>
      <c r="B2185" s="3">
        <v>0.15080447145324211</v>
      </c>
      <c r="C2185" s="3">
        <v>7.0978225783712032E-2</v>
      </c>
      <c r="D2185" s="1">
        <v>195477.78652241759</v>
      </c>
      <c r="E2185" s="1">
        <v>7035085</v>
      </c>
      <c r="F2185" s="1">
        <v>34320496</v>
      </c>
      <c r="G2185" s="16">
        <v>19250.810396573688</v>
      </c>
      <c r="H2185">
        <v>77.22</v>
      </c>
      <c r="I2185" s="1">
        <v>293.48</v>
      </c>
      <c r="J2185" s="16">
        <v>214728.59691899127</v>
      </c>
      <c r="K2185" s="5">
        <v>1.1875042196262613E-2</v>
      </c>
      <c r="L2185" s="10">
        <v>17156.687900000001</v>
      </c>
    </row>
    <row r="2186" spans="1:12" x14ac:dyDescent="0.25">
      <c r="A2186">
        <v>2185</v>
      </c>
      <c r="B2186" s="3">
        <v>0.1129969445846415</v>
      </c>
      <c r="C2186" s="3">
        <v>7.0710374559008665E-2</v>
      </c>
      <c r="D2186" s="1">
        <v>114595.61778405137</v>
      </c>
      <c r="E2186" s="1">
        <v>3073236</v>
      </c>
      <c r="F2186" s="1">
        <v>20946905</v>
      </c>
      <c r="G2186" s="16">
        <v>120039.75976178577</v>
      </c>
      <c r="H2186">
        <v>471.28</v>
      </c>
      <c r="I2186" s="1">
        <v>1292.5900000000001</v>
      </c>
      <c r="J2186" s="16">
        <v>234635.37754583714</v>
      </c>
      <c r="K2186" s="5">
        <v>0.1267042632515552</v>
      </c>
      <c r="L2186" s="10">
        <v>270189.1189</v>
      </c>
    </row>
    <row r="2187" spans="1:12" x14ac:dyDescent="0.25">
      <c r="A2187">
        <v>2186</v>
      </c>
      <c r="B2187" s="3">
        <v>0.11085846717136075</v>
      </c>
      <c r="C2187" s="3">
        <v>3.8078130512944328E-2</v>
      </c>
      <c r="D2187" s="1">
        <v>253763.90973260932</v>
      </c>
      <c r="E2187" s="1">
        <v>7598869</v>
      </c>
      <c r="F2187" s="1">
        <v>32088519</v>
      </c>
      <c r="G2187" s="16">
        <v>56126.170223743953</v>
      </c>
      <c r="H2187">
        <v>191.93</v>
      </c>
      <c r="I2187" s="1">
        <v>536.19000000000005</v>
      </c>
      <c r="J2187" s="16">
        <v>309890.07995635329</v>
      </c>
      <c r="K2187" s="5">
        <v>0.31450379055810695</v>
      </c>
      <c r="L2187" s="10">
        <v>2029243.1703000001</v>
      </c>
    </row>
    <row r="2188" spans="1:12" x14ac:dyDescent="0.25">
      <c r="A2188">
        <v>2187</v>
      </c>
      <c r="B2188" s="3">
        <v>0.21533701632729715</v>
      </c>
      <c r="C2188" s="3">
        <v>7.2083320977329723E-2</v>
      </c>
      <c r="D2188" s="1">
        <v>126560.28017634219</v>
      </c>
      <c r="E2188" s="1">
        <v>6248383</v>
      </c>
      <c r="F2188" s="1">
        <v>24594114</v>
      </c>
      <c r="G2188" s="16">
        <v>19533.463115676448</v>
      </c>
      <c r="H2188">
        <v>160.38</v>
      </c>
      <c r="I2188" s="1">
        <v>445.26</v>
      </c>
      <c r="J2188" s="16">
        <v>146093.74329201863</v>
      </c>
      <c r="K2188" s="5">
        <v>-1.0934677748526446E-2</v>
      </c>
      <c r="L2188" s="10">
        <v>-9199.4266000000007</v>
      </c>
    </row>
    <row r="2189" spans="1:12" x14ac:dyDescent="0.25">
      <c r="A2189">
        <v>2188</v>
      </c>
      <c r="B2189" s="3">
        <v>0.21798918760122288</v>
      </c>
      <c r="C2189" s="3">
        <v>3.5452115961994629E-2</v>
      </c>
      <c r="D2189" s="1">
        <v>84107.090775076475</v>
      </c>
      <c r="E2189" s="1">
        <v>3291518</v>
      </c>
      <c r="F2189" s="1">
        <v>17310410</v>
      </c>
      <c r="G2189" s="16">
        <v>28278.206647644205</v>
      </c>
      <c r="H2189">
        <v>238.09</v>
      </c>
      <c r="I2189" s="1">
        <v>647.66999999999996</v>
      </c>
      <c r="J2189" s="16">
        <v>112385.29742272067</v>
      </c>
      <c r="K2189" s="5">
        <v>0.29205251328346765</v>
      </c>
      <c r="L2189" s="10">
        <v>778958.4547</v>
      </c>
    </row>
    <row r="2190" spans="1:12" x14ac:dyDescent="0.25">
      <c r="A2190">
        <v>2189</v>
      </c>
      <c r="B2190" s="3">
        <v>0.19173671830037087</v>
      </c>
      <c r="C2190" s="3">
        <v>4.7518168018112733E-2</v>
      </c>
      <c r="D2190" s="1">
        <v>112993.97196272133</v>
      </c>
      <c r="E2190" s="1">
        <v>4955033</v>
      </c>
      <c r="F2190" s="1">
        <v>22498400</v>
      </c>
      <c r="G2190" s="16">
        <v>12973.541630196594</v>
      </c>
      <c r="H2190">
        <v>70.010000000000005</v>
      </c>
      <c r="I2190" s="1">
        <v>265.86</v>
      </c>
      <c r="J2190" s="16">
        <v>125967.51359291792</v>
      </c>
      <c r="K2190" s="5">
        <v>0.13048079579509828</v>
      </c>
      <c r="L2190" s="10">
        <v>274086.95919999998</v>
      </c>
    </row>
    <row r="2191" spans="1:12" x14ac:dyDescent="0.25">
      <c r="A2191">
        <v>2190</v>
      </c>
      <c r="B2191" s="3">
        <v>0.16318572849174806</v>
      </c>
      <c r="C2191" s="3">
        <v>4.2476703224609301E-2</v>
      </c>
      <c r="D2191" s="1">
        <v>162876.43389098524</v>
      </c>
      <c r="E2191" s="1">
        <v>6216488</v>
      </c>
      <c r="F2191" s="1">
        <v>28485839</v>
      </c>
      <c r="G2191" s="16">
        <v>34228.75863599695</v>
      </c>
      <c r="H2191">
        <v>179.02</v>
      </c>
      <c r="I2191" s="1">
        <v>423.21000000000004</v>
      </c>
      <c r="J2191" s="16">
        <v>197105.19252698219</v>
      </c>
      <c r="K2191" s="5">
        <v>0.11915893792126819</v>
      </c>
      <c r="L2191" s="10">
        <v>423424.22560000001</v>
      </c>
    </row>
    <row r="2192" spans="1:12" x14ac:dyDescent="0.25">
      <c r="A2192">
        <v>2191</v>
      </c>
      <c r="B2192" s="3">
        <v>0.17867511110539641</v>
      </c>
      <c r="C2192" s="3">
        <v>5.0660891019594513E-2</v>
      </c>
      <c r="D2192" s="1">
        <v>57443.60332222619</v>
      </c>
      <c r="E2192" s="1">
        <v>1940438</v>
      </c>
      <c r="F2192" s="1">
        <v>15360177</v>
      </c>
      <c r="G2192" s="16">
        <v>39548.196997456536</v>
      </c>
      <c r="H2192">
        <v>236.24</v>
      </c>
      <c r="I2192" s="1">
        <v>643.95000000000005</v>
      </c>
      <c r="J2192" s="16">
        <v>96991.800319682719</v>
      </c>
      <c r="K2192" s="5">
        <v>0.23196662495660783</v>
      </c>
      <c r="L2192" s="10">
        <v>342864.80469999998</v>
      </c>
    </row>
    <row r="2193" spans="1:12" x14ac:dyDescent="0.25">
      <c r="A2193">
        <v>2192</v>
      </c>
      <c r="B2193" s="3">
        <v>0.12619713102483185</v>
      </c>
      <c r="C2193" s="3">
        <v>2.8238068447963043E-2</v>
      </c>
      <c r="D2193" s="1">
        <v>433161.07364366186</v>
      </c>
      <c r="E2193" s="1">
        <v>15914212</v>
      </c>
      <c r="F2193" s="1">
        <v>48076732</v>
      </c>
      <c r="G2193" s="16">
        <v>77876.439944873375</v>
      </c>
      <c r="H2193">
        <v>301.63</v>
      </c>
      <c r="I2193" s="1">
        <v>714.31</v>
      </c>
      <c r="J2193" s="16">
        <v>511037.51358853525</v>
      </c>
      <c r="K2193" s="5">
        <v>3.8931158212222594E-3</v>
      </c>
      <c r="L2193" s="10">
        <v>121722.7001</v>
      </c>
    </row>
    <row r="2194" spans="1:12" x14ac:dyDescent="0.25">
      <c r="A2194">
        <v>2193</v>
      </c>
      <c r="B2194" s="3">
        <v>0.16962977938791263</v>
      </c>
      <c r="C2194" s="3">
        <v>7.0593791541705767E-2</v>
      </c>
      <c r="D2194" s="1">
        <v>52418.458307674482</v>
      </c>
      <c r="E2194" s="1">
        <v>1713450</v>
      </c>
      <c r="F2194" s="1">
        <v>11196381</v>
      </c>
      <c r="G2194" s="16">
        <v>13996.93917675147</v>
      </c>
      <c r="H2194">
        <v>64.290000000000006</v>
      </c>
      <c r="I2194" s="1">
        <v>265.83000000000004</v>
      </c>
      <c r="J2194" s="16">
        <v>66415.39748442595</v>
      </c>
      <c r="K2194" s="5">
        <v>2.946969860499957E-2</v>
      </c>
      <c r="L2194" s="10">
        <v>37360.983500000002</v>
      </c>
    </row>
    <row r="2195" spans="1:12" x14ac:dyDescent="0.25">
      <c r="A2195">
        <v>2194</v>
      </c>
      <c r="B2195" s="3">
        <v>0.23217481753133215</v>
      </c>
      <c r="C2195" s="3">
        <v>5.078218823645294E-2</v>
      </c>
      <c r="D2195" s="1">
        <v>65461.818173500142</v>
      </c>
      <c r="E2195" s="1">
        <v>2706474</v>
      </c>
      <c r="F2195" s="1">
        <v>17998642</v>
      </c>
      <c r="G2195" s="16">
        <v>21514.833403036817</v>
      </c>
      <c r="H2195">
        <v>205.74</v>
      </c>
      <c r="I2195" s="1">
        <v>557.77</v>
      </c>
      <c r="J2195" s="16">
        <v>86976.651576536955</v>
      </c>
      <c r="K2195" s="5">
        <v>0.12778801439696225</v>
      </c>
      <c r="L2195" s="10">
        <v>189740.56039999999</v>
      </c>
    </row>
    <row r="2196" spans="1:12" x14ac:dyDescent="0.25">
      <c r="A2196">
        <v>2195</v>
      </c>
      <c r="B2196" s="3">
        <v>0.2164480636536798</v>
      </c>
      <c r="C2196" s="3">
        <v>7.4499237156179551E-2</v>
      </c>
      <c r="D2196" s="1">
        <v>50616.192731402698</v>
      </c>
      <c r="E2196" s="1">
        <v>1969199</v>
      </c>
      <c r="F2196" s="1">
        <v>11876891</v>
      </c>
      <c r="G2196" s="16">
        <v>19772.367160216068</v>
      </c>
      <c r="H2196">
        <v>164.3</v>
      </c>
      <c r="I2196" s="1">
        <v>575.41000000000008</v>
      </c>
      <c r="J2196" s="16">
        <v>70388.559891618759</v>
      </c>
      <c r="K2196" s="5">
        <v>-1.1017588896584642E-2</v>
      </c>
      <c r="L2196" s="10">
        <v>13379.914199999999</v>
      </c>
    </row>
    <row r="2197" spans="1:12" x14ac:dyDescent="0.25">
      <c r="A2197">
        <v>2196</v>
      </c>
      <c r="B2197" s="3">
        <v>0.13174138629099627</v>
      </c>
      <c r="C2197" s="3">
        <v>2.8210374267145684E-2</v>
      </c>
      <c r="D2197" s="1">
        <v>91694.034389038236</v>
      </c>
      <c r="E2197" s="1">
        <v>2621779</v>
      </c>
      <c r="F2197" s="1">
        <v>18142636</v>
      </c>
      <c r="G2197" s="16">
        <v>34457.984293293892</v>
      </c>
      <c r="H2197">
        <v>120.81</v>
      </c>
      <c r="I2197" s="1">
        <v>317.22000000000003</v>
      </c>
      <c r="J2197" s="16">
        <v>126152.01868233213</v>
      </c>
      <c r="K2197" s="5">
        <v>-3.0427854992744752E-3</v>
      </c>
      <c r="L2197" s="10">
        <v>-11422.884599999999</v>
      </c>
    </row>
    <row r="2198" spans="1:12" x14ac:dyDescent="0.25">
      <c r="A2198">
        <v>2197</v>
      </c>
      <c r="B2198" s="3">
        <v>0.19026931676865419</v>
      </c>
      <c r="C2198" s="3">
        <v>4.4823558543156491E-2</v>
      </c>
      <c r="D2198" s="1">
        <v>280211.23860858247</v>
      </c>
      <c r="E2198" s="1">
        <v>15065574</v>
      </c>
      <c r="F2198" s="1">
        <v>50156755</v>
      </c>
      <c r="G2198" s="16">
        <v>20427.21443212749</v>
      </c>
      <c r="H2198">
        <v>134.85</v>
      </c>
      <c r="I2198" s="1">
        <v>496.55000000000007</v>
      </c>
      <c r="J2198" s="16">
        <v>300638.45304070995</v>
      </c>
      <c r="K2198" s="5">
        <v>7.4376243082296595E-2</v>
      </c>
      <c r="L2198" s="10">
        <v>357320.19349999999</v>
      </c>
    </row>
    <row r="2199" spans="1:12" x14ac:dyDescent="0.25">
      <c r="A2199">
        <v>2198</v>
      </c>
      <c r="B2199" s="3">
        <v>0.2388887463429509</v>
      </c>
      <c r="C2199" s="3">
        <v>7.9125392002204253E-2</v>
      </c>
      <c r="D2199" s="1">
        <v>89078.248284853398</v>
      </c>
      <c r="E2199" s="1">
        <v>3781210</v>
      </c>
      <c r="F2199" s="1">
        <v>18711753</v>
      </c>
      <c r="G2199" s="16">
        <v>12451.266611800691</v>
      </c>
      <c r="H2199">
        <v>126.74</v>
      </c>
      <c r="I2199" s="1">
        <v>527.6</v>
      </c>
      <c r="J2199" s="16">
        <v>101529.51489665409</v>
      </c>
      <c r="K2199" s="5">
        <v>0.16352868221550731</v>
      </c>
      <c r="L2199" s="10">
        <v>148525.2304</v>
      </c>
    </row>
    <row r="2200" spans="1:12" x14ac:dyDescent="0.25">
      <c r="A2200">
        <v>2199</v>
      </c>
      <c r="B2200" s="3">
        <v>0.21130229648789967</v>
      </c>
      <c r="C2200" s="3">
        <v>6.6633950398934397E-2</v>
      </c>
      <c r="D2200" s="1">
        <v>93483.004199058138</v>
      </c>
      <c r="E2200" s="1">
        <v>4521617</v>
      </c>
      <c r="F2200" s="1">
        <v>30919232</v>
      </c>
      <c r="G2200" s="16">
        <v>8297.4744567914749</v>
      </c>
      <c r="H2200">
        <v>51.8</v>
      </c>
      <c r="I2200" s="1">
        <v>223.94</v>
      </c>
      <c r="J2200" s="16">
        <v>101780.47865584961</v>
      </c>
      <c r="K2200" s="5">
        <v>-4.8697086381315133E-2</v>
      </c>
      <c r="L2200" s="10">
        <v>-47370.618600000002</v>
      </c>
    </row>
    <row r="2201" spans="1:12" x14ac:dyDescent="0.25">
      <c r="A2201">
        <v>2200</v>
      </c>
      <c r="B2201" s="3">
        <v>0.17612825095897505</v>
      </c>
      <c r="C2201" s="3">
        <v>4.5028643101673857E-2</v>
      </c>
      <c r="D2201" s="1">
        <v>160177.37268787491</v>
      </c>
      <c r="E2201" s="1">
        <v>6506775</v>
      </c>
      <c r="F2201" s="1">
        <v>24226299</v>
      </c>
      <c r="G2201" s="16">
        <v>40414.653855010089</v>
      </c>
      <c r="H2201">
        <v>235.78</v>
      </c>
      <c r="I2201" s="1">
        <v>565.61</v>
      </c>
      <c r="J2201" s="16">
        <v>200592.026542885</v>
      </c>
      <c r="K2201" s="5">
        <v>4.2332989747199776E-2</v>
      </c>
      <c r="L2201" s="10">
        <v>179479.44399999999</v>
      </c>
    </row>
    <row r="2202" spans="1:12" x14ac:dyDescent="0.25">
      <c r="A2202">
        <v>2201</v>
      </c>
      <c r="B2202" s="3">
        <v>0.12665156264101238</v>
      </c>
      <c r="C2202" s="3">
        <v>7.9707459527462637E-2</v>
      </c>
      <c r="D2202" s="1">
        <v>324391.97119162307</v>
      </c>
      <c r="E2202" s="1">
        <v>10435728</v>
      </c>
      <c r="F2202" s="1">
        <v>36836324</v>
      </c>
      <c r="G2202" s="16">
        <v>33771.534588251066</v>
      </c>
      <c r="H2202">
        <v>114.61</v>
      </c>
      <c r="I2202" s="1">
        <v>352.28</v>
      </c>
      <c r="J2202" s="16">
        <v>358163.50577987416</v>
      </c>
      <c r="K2202" s="5">
        <v>0.13187033896602279</v>
      </c>
      <c r="L2202" s="10">
        <v>377520.78600000002</v>
      </c>
    </row>
    <row r="2203" spans="1:12" x14ac:dyDescent="0.25">
      <c r="A2203">
        <v>2202</v>
      </c>
      <c r="B2203" s="3">
        <v>0.1401343895283883</v>
      </c>
      <c r="C2203" s="3">
        <v>4.4260634127016446E-2</v>
      </c>
      <c r="D2203" s="1">
        <v>346460.64284229465</v>
      </c>
      <c r="E2203" s="1">
        <v>11861357</v>
      </c>
      <c r="F2203" s="1">
        <v>39973513</v>
      </c>
      <c r="G2203" s="16">
        <v>61725.043249595794</v>
      </c>
      <c r="H2203">
        <v>267.27999999999997</v>
      </c>
      <c r="I2203" s="1">
        <v>648.20000000000005</v>
      </c>
      <c r="J2203" s="16">
        <v>408185.68609189044</v>
      </c>
      <c r="K2203" s="5">
        <v>0.13968385249050738</v>
      </c>
      <c r="L2203" s="10">
        <v>976034.59909999999</v>
      </c>
    </row>
    <row r="2204" spans="1:12" x14ac:dyDescent="0.25">
      <c r="A2204">
        <v>2203</v>
      </c>
      <c r="B2204" s="3">
        <v>0.12840935979198087</v>
      </c>
      <c r="C2204" s="3">
        <v>5.7716460389770075E-2</v>
      </c>
      <c r="D2204" s="1">
        <v>98534.108307715433</v>
      </c>
      <c r="E2204" s="1">
        <v>2785173</v>
      </c>
      <c r="F2204" s="1">
        <v>20641404</v>
      </c>
      <c r="G2204" s="16">
        <v>11147.547262364174</v>
      </c>
      <c r="H2204">
        <v>33.29</v>
      </c>
      <c r="I2204" s="1">
        <v>176.42</v>
      </c>
      <c r="J2204" s="16">
        <v>109681.6555700796</v>
      </c>
      <c r="K2204" s="5">
        <v>-8.2624024180505684E-3</v>
      </c>
      <c r="L2204" s="10">
        <v>1919.3704</v>
      </c>
    </row>
    <row r="2205" spans="1:12" x14ac:dyDescent="0.25">
      <c r="A2205">
        <v>2204</v>
      </c>
      <c r="B2205" s="3">
        <v>0.23772371216921315</v>
      </c>
      <c r="C2205" s="3">
        <v>5.6017234030080437E-2</v>
      </c>
      <c r="D2205" s="1">
        <v>68717.244565361165</v>
      </c>
      <c r="E2205" s="1">
        <v>2903564</v>
      </c>
      <c r="F2205" s="1">
        <v>15330329</v>
      </c>
      <c r="G2205" s="16">
        <v>9346.7770155951875</v>
      </c>
      <c r="H2205">
        <v>71.790000000000006</v>
      </c>
      <c r="I2205" s="1">
        <v>319.94</v>
      </c>
      <c r="J2205" s="16">
        <v>78064.021580956352</v>
      </c>
      <c r="K2205" s="5">
        <v>2.0860117124631726E-2</v>
      </c>
      <c r="L2205" s="10">
        <v>38019.8024</v>
      </c>
    </row>
    <row r="2206" spans="1:12" x14ac:dyDescent="0.25">
      <c r="A2206">
        <v>2205</v>
      </c>
      <c r="B2206" s="3">
        <v>0.17650076887842284</v>
      </c>
      <c r="C2206" s="3">
        <v>5.2840074118685354E-2</v>
      </c>
      <c r="D2206" s="1">
        <v>165213.54496340032</v>
      </c>
      <c r="E2206" s="1">
        <v>6723503</v>
      </c>
      <c r="F2206" s="1">
        <v>23680878</v>
      </c>
      <c r="G2206" s="16">
        <v>13346.302049196889</v>
      </c>
      <c r="H2206">
        <v>64.33</v>
      </c>
      <c r="I2206" s="1">
        <v>257.27</v>
      </c>
      <c r="J2206" s="16">
        <v>178559.84701259719</v>
      </c>
      <c r="K2206" s="5">
        <v>6.0116651018018857E-2</v>
      </c>
      <c r="L2206" s="10">
        <v>162928.38639999999</v>
      </c>
    </row>
    <row r="2207" spans="1:12" x14ac:dyDescent="0.25">
      <c r="A2207">
        <v>2206</v>
      </c>
      <c r="B2207" s="3">
        <v>0.12953403759816473</v>
      </c>
      <c r="C2207" s="3">
        <v>6.9243971547203673E-2</v>
      </c>
      <c r="D2207" s="1">
        <v>301444.88704011065</v>
      </c>
      <c r="E2207" s="1">
        <v>9826613</v>
      </c>
      <c r="F2207" s="1">
        <v>36432327</v>
      </c>
      <c r="G2207" s="16">
        <v>36360.022973605803</v>
      </c>
      <c r="H2207">
        <v>125.84</v>
      </c>
      <c r="I2207" s="1">
        <v>376.08000000000004</v>
      </c>
      <c r="J2207" s="16">
        <v>337804.91001371644</v>
      </c>
      <c r="K2207" s="5">
        <v>0.30466512222802844</v>
      </c>
      <c r="L2207" s="10">
        <v>941884.8946</v>
      </c>
    </row>
    <row r="2208" spans="1:12" x14ac:dyDescent="0.25">
      <c r="A2208">
        <v>2207</v>
      </c>
      <c r="B2208" s="3">
        <v>0.13423551232999881</v>
      </c>
      <c r="C2208" s="3">
        <v>2.1693839915727042E-2</v>
      </c>
      <c r="D2208" s="1">
        <v>104404.38128666754</v>
      </c>
      <c r="E2208" s="1">
        <v>3011082</v>
      </c>
      <c r="F2208" s="1">
        <v>18043303</v>
      </c>
      <c r="G2208" s="16">
        <v>56861.613026134793</v>
      </c>
      <c r="H2208">
        <v>234.75</v>
      </c>
      <c r="I2208" s="1">
        <v>691.59</v>
      </c>
      <c r="J2208" s="16">
        <v>161265.99431280233</v>
      </c>
      <c r="K2208" s="5">
        <v>0.13863610691886888</v>
      </c>
      <c r="L2208" s="10">
        <v>903241.23910000001</v>
      </c>
    </row>
    <row r="2209" spans="1:12" x14ac:dyDescent="0.25">
      <c r="A2209">
        <v>2208</v>
      </c>
      <c r="B2209" s="3">
        <v>0.12778385063514461</v>
      </c>
      <c r="C2209" s="3">
        <v>7.3586084487484979E-2</v>
      </c>
      <c r="D2209" s="1">
        <v>92433.931285786995</v>
      </c>
      <c r="E2209" s="1">
        <v>2607125</v>
      </c>
      <c r="F2209" s="1">
        <v>11587609</v>
      </c>
      <c r="G2209" s="16">
        <v>21605.73507574667</v>
      </c>
      <c r="H2209">
        <v>73.819999999999993</v>
      </c>
      <c r="I2209" s="1">
        <v>226.33999999999997</v>
      </c>
      <c r="J2209" s="16">
        <v>114039.66636153366</v>
      </c>
      <c r="K2209" s="5">
        <v>0.28354234690471847</v>
      </c>
      <c r="L2209" s="10">
        <v>289899.26289999997</v>
      </c>
    </row>
    <row r="2210" spans="1:12" x14ac:dyDescent="0.25">
      <c r="A2210">
        <v>2209</v>
      </c>
      <c r="B2210" s="3">
        <v>0.17871067599942825</v>
      </c>
      <c r="C2210" s="3">
        <v>5.9480031981279075E-2</v>
      </c>
      <c r="D2210" s="1">
        <v>282637.7571486769</v>
      </c>
      <c r="E2210" s="1">
        <v>11626488</v>
      </c>
      <c r="F2210" s="1">
        <v>30965695</v>
      </c>
      <c r="G2210" s="16">
        <v>22358.649322411417</v>
      </c>
      <c r="H2210">
        <v>109.64</v>
      </c>
      <c r="I2210" s="1">
        <v>324.21999999999997</v>
      </c>
      <c r="J2210" s="16">
        <v>304996.4064710883</v>
      </c>
      <c r="K2210" s="5">
        <v>-0.10252651491934583</v>
      </c>
      <c r="L2210" s="10">
        <v>-323075.86469999998</v>
      </c>
    </row>
    <row r="2211" spans="1:12" x14ac:dyDescent="0.25">
      <c r="A2211">
        <v>2210</v>
      </c>
      <c r="B2211" s="3">
        <v>0.16800674916018718</v>
      </c>
      <c r="C2211" s="3">
        <v>4.4855113146954881E-2</v>
      </c>
      <c r="D2211" s="1">
        <v>52865.162155573547</v>
      </c>
      <c r="E2211" s="1">
        <v>1717960</v>
      </c>
      <c r="F2211" s="1">
        <v>14387854</v>
      </c>
      <c r="G2211" s="16">
        <v>38735.496588863811</v>
      </c>
      <c r="H2211">
        <v>253.93</v>
      </c>
      <c r="I2211" s="1">
        <v>1141.3399999999999</v>
      </c>
      <c r="J2211" s="16">
        <v>91600.658744437358</v>
      </c>
      <c r="K2211" s="5">
        <v>0.17749750553120761</v>
      </c>
      <c r="L2211" s="10">
        <v>321607.6961</v>
      </c>
    </row>
    <row r="2212" spans="1:12" x14ac:dyDescent="0.25">
      <c r="A2212">
        <v>2211</v>
      </c>
      <c r="B2212" s="3">
        <v>0.17435477415059475</v>
      </c>
      <c r="C2212" s="3">
        <v>7.8020952202264113E-2</v>
      </c>
      <c r="D2212" s="1">
        <v>84773.968253567495</v>
      </c>
      <c r="E2212" s="1">
        <v>2818934</v>
      </c>
      <c r="F2212" s="1">
        <v>19432302</v>
      </c>
      <c r="G2212" s="16">
        <v>37344.030207871067</v>
      </c>
      <c r="H2212">
        <v>215.15</v>
      </c>
      <c r="I2212" s="1">
        <v>575.1099999999999</v>
      </c>
      <c r="J2212" s="16">
        <v>122117.99846143856</v>
      </c>
      <c r="K2212" s="5">
        <v>3.8242124232054378E-2</v>
      </c>
      <c r="L2212" s="10">
        <v>35624.667500000003</v>
      </c>
    </row>
    <row r="2213" spans="1:12" x14ac:dyDescent="0.25">
      <c r="A2213">
        <v>2212</v>
      </c>
      <c r="B2213" s="3">
        <v>0.10115177836625155</v>
      </c>
      <c r="C2213" s="3">
        <v>7.6756102398611789E-2</v>
      </c>
      <c r="D2213" s="1">
        <v>95037.851105971422</v>
      </c>
      <c r="E2213" s="1">
        <v>2449286</v>
      </c>
      <c r="F2213" s="1">
        <v>18462395</v>
      </c>
      <c r="G2213" s="16">
        <v>44598.751514917996</v>
      </c>
      <c r="H2213">
        <v>141.68</v>
      </c>
      <c r="I2213" s="1">
        <v>547.93000000000006</v>
      </c>
      <c r="J2213" s="16">
        <v>139636.60262088943</v>
      </c>
      <c r="K2213" s="5">
        <v>4.0957380116886752E-2</v>
      </c>
      <c r="L2213" s="10">
        <v>98988.149099999995</v>
      </c>
    </row>
    <row r="2214" spans="1:12" x14ac:dyDescent="0.25">
      <c r="A2214">
        <v>2213</v>
      </c>
      <c r="B2214" s="3">
        <v>0.15814338514358467</v>
      </c>
      <c r="C2214" s="3">
        <v>2.3674570639233547E-2</v>
      </c>
      <c r="D2214" s="1">
        <v>83458.833928715743</v>
      </c>
      <c r="E2214" s="1">
        <v>2617948</v>
      </c>
      <c r="F2214" s="1">
        <v>15989447</v>
      </c>
      <c r="G2214" s="16">
        <v>55622.969805810826</v>
      </c>
      <c r="H2214">
        <v>331.67</v>
      </c>
      <c r="I2214" s="1">
        <v>853.93000000000006</v>
      </c>
      <c r="J2214" s="16">
        <v>139081.80373452656</v>
      </c>
      <c r="K2214" s="5">
        <v>8.9217641473076786E-2</v>
      </c>
      <c r="L2214" s="10">
        <v>490596.7205</v>
      </c>
    </row>
    <row r="2215" spans="1:12" x14ac:dyDescent="0.25">
      <c r="A2215">
        <v>2214</v>
      </c>
      <c r="B2215" s="3">
        <v>0.12568826244245437</v>
      </c>
      <c r="C2215" s="3">
        <v>2.4184900881987135E-2</v>
      </c>
      <c r="D2215" s="1">
        <v>231542.30227207535</v>
      </c>
      <c r="E2215" s="1">
        <v>7415967</v>
      </c>
      <c r="F2215" s="1">
        <v>28330709</v>
      </c>
      <c r="G2215" s="16">
        <v>40723.078250015817</v>
      </c>
      <c r="H2215">
        <v>157.1</v>
      </c>
      <c r="I2215" s="1">
        <v>497.95000000000005</v>
      </c>
      <c r="J2215" s="16">
        <v>272265.38052209117</v>
      </c>
      <c r="K2215" s="5">
        <v>0.1118193203444757</v>
      </c>
      <c r="L2215" s="10">
        <v>1076998.5932</v>
      </c>
    </row>
    <row r="2216" spans="1:12" x14ac:dyDescent="0.25">
      <c r="A2216">
        <v>2215</v>
      </c>
      <c r="B2216" s="3">
        <v>0.20605585603087101</v>
      </c>
      <c r="C2216" s="3">
        <v>3.4943233154799996E-2</v>
      </c>
      <c r="D2216" s="1">
        <v>235019.66903755825</v>
      </c>
      <c r="E2216" s="1">
        <v>11069995</v>
      </c>
      <c r="F2216" s="1">
        <v>39878556</v>
      </c>
      <c r="G2216" s="16">
        <v>22872.6349780278</v>
      </c>
      <c r="H2216">
        <v>172.99</v>
      </c>
      <c r="I2216" s="1">
        <v>427.86</v>
      </c>
      <c r="J2216" s="16">
        <v>257892.30401558607</v>
      </c>
      <c r="K2216" s="5">
        <v>0.1852797231257276</v>
      </c>
      <c r="L2216" s="10">
        <v>1119854.094</v>
      </c>
    </row>
    <row r="2217" spans="1:12" x14ac:dyDescent="0.25">
      <c r="A2217">
        <v>2216</v>
      </c>
      <c r="B2217" s="3">
        <v>0.17917644618174683</v>
      </c>
      <c r="C2217" s="3">
        <v>2.8300478145296237E-2</v>
      </c>
      <c r="D2217" s="1">
        <v>193941.29778988342</v>
      </c>
      <c r="E2217" s="1">
        <v>7996015</v>
      </c>
      <c r="F2217" s="1">
        <v>40938458</v>
      </c>
      <c r="G2217" s="16">
        <v>50648.989482673511</v>
      </c>
      <c r="H2217">
        <v>369.64</v>
      </c>
      <c r="I2217" s="1">
        <v>1148.3800000000001</v>
      </c>
      <c r="J2217" s="16">
        <v>244590.28727255692</v>
      </c>
      <c r="K2217" s="5">
        <v>0.11156668689528829</v>
      </c>
      <c r="L2217" s="10">
        <v>829615.82039999997</v>
      </c>
    </row>
    <row r="2218" spans="1:12" x14ac:dyDescent="0.25">
      <c r="A2218">
        <v>2217</v>
      </c>
      <c r="B2218" s="3">
        <v>0.18612052231016776</v>
      </c>
      <c r="C2218" s="3">
        <v>2.2917247366531477E-2</v>
      </c>
      <c r="D2218" s="1">
        <v>386170.59686818777</v>
      </c>
      <c r="E2218" s="1">
        <v>20238655</v>
      </c>
      <c r="F2218" s="1">
        <v>65014100</v>
      </c>
      <c r="G2218" s="16">
        <v>12614.899176361678</v>
      </c>
      <c r="H2218">
        <v>53.11</v>
      </c>
      <c r="I2218" s="1">
        <v>180.17000000000002</v>
      </c>
      <c r="J2218" s="16">
        <v>398785.49604454945</v>
      </c>
      <c r="K2218" s="5">
        <v>0.22522567861167797</v>
      </c>
      <c r="L2218" s="10">
        <v>3397739.2544999998</v>
      </c>
    </row>
    <row r="2219" spans="1:12" x14ac:dyDescent="0.25">
      <c r="A2219">
        <v>2218</v>
      </c>
      <c r="B2219" s="3">
        <v>0.20305500174409613</v>
      </c>
      <c r="C2219" s="3">
        <v>2.3046626728696298E-2</v>
      </c>
      <c r="D2219" s="1">
        <v>128777.1044720661</v>
      </c>
      <c r="E2219" s="1">
        <v>5974863</v>
      </c>
      <c r="F2219" s="1">
        <v>27039621</v>
      </c>
      <c r="G2219" s="16">
        <v>34835.616098720246</v>
      </c>
      <c r="H2219">
        <v>256.42</v>
      </c>
      <c r="I2219" s="1">
        <v>735.87000000000012</v>
      </c>
      <c r="J2219" s="16">
        <v>163612.72057078633</v>
      </c>
      <c r="K2219" s="5">
        <v>9.6523791621821731E-2</v>
      </c>
      <c r="L2219" s="10">
        <v>624634.56770000001</v>
      </c>
    </row>
    <row r="2220" spans="1:12" x14ac:dyDescent="0.25">
      <c r="A2220">
        <v>2219</v>
      </c>
      <c r="B2220" s="3">
        <v>0.13832764257592994</v>
      </c>
      <c r="C2220" s="3">
        <v>2.1349835379953365E-2</v>
      </c>
      <c r="D2220" s="1">
        <v>356788.67898723588</v>
      </c>
      <c r="E2220" s="1">
        <v>16314020</v>
      </c>
      <c r="F2220" s="1">
        <v>90661424</v>
      </c>
      <c r="G2220" s="16">
        <v>53488.420928391621</v>
      </c>
      <c r="H2220">
        <v>228.19</v>
      </c>
      <c r="I2220" s="1">
        <v>732.52</v>
      </c>
      <c r="J2220" s="16">
        <v>410277.09991562751</v>
      </c>
      <c r="K2220" s="5">
        <v>-8.9241417603225133E-3</v>
      </c>
      <c r="L2220" s="10">
        <v>-69651.921700000006</v>
      </c>
    </row>
    <row r="2221" spans="1:12" x14ac:dyDescent="0.25">
      <c r="A2221">
        <v>2220</v>
      </c>
      <c r="B2221" s="3">
        <v>0.17678492650808039</v>
      </c>
      <c r="C2221" s="3">
        <v>2.0902801499940685E-2</v>
      </c>
      <c r="D2221" s="1">
        <v>106436.20616939812</v>
      </c>
      <c r="E2221" s="1">
        <v>3570685</v>
      </c>
      <c r="F2221" s="1">
        <v>20219685</v>
      </c>
      <c r="G2221" s="16">
        <v>57890.354966853913</v>
      </c>
      <c r="H2221">
        <v>339.46</v>
      </c>
      <c r="I2221" s="1">
        <v>758.75</v>
      </c>
      <c r="J2221" s="16">
        <v>164326.56113625204</v>
      </c>
      <c r="K2221" s="5">
        <v>-2.2797197215360922E-2</v>
      </c>
      <c r="L2221" s="10">
        <v>-134058.46350000001</v>
      </c>
    </row>
    <row r="2222" spans="1:12" x14ac:dyDescent="0.25">
      <c r="A2222">
        <v>2221</v>
      </c>
      <c r="B2222" s="3">
        <v>0.10695066525562696</v>
      </c>
      <c r="C2222" s="3">
        <v>3.5799753621330269E-2</v>
      </c>
      <c r="D2222" s="1">
        <v>199816.06059295248</v>
      </c>
      <c r="E2222" s="1">
        <v>5250580</v>
      </c>
      <c r="F2222" s="1">
        <v>19873548</v>
      </c>
      <c r="G2222" s="16">
        <v>48170.950064434284</v>
      </c>
      <c r="H2222">
        <v>159.88999999999999</v>
      </c>
      <c r="I2222" s="1">
        <v>543.79</v>
      </c>
      <c r="J2222" s="16">
        <v>247987.01065738677</v>
      </c>
      <c r="K2222" s="5">
        <v>0.12538266535686585</v>
      </c>
      <c r="L2222" s="10">
        <v>685025.22530000005</v>
      </c>
    </row>
    <row r="2223" spans="1:12" x14ac:dyDescent="0.25">
      <c r="A2223">
        <v>2222</v>
      </c>
      <c r="B2223" s="3">
        <v>0.11942689830954156</v>
      </c>
      <c r="C2223" s="3">
        <v>3.3757120427464038E-2</v>
      </c>
      <c r="D2223" s="1">
        <v>153126.89103632883</v>
      </c>
      <c r="E2223" s="1">
        <v>4197185</v>
      </c>
      <c r="F2223" s="1">
        <v>20962486</v>
      </c>
      <c r="G2223" s="16">
        <v>57795.956576790973</v>
      </c>
      <c r="H2223">
        <v>212.25</v>
      </c>
      <c r="I2223" s="1">
        <v>612.05999999999995</v>
      </c>
      <c r="J2223" s="16">
        <v>210922.84761311981</v>
      </c>
      <c r="K2223" s="5">
        <v>5.1569180099141618E-2</v>
      </c>
      <c r="L2223" s="10">
        <v>240489.18580000001</v>
      </c>
    </row>
    <row r="2224" spans="1:12" x14ac:dyDescent="0.25">
      <c r="A2224">
        <v>2223</v>
      </c>
      <c r="B2224" s="3">
        <v>0.16375264399513767</v>
      </c>
      <c r="C2224" s="3">
        <v>7.3570779302418787E-2</v>
      </c>
      <c r="D2224" s="1">
        <v>43657.325352686392</v>
      </c>
      <c r="E2224" s="1">
        <v>1168397</v>
      </c>
      <c r="F2224" s="1">
        <v>8414908</v>
      </c>
      <c r="G2224" s="16">
        <v>7554.0559580049803</v>
      </c>
      <c r="H2224">
        <v>27.83</v>
      </c>
      <c r="I2224" s="1">
        <v>132.13</v>
      </c>
      <c r="J2224" s="16">
        <v>51211.381310691373</v>
      </c>
      <c r="K2224" s="5">
        <v>0.13323284061170451</v>
      </c>
      <c r="L2224" s="10">
        <v>87409.906199999998</v>
      </c>
    </row>
    <row r="2225" spans="1:12" x14ac:dyDescent="0.25">
      <c r="A2225">
        <v>2224</v>
      </c>
      <c r="B2225" s="3">
        <v>0.12655528116712422</v>
      </c>
      <c r="C2225" s="3">
        <v>6.3947737495465021E-2</v>
      </c>
      <c r="D2225" s="1">
        <v>82874.993272654785</v>
      </c>
      <c r="E2225" s="1">
        <v>2327660</v>
      </c>
      <c r="F2225" s="1">
        <v>12324713</v>
      </c>
      <c r="G2225" s="16">
        <v>136996.55378411841</v>
      </c>
      <c r="H2225">
        <v>607.19000000000005</v>
      </c>
      <c r="I2225" s="1">
        <v>1317.3400000000001</v>
      </c>
      <c r="J2225" s="16">
        <v>219871.54705677321</v>
      </c>
      <c r="K2225" s="5">
        <v>8.3042304895073402E-2</v>
      </c>
      <c r="L2225" s="10">
        <v>197971.21780000001</v>
      </c>
    </row>
    <row r="2226" spans="1:12" x14ac:dyDescent="0.25">
      <c r="A2226">
        <v>2225</v>
      </c>
      <c r="B2226" s="3">
        <v>0.15665106723000585</v>
      </c>
      <c r="C2226" s="3">
        <v>6.8099262484909898E-2</v>
      </c>
      <c r="D2226" s="1">
        <v>204340.18494499224</v>
      </c>
      <c r="E2226" s="1">
        <v>7560100</v>
      </c>
      <c r="F2226" s="1">
        <v>29995929</v>
      </c>
      <c r="G2226" s="16">
        <v>27267.660932847066</v>
      </c>
      <c r="H2226">
        <v>135.28</v>
      </c>
      <c r="I2226" s="1">
        <v>407.42999999999995</v>
      </c>
      <c r="J2226" s="16">
        <v>231607.84587783931</v>
      </c>
      <c r="K2226" s="5">
        <v>-3.0243815375600502E-2</v>
      </c>
      <c r="L2226" s="10">
        <v>-74139.494500000001</v>
      </c>
    </row>
    <row r="2227" spans="1:12" x14ac:dyDescent="0.25">
      <c r="A2227">
        <v>2226</v>
      </c>
      <c r="B2227" s="3">
        <v>0.21767762418663483</v>
      </c>
      <c r="C2227" s="3">
        <v>7.9775643106832411E-2</v>
      </c>
      <c r="D2227" s="1">
        <v>85961.478264856953</v>
      </c>
      <c r="E2227" s="1">
        <v>3360076</v>
      </c>
      <c r="F2227" s="1">
        <v>17117440</v>
      </c>
      <c r="G2227" s="16">
        <v>14423.976638221657</v>
      </c>
      <c r="H2227">
        <v>94.68</v>
      </c>
      <c r="I2227" s="1">
        <v>316.60000000000002</v>
      </c>
      <c r="J2227" s="16">
        <v>100385.45490307861</v>
      </c>
      <c r="K2227" s="5">
        <v>9.6707367091157945E-2</v>
      </c>
      <c r="L2227" s="10">
        <v>89417.394</v>
      </c>
    </row>
    <row r="2228" spans="1:12" x14ac:dyDescent="0.25">
      <c r="A2228">
        <v>2227</v>
      </c>
      <c r="B2228" s="3">
        <v>0.14452939158480951</v>
      </c>
      <c r="C2228" s="3">
        <v>5.2485856580360327E-2</v>
      </c>
      <c r="D2228" s="1">
        <v>386015.81543392647</v>
      </c>
      <c r="E2228" s="1">
        <v>15768215</v>
      </c>
      <c r="F2228" s="1">
        <v>46333101</v>
      </c>
      <c r="G2228" s="16">
        <v>37328.460411659456</v>
      </c>
      <c r="H2228">
        <v>167.39</v>
      </c>
      <c r="I2228" s="1">
        <v>474.15</v>
      </c>
      <c r="J2228" s="16">
        <v>423344.27584558591</v>
      </c>
      <c r="K2228" s="5">
        <v>0.23267512547453195</v>
      </c>
      <c r="L2228" s="10">
        <v>1330987.7296</v>
      </c>
    </row>
    <row r="2229" spans="1:12" x14ac:dyDescent="0.25">
      <c r="A2229">
        <v>2228</v>
      </c>
      <c r="B2229" s="3">
        <v>0.1417438436967659</v>
      </c>
      <c r="C2229" s="3">
        <v>6.2478213742399813E-2</v>
      </c>
      <c r="D2229" s="1">
        <v>282699.74856094568</v>
      </c>
      <c r="E2229" s="1">
        <v>9751264</v>
      </c>
      <c r="F2229" s="1">
        <v>39033488</v>
      </c>
      <c r="G2229" s="16">
        <v>42036.962910624767</v>
      </c>
      <c r="H2229">
        <v>184.14</v>
      </c>
      <c r="I2229" s="1">
        <v>486.78999999999996</v>
      </c>
      <c r="J2229" s="16">
        <v>324736.71147157042</v>
      </c>
      <c r="K2229" s="5">
        <v>0.10060383937619123</v>
      </c>
      <c r="L2229" s="10">
        <v>338440.11259999999</v>
      </c>
    </row>
    <row r="2230" spans="1:12" x14ac:dyDescent="0.25">
      <c r="A2230">
        <v>2229</v>
      </c>
      <c r="B2230" s="3">
        <v>0.21559829958912902</v>
      </c>
      <c r="C2230" s="3">
        <v>2.8998802894834558E-2</v>
      </c>
      <c r="D2230" s="1">
        <v>101399.76708889329</v>
      </c>
      <c r="E2230" s="1">
        <v>5012860</v>
      </c>
      <c r="F2230" s="1">
        <v>31008064</v>
      </c>
      <c r="G2230" s="16">
        <v>18697.687170867994</v>
      </c>
      <c r="H2230">
        <v>154.04</v>
      </c>
      <c r="I2230" s="1">
        <v>465.22</v>
      </c>
      <c r="J2230" s="16">
        <v>120097.45425976129</v>
      </c>
      <c r="K2230" s="5">
        <v>0.10023470499932008</v>
      </c>
      <c r="L2230" s="10">
        <v>400986.47480000003</v>
      </c>
    </row>
    <row r="2231" spans="1:12" x14ac:dyDescent="0.25">
      <c r="A2231">
        <v>2230</v>
      </c>
      <c r="B2231" s="3">
        <v>0.14310029510593353</v>
      </c>
      <c r="C2231" s="3">
        <v>5.8421628267847178E-2</v>
      </c>
      <c r="D2231" s="1">
        <v>115934.12679150674</v>
      </c>
      <c r="E2231" s="1">
        <v>4024333</v>
      </c>
      <c r="F2231" s="1">
        <v>22243059</v>
      </c>
      <c r="G2231" s="16">
        <v>14236.973054152884</v>
      </c>
      <c r="H2231">
        <v>54.05</v>
      </c>
      <c r="I2231" s="1">
        <v>251.72999999999996</v>
      </c>
      <c r="J2231" s="16">
        <v>130171.09984565963</v>
      </c>
      <c r="K2231" s="5">
        <v>0.1677376922638105</v>
      </c>
      <c r="L2231" s="10">
        <v>281877.99229999998</v>
      </c>
    </row>
    <row r="2232" spans="1:12" x14ac:dyDescent="0.25">
      <c r="A2232">
        <v>2231</v>
      </c>
      <c r="B2232" s="3">
        <v>0.13056868762053933</v>
      </c>
      <c r="C2232" s="3">
        <v>6.4554744154917423E-2</v>
      </c>
      <c r="D2232" s="1">
        <v>53319.394329690898</v>
      </c>
      <c r="E2232" s="1">
        <v>1518385</v>
      </c>
      <c r="F2232" s="1">
        <v>12004179</v>
      </c>
      <c r="G2232" s="16">
        <v>22526.903986916899</v>
      </c>
      <c r="H2232">
        <v>78.48</v>
      </c>
      <c r="I2232" s="1">
        <v>311.72000000000003</v>
      </c>
      <c r="J2232" s="16">
        <v>75846.298316607805</v>
      </c>
      <c r="K2232" s="5">
        <v>2.615346836909906E-2</v>
      </c>
      <c r="L2232" s="10">
        <v>46332.390599999999</v>
      </c>
    </row>
    <row r="2233" spans="1:12" x14ac:dyDescent="0.25">
      <c r="A2233">
        <v>2232</v>
      </c>
      <c r="B2233" s="3">
        <v>0.1361690720625808</v>
      </c>
      <c r="C2233" s="3">
        <v>6.4931878138646357E-2</v>
      </c>
      <c r="D2233" s="1">
        <v>79918.541555064556</v>
      </c>
      <c r="E2233" s="1">
        <v>2320406</v>
      </c>
      <c r="F2233" s="1">
        <v>13931874</v>
      </c>
      <c r="G2233" s="16">
        <v>15279.777613439435</v>
      </c>
      <c r="H2233">
        <v>47.77</v>
      </c>
      <c r="I2233" s="1">
        <v>179.62</v>
      </c>
      <c r="J2233" s="16">
        <v>95198.319168503993</v>
      </c>
      <c r="K2233" s="5">
        <v>5.4932372052086384E-2</v>
      </c>
      <c r="L2233" s="10">
        <v>55861.1417</v>
      </c>
    </row>
    <row r="2234" spans="1:12" x14ac:dyDescent="0.25">
      <c r="A2234">
        <v>2233</v>
      </c>
      <c r="B2234" s="3">
        <v>0.13164106539057149</v>
      </c>
      <c r="C2234" s="3">
        <v>4.3440301053850883E-2</v>
      </c>
      <c r="D2234" s="1">
        <v>196933.50473254846</v>
      </c>
      <c r="E2234" s="1">
        <v>6482246</v>
      </c>
      <c r="F2234" s="1">
        <v>23285890</v>
      </c>
      <c r="G2234" s="16">
        <v>72662.659666383377</v>
      </c>
      <c r="H2234">
        <v>338.07</v>
      </c>
      <c r="I2234" s="1">
        <v>950.38999999999987</v>
      </c>
      <c r="J2234" s="16">
        <v>269596.16439893184</v>
      </c>
      <c r="K2234" s="5">
        <v>0.1268159068848595</v>
      </c>
      <c r="L2234" s="10">
        <v>584502.23930000002</v>
      </c>
    </row>
    <row r="2235" spans="1:12" x14ac:dyDescent="0.25">
      <c r="A2235">
        <v>2234</v>
      </c>
      <c r="B2235" s="3">
        <v>0.23950466109949692</v>
      </c>
      <c r="C2235" s="3">
        <v>4.7303103032051069E-2</v>
      </c>
      <c r="D2235" s="1">
        <v>100787.58336773384</v>
      </c>
      <c r="E2235" s="1">
        <v>5639284</v>
      </c>
      <c r="F2235" s="1">
        <v>27895062</v>
      </c>
      <c r="G2235" s="16">
        <v>18213.176880582087</v>
      </c>
      <c r="H2235">
        <v>186.41</v>
      </c>
      <c r="I2235" s="1">
        <v>636.97</v>
      </c>
      <c r="J2235" s="16">
        <v>119000.76024831593</v>
      </c>
      <c r="K2235" s="5">
        <v>9.1532441100784873E-2</v>
      </c>
      <c r="L2235" s="10">
        <v>195493.39259999999</v>
      </c>
    </row>
    <row r="2236" spans="1:12" x14ac:dyDescent="0.25">
      <c r="A2236">
        <v>2235</v>
      </c>
      <c r="B2236" s="3">
        <v>0.11913294322697249</v>
      </c>
      <c r="C2236" s="3">
        <v>2.8931330090610337E-2</v>
      </c>
      <c r="D2236" s="1">
        <v>228318.25307594513</v>
      </c>
      <c r="E2236" s="1">
        <v>7097448</v>
      </c>
      <c r="F2236" s="1">
        <v>32685510</v>
      </c>
      <c r="G2236" s="16">
        <v>46910.917691179042</v>
      </c>
      <c r="H2236">
        <v>171.19</v>
      </c>
      <c r="I2236" s="1">
        <v>426.5</v>
      </c>
      <c r="J2236" s="16">
        <v>275229.17076712416</v>
      </c>
      <c r="K2236" s="5">
        <v>0.17857997699529374</v>
      </c>
      <c r="L2236" s="10">
        <v>1462616.395</v>
      </c>
    </row>
    <row r="2237" spans="1:12" x14ac:dyDescent="0.25">
      <c r="A2237">
        <v>2236</v>
      </c>
      <c r="B2237" s="3">
        <v>0.21811305940853531</v>
      </c>
      <c r="C2237" s="3">
        <v>7.3721130550490011E-2</v>
      </c>
      <c r="D2237" s="1">
        <v>80750.839065454318</v>
      </c>
      <c r="E2237" s="1">
        <v>3161680</v>
      </c>
      <c r="F2237" s="1">
        <v>16255373</v>
      </c>
      <c r="G2237" s="16">
        <v>39650.550806908926</v>
      </c>
      <c r="H2237">
        <v>426.85</v>
      </c>
      <c r="I2237" s="1">
        <v>1004.15</v>
      </c>
      <c r="J2237" s="16">
        <v>120401.38987236324</v>
      </c>
      <c r="K2237" s="5">
        <v>5.5922446577990871E-2</v>
      </c>
      <c r="L2237" s="10">
        <v>85823.329899999997</v>
      </c>
    </row>
    <row r="2238" spans="1:12" x14ac:dyDescent="0.25">
      <c r="A2238">
        <v>2237</v>
      </c>
      <c r="B2238" s="3">
        <v>0.17178841475336049</v>
      </c>
      <c r="C2238" s="3">
        <v>2.0658199640780209E-2</v>
      </c>
      <c r="D2238" s="1">
        <v>309766.77704459836</v>
      </c>
      <c r="E2238" s="1">
        <v>12321744</v>
      </c>
      <c r="F2238" s="1">
        <v>35668186</v>
      </c>
      <c r="G2238" s="16">
        <v>27269.944898648537</v>
      </c>
      <c r="H2238">
        <v>153.5</v>
      </c>
      <c r="I2238" s="1">
        <v>407.71000000000004</v>
      </c>
      <c r="J2238" s="16">
        <v>337036.7219432469</v>
      </c>
      <c r="K2238" s="5">
        <v>0.14620176140276311</v>
      </c>
      <c r="L2238" s="10">
        <v>2052228.3060000001</v>
      </c>
    </row>
    <row r="2239" spans="1:12" x14ac:dyDescent="0.25">
      <c r="A2239">
        <v>2238</v>
      </c>
      <c r="B2239" s="3">
        <v>0.18053449175417335</v>
      </c>
      <c r="C2239" s="3">
        <v>5.1220461368047844E-2</v>
      </c>
      <c r="D2239" s="1">
        <v>103217.12373049454</v>
      </c>
      <c r="E2239" s="1">
        <v>3510445</v>
      </c>
      <c r="F2239" s="1">
        <v>17109857</v>
      </c>
      <c r="G2239" s="16">
        <v>26333.332818461953</v>
      </c>
      <c r="H2239">
        <v>130.96</v>
      </c>
      <c r="I2239" s="1">
        <v>346.27</v>
      </c>
      <c r="J2239" s="16">
        <v>129550.45654895648</v>
      </c>
      <c r="K2239" s="5">
        <v>0.20428297100422738</v>
      </c>
      <c r="L2239" s="10">
        <v>390455.65769999998</v>
      </c>
    </row>
    <row r="2240" spans="1:12" x14ac:dyDescent="0.25">
      <c r="A2240">
        <v>2239</v>
      </c>
      <c r="B2240" s="3">
        <v>0.10840293991965258</v>
      </c>
      <c r="C2240" s="3">
        <v>2.1393477688076062E-2</v>
      </c>
      <c r="D2240" s="1">
        <v>151937.14376393109</v>
      </c>
      <c r="E2240" s="1">
        <v>4012000</v>
      </c>
      <c r="F2240" s="1">
        <v>21242282</v>
      </c>
      <c r="G2240" s="16">
        <v>75118.792190669017</v>
      </c>
      <c r="H2240">
        <v>252.22</v>
      </c>
      <c r="I2240" s="1">
        <v>673.31</v>
      </c>
      <c r="J2240" s="16">
        <v>227055.93595460011</v>
      </c>
      <c r="K2240" s="5">
        <v>0.16574782159893184</v>
      </c>
      <c r="L2240" s="10">
        <v>1517601.6229999999</v>
      </c>
    </row>
    <row r="2241" spans="1:12" x14ac:dyDescent="0.25">
      <c r="A2241">
        <v>2240</v>
      </c>
      <c r="B2241" s="3">
        <v>0.13987955426138407</v>
      </c>
      <c r="C2241" s="3">
        <v>4.0025202218316985E-2</v>
      </c>
      <c r="D2241" s="1">
        <v>186282.34542723279</v>
      </c>
      <c r="E2241" s="1">
        <v>6369970</v>
      </c>
      <c r="F2241" s="1">
        <v>35331473</v>
      </c>
      <c r="G2241" s="16">
        <v>64515.940103269932</v>
      </c>
      <c r="H2241">
        <v>324.27</v>
      </c>
      <c r="I2241" s="1">
        <v>809.45999999999992</v>
      </c>
      <c r="J2241" s="16">
        <v>250798.28553050273</v>
      </c>
      <c r="K2241" s="5">
        <v>3.7840992808764254E-3</v>
      </c>
      <c r="L2241" s="10">
        <v>33888.141600000003</v>
      </c>
    </row>
    <row r="2242" spans="1:12" x14ac:dyDescent="0.25">
      <c r="A2242">
        <v>2241</v>
      </c>
      <c r="B2242" s="3">
        <v>0.13621745230117421</v>
      </c>
      <c r="C2242" s="3">
        <v>3.6314976170116822E-2</v>
      </c>
      <c r="D2242" s="1">
        <v>238929.76292424617</v>
      </c>
      <c r="E2242" s="1">
        <v>8032581</v>
      </c>
      <c r="F2242" s="1">
        <v>24329117</v>
      </c>
      <c r="G2242" s="16">
        <v>54406.156444496162</v>
      </c>
      <c r="H2242">
        <v>227.94</v>
      </c>
      <c r="I2242" s="1">
        <v>655.39999999999986</v>
      </c>
      <c r="J2242" s="16">
        <v>293335.91936874232</v>
      </c>
      <c r="K2242" s="5">
        <v>-1.6078947026819293E-2</v>
      </c>
      <c r="L2242" s="10">
        <v>-68782.322700000004</v>
      </c>
    </row>
    <row r="2243" spans="1:12" x14ac:dyDescent="0.25">
      <c r="A2243">
        <v>2242</v>
      </c>
      <c r="B2243" s="3">
        <v>0.2085012270601892</v>
      </c>
      <c r="C2243" s="3">
        <v>3.1058274196252955E-2</v>
      </c>
      <c r="D2243" s="1">
        <v>111008.74990534721</v>
      </c>
      <c r="E2243" s="1">
        <v>5293697</v>
      </c>
      <c r="F2243" s="1">
        <v>25390007</v>
      </c>
      <c r="G2243" s="16">
        <v>8834.7254278113578</v>
      </c>
      <c r="H2243">
        <v>54.12</v>
      </c>
      <c r="I2243" s="1">
        <v>217.74</v>
      </c>
      <c r="J2243" s="16">
        <v>119843.47533315857</v>
      </c>
      <c r="K2243" s="5">
        <v>9.6618318333048583E-2</v>
      </c>
      <c r="L2243" s="10">
        <v>347754.16070000001</v>
      </c>
    </row>
    <row r="2244" spans="1:12" x14ac:dyDescent="0.25">
      <c r="A2244">
        <v>2243</v>
      </c>
      <c r="B2244" s="3">
        <v>0.21892702142613413</v>
      </c>
      <c r="C2244" s="3">
        <v>3.2214647344985352E-2</v>
      </c>
      <c r="D2244" s="1">
        <v>51090.415911576434</v>
      </c>
      <c r="E2244" s="1">
        <v>2006633</v>
      </c>
      <c r="F2244" s="1">
        <v>16267095</v>
      </c>
      <c r="G2244" s="16">
        <v>28350.28319305984</v>
      </c>
      <c r="H2244">
        <v>240.45</v>
      </c>
      <c r="I2244" s="1">
        <v>647.37999999999988</v>
      </c>
      <c r="J2244" s="16">
        <v>79440.699104636267</v>
      </c>
      <c r="K2244" s="5">
        <v>-1.3245247180999772E-2</v>
      </c>
      <c r="L2244" s="10">
        <v>-10601.3019</v>
      </c>
    </row>
    <row r="2245" spans="1:12" x14ac:dyDescent="0.25">
      <c r="A2245">
        <v>2244</v>
      </c>
      <c r="B2245" s="3">
        <v>0.16678337743811472</v>
      </c>
      <c r="C2245" s="3">
        <v>4.5345811134896913E-2</v>
      </c>
      <c r="D2245" s="1">
        <v>116632.12479208209</v>
      </c>
      <c r="E2245" s="1">
        <v>4528864</v>
      </c>
      <c r="F2245" s="1">
        <v>22410547</v>
      </c>
      <c r="G2245" s="16">
        <v>57597.816209744647</v>
      </c>
      <c r="H2245">
        <v>372.67</v>
      </c>
      <c r="I2245" s="1">
        <v>1018.6600000000001</v>
      </c>
      <c r="J2245" s="16">
        <v>174229.94100182672</v>
      </c>
      <c r="K2245" s="5">
        <v>0.10103848646659903</v>
      </c>
      <c r="L2245" s="10">
        <v>315029.23599999998</v>
      </c>
    </row>
    <row r="2246" spans="1:12" x14ac:dyDescent="0.25">
      <c r="A2246">
        <v>2245</v>
      </c>
      <c r="B2246" s="3">
        <v>0.16429104456202853</v>
      </c>
      <c r="C2246" s="3">
        <v>3.2323247564662157E-2</v>
      </c>
      <c r="D2246" s="1">
        <v>109809.17364089911</v>
      </c>
      <c r="E2246" s="1">
        <v>3521086</v>
      </c>
      <c r="F2246" s="1">
        <v>17068441</v>
      </c>
      <c r="G2246" s="16">
        <v>42533.342663050273</v>
      </c>
      <c r="H2246">
        <v>224.64</v>
      </c>
      <c r="I2246" s="1">
        <v>637.30999999999995</v>
      </c>
      <c r="J2246" s="16">
        <v>152342.51630394938</v>
      </c>
      <c r="K2246" s="5">
        <v>1.9074388161773405E-2</v>
      </c>
      <c r="L2246" s="10">
        <v>109766.289</v>
      </c>
    </row>
    <row r="2247" spans="1:12" x14ac:dyDescent="0.25">
      <c r="A2247">
        <v>2246</v>
      </c>
      <c r="B2247" s="3">
        <v>0.12590017139598736</v>
      </c>
      <c r="C2247" s="3">
        <v>3.2358203118764771E-2</v>
      </c>
      <c r="D2247" s="1">
        <v>959420.87546578329</v>
      </c>
      <c r="E2247" s="1">
        <v>40257415</v>
      </c>
      <c r="F2247" s="1">
        <v>117890276</v>
      </c>
      <c r="G2247" s="16">
        <v>60855.709492999391</v>
      </c>
      <c r="H2247">
        <v>268.54000000000002</v>
      </c>
      <c r="I2247" s="1">
        <v>769.33999999999992</v>
      </c>
      <c r="J2247" s="16">
        <v>1020276.5849587827</v>
      </c>
      <c r="K2247" s="5">
        <v>0.19872331918969802</v>
      </c>
      <c r="L2247" s="10">
        <v>5094958.0165999997</v>
      </c>
    </row>
    <row r="2248" spans="1:12" x14ac:dyDescent="0.25">
      <c r="A2248">
        <v>2247</v>
      </c>
      <c r="B2248" s="3">
        <v>0.22110877666770365</v>
      </c>
      <c r="C2248" s="3">
        <v>5.7849131768581197E-2</v>
      </c>
      <c r="D2248" s="1">
        <v>79189.042224193574</v>
      </c>
      <c r="E2248" s="1">
        <v>3136442</v>
      </c>
      <c r="F2248" s="1">
        <v>17626839</v>
      </c>
      <c r="G2248" s="16">
        <v>21827.182183684294</v>
      </c>
      <c r="H2248">
        <v>188.75</v>
      </c>
      <c r="I2248" s="1">
        <v>579.32000000000005</v>
      </c>
      <c r="J2248" s="16">
        <v>101016.22440787786</v>
      </c>
      <c r="K2248" s="5">
        <v>0.24695996191920111</v>
      </c>
      <c r="L2248" s="10">
        <v>328419.98469999997</v>
      </c>
    </row>
    <row r="2249" spans="1:12" x14ac:dyDescent="0.25">
      <c r="A2249">
        <v>2248</v>
      </c>
      <c r="B2249" s="3">
        <v>0.22413225787800944</v>
      </c>
      <c r="C2249" s="3">
        <v>3.6626379392626023E-2</v>
      </c>
      <c r="D2249" s="1">
        <v>99058.704141368275</v>
      </c>
      <c r="E2249" s="1">
        <v>3969474</v>
      </c>
      <c r="F2249" s="1">
        <v>14165163</v>
      </c>
      <c r="G2249" s="16">
        <v>23730.585691843986</v>
      </c>
      <c r="H2249">
        <v>210.54</v>
      </c>
      <c r="I2249" s="1">
        <v>748.93999999999994</v>
      </c>
      <c r="J2249" s="16">
        <v>122789.28983321226</v>
      </c>
      <c r="K2249" s="5">
        <v>0.16685523672732047</v>
      </c>
      <c r="L2249" s="10">
        <v>452335.10139999999</v>
      </c>
    </row>
    <row r="2250" spans="1:12" x14ac:dyDescent="0.25">
      <c r="A2250">
        <v>2249</v>
      </c>
      <c r="B2250" s="3">
        <v>0.23102989400472526</v>
      </c>
      <c r="C2250" s="3">
        <v>6.360892474673302E-2</v>
      </c>
      <c r="D2250" s="1">
        <v>143813.8439940325</v>
      </c>
      <c r="E2250" s="1">
        <v>7697789</v>
      </c>
      <c r="F2250" s="1">
        <v>30101890</v>
      </c>
      <c r="G2250" s="16">
        <v>13309.312973992293</v>
      </c>
      <c r="H2250">
        <v>126.07</v>
      </c>
      <c r="I2250" s="1">
        <v>390.4</v>
      </c>
      <c r="J2250" s="16">
        <v>157123.15696802479</v>
      </c>
      <c r="K2250" s="5">
        <v>0.21356474292753491</v>
      </c>
      <c r="L2250" s="10">
        <v>353617.07069999998</v>
      </c>
    </row>
    <row r="2251" spans="1:12" x14ac:dyDescent="0.25">
      <c r="A2251">
        <v>2250</v>
      </c>
      <c r="B2251" s="3">
        <v>0.19462709050139784</v>
      </c>
      <c r="C2251" s="3">
        <v>2.5211893691250854E-2</v>
      </c>
      <c r="D2251" s="1">
        <v>78129.552276879942</v>
      </c>
      <c r="E2251" s="1">
        <v>2799156</v>
      </c>
      <c r="F2251" s="1">
        <v>14814425</v>
      </c>
      <c r="G2251" s="16">
        <v>30442.192939154298</v>
      </c>
      <c r="H2251">
        <v>208.33</v>
      </c>
      <c r="I2251" s="1">
        <v>698.65</v>
      </c>
      <c r="J2251" s="16">
        <v>108571.74521603424</v>
      </c>
      <c r="K2251" s="5">
        <v>0.32585178790853131</v>
      </c>
      <c r="L2251" s="10">
        <v>1217124.6026999999</v>
      </c>
    </row>
    <row r="2252" spans="1:12" x14ac:dyDescent="0.25">
      <c r="A2252">
        <v>2251</v>
      </c>
      <c r="B2252" s="3">
        <v>0.23494950655153732</v>
      </c>
      <c r="C2252" s="3">
        <v>7.9093598721830069E-2</v>
      </c>
      <c r="D2252" s="1">
        <v>212972.36635246914</v>
      </c>
      <c r="E2252" s="1">
        <v>11634987</v>
      </c>
      <c r="F2252" s="1">
        <v>38445213</v>
      </c>
      <c r="G2252" s="16">
        <v>6221.3208805229579</v>
      </c>
      <c r="H2252">
        <v>35.71</v>
      </c>
      <c r="I2252" s="1">
        <v>127.25999999999999</v>
      </c>
      <c r="J2252" s="16">
        <v>219193.68723299209</v>
      </c>
      <c r="K2252" s="5">
        <v>9.4910860336913053E-2</v>
      </c>
      <c r="L2252" s="10">
        <v>161233.0386</v>
      </c>
    </row>
    <row r="2253" spans="1:12" x14ac:dyDescent="0.25">
      <c r="A2253">
        <v>2252</v>
      </c>
      <c r="B2253" s="3">
        <v>0.16183477533620799</v>
      </c>
      <c r="C2253" s="3">
        <v>3.6822105370606387E-2</v>
      </c>
      <c r="D2253" s="1">
        <v>127316.0407728615</v>
      </c>
      <c r="E2253" s="1">
        <v>4828001</v>
      </c>
      <c r="F2253" s="1">
        <v>23980535</v>
      </c>
      <c r="G2253" s="16">
        <v>52311.733116542826</v>
      </c>
      <c r="H2253">
        <v>270.76</v>
      </c>
      <c r="I2253" s="1">
        <v>682.75</v>
      </c>
      <c r="J2253" s="16">
        <v>179627.77388940431</v>
      </c>
      <c r="K2253" s="5">
        <v>-1.6025728174133988E-2</v>
      </c>
      <c r="L2253" s="10">
        <v>-17548.858800000002</v>
      </c>
    </row>
    <row r="2254" spans="1:12" x14ac:dyDescent="0.25">
      <c r="A2254">
        <v>2253</v>
      </c>
      <c r="B2254" s="3">
        <v>0.23276998180718131</v>
      </c>
      <c r="C2254" s="3">
        <v>5.7127791244392295E-2</v>
      </c>
      <c r="D2254" s="1">
        <v>71038.089337149911</v>
      </c>
      <c r="E2254" s="1">
        <v>3836999</v>
      </c>
      <c r="F2254" s="1">
        <v>21529981</v>
      </c>
      <c r="G2254" s="16">
        <v>13517.593528798077</v>
      </c>
      <c r="H2254">
        <v>99.79</v>
      </c>
      <c r="I2254" s="1">
        <v>370.37000000000006</v>
      </c>
      <c r="J2254" s="16">
        <v>84555.682865947994</v>
      </c>
      <c r="K2254" s="5">
        <v>0.21004351874838703</v>
      </c>
      <c r="L2254" s="10">
        <v>244162.58970000001</v>
      </c>
    </row>
    <row r="2255" spans="1:12" x14ac:dyDescent="0.25">
      <c r="A2255">
        <v>2254</v>
      </c>
      <c r="B2255" s="3">
        <v>0.128899126761986</v>
      </c>
      <c r="C2255" s="3">
        <v>6.8472062282577809E-2</v>
      </c>
      <c r="D2255" s="1">
        <v>75976.853269289437</v>
      </c>
      <c r="E2255" s="1">
        <v>2151190</v>
      </c>
      <c r="F2255" s="1">
        <v>12888056</v>
      </c>
      <c r="G2255" s="16">
        <v>58304.663386140055</v>
      </c>
      <c r="H2255">
        <v>264.7</v>
      </c>
      <c r="I2255" s="1">
        <v>825.65000000000009</v>
      </c>
      <c r="J2255" s="16">
        <v>134281.5166554295</v>
      </c>
      <c r="K2255" s="5">
        <v>0.12362040652215994</v>
      </c>
      <c r="L2255" s="10">
        <v>160718.93979999999</v>
      </c>
    </row>
    <row r="2256" spans="1:12" x14ac:dyDescent="0.25">
      <c r="A2256">
        <v>2255</v>
      </c>
      <c r="B2256" s="3">
        <v>0.11992617334117013</v>
      </c>
      <c r="C2256" s="3">
        <v>2.2377547582472436E-2</v>
      </c>
      <c r="D2256" s="1">
        <v>119759.60838640362</v>
      </c>
      <c r="E2256" s="1">
        <v>3288179</v>
      </c>
      <c r="F2256" s="1">
        <v>16457836</v>
      </c>
      <c r="G2256" s="16">
        <v>70361.571356199842</v>
      </c>
      <c r="H2256">
        <v>258.64</v>
      </c>
      <c r="I2256" s="1">
        <v>677.98</v>
      </c>
      <c r="J2256" s="16">
        <v>190121.17974260345</v>
      </c>
      <c r="K2256" s="5">
        <v>7.325140933701399E-2</v>
      </c>
      <c r="L2256" s="10">
        <v>554609.67870000005</v>
      </c>
    </row>
    <row r="2257" spans="1:12" x14ac:dyDescent="0.25">
      <c r="A2257">
        <v>2256</v>
      </c>
      <c r="B2257" s="3">
        <v>0.21128054580995653</v>
      </c>
      <c r="C2257" s="3">
        <v>2.9592290291028871E-2</v>
      </c>
      <c r="D2257" s="1">
        <v>82512.254671354065</v>
      </c>
      <c r="E2257" s="1">
        <v>3990532</v>
      </c>
      <c r="F2257" s="1">
        <v>22984834</v>
      </c>
      <c r="G2257" s="16">
        <v>30419.599436813649</v>
      </c>
      <c r="H2257">
        <v>240.97</v>
      </c>
      <c r="I2257" s="1">
        <v>580.23</v>
      </c>
      <c r="J2257" s="16">
        <v>112931.85410816771</v>
      </c>
      <c r="K2257" s="5">
        <v>-3.532291707217157E-2</v>
      </c>
      <c r="L2257" s="10">
        <v>-95350.341499999995</v>
      </c>
    </row>
    <row r="2258" spans="1:12" x14ac:dyDescent="0.25">
      <c r="A2258">
        <v>2257</v>
      </c>
      <c r="B2258" s="3">
        <v>0.12367192903951907</v>
      </c>
      <c r="C2258" s="3">
        <v>6.8070685287179605E-2</v>
      </c>
      <c r="D2258" s="1">
        <v>183972.8128987652</v>
      </c>
      <c r="E2258" s="1">
        <v>5838345</v>
      </c>
      <c r="F2258" s="1">
        <v>29461006</v>
      </c>
      <c r="G2258" s="16">
        <v>91492.819961881381</v>
      </c>
      <c r="H2258">
        <v>396.18</v>
      </c>
      <c r="I2258" s="1">
        <v>1059</v>
      </c>
      <c r="J2258" s="16">
        <v>275465.63286064658</v>
      </c>
      <c r="K2258" s="5">
        <v>0.17174643171682125</v>
      </c>
      <c r="L2258" s="10">
        <v>477807.56439999997</v>
      </c>
    </row>
    <row r="2259" spans="1:12" x14ac:dyDescent="0.25">
      <c r="A2259">
        <v>2258</v>
      </c>
      <c r="B2259" s="3">
        <v>0.10113605486191798</v>
      </c>
      <c r="C2259" s="3">
        <v>6.7376635247481331E-2</v>
      </c>
      <c r="D2259" s="1">
        <v>172576.84890867569</v>
      </c>
      <c r="E2259" s="1">
        <v>4947778</v>
      </c>
      <c r="F2259" s="1">
        <v>24928904</v>
      </c>
      <c r="G2259" s="16">
        <v>98631.737651351068</v>
      </c>
      <c r="H2259">
        <v>348.01</v>
      </c>
      <c r="I2259" s="1">
        <v>885.43</v>
      </c>
      <c r="J2259" s="16">
        <v>271208.58656002674</v>
      </c>
      <c r="K2259" s="5">
        <v>0.17447554665282272</v>
      </c>
      <c r="L2259" s="10">
        <v>478299.38319999998</v>
      </c>
    </row>
    <row r="2260" spans="1:12" x14ac:dyDescent="0.25">
      <c r="A2260">
        <v>2259</v>
      </c>
      <c r="B2260" s="3">
        <v>0.14020801789605444</v>
      </c>
      <c r="C2260" s="3">
        <v>7.7985475009532013E-2</v>
      </c>
      <c r="D2260" s="1">
        <v>262298.49587425333</v>
      </c>
      <c r="E2260" s="1">
        <v>8983084</v>
      </c>
      <c r="F2260" s="1">
        <v>41088753</v>
      </c>
      <c r="G2260" s="16">
        <v>39345.130511642237</v>
      </c>
      <c r="H2260">
        <v>170.36</v>
      </c>
      <c r="I2260" s="1">
        <v>486.13</v>
      </c>
      <c r="J2260" s="16">
        <v>301643.62638589559</v>
      </c>
      <c r="K2260" s="5">
        <v>0.14429113954292158</v>
      </c>
      <c r="L2260" s="10">
        <v>400571.2928</v>
      </c>
    </row>
    <row r="2261" spans="1:12" x14ac:dyDescent="0.25">
      <c r="A2261">
        <v>2260</v>
      </c>
      <c r="B2261" s="3">
        <v>0.13222357528587594</v>
      </c>
      <c r="C2261" s="3">
        <v>6.5578435564787416E-2</v>
      </c>
      <c r="D2261" s="1">
        <v>120773.52429360418</v>
      </c>
      <c r="E2261" s="1">
        <v>3459001</v>
      </c>
      <c r="F2261" s="1">
        <v>18565989</v>
      </c>
      <c r="G2261" s="16">
        <v>105509.42879192492</v>
      </c>
      <c r="H2261">
        <v>494.14</v>
      </c>
      <c r="I2261" s="1">
        <v>1209.06</v>
      </c>
      <c r="J2261" s="16">
        <v>226282.95308552909</v>
      </c>
      <c r="K2261" s="5">
        <v>3.9753647713487009E-2</v>
      </c>
      <c r="L2261" s="10">
        <v>123252.0003</v>
      </c>
    </row>
    <row r="2262" spans="1:12" x14ac:dyDescent="0.25">
      <c r="A2262">
        <v>2261</v>
      </c>
      <c r="B2262" s="3">
        <v>0.13708494859915016</v>
      </c>
      <c r="C2262" s="3">
        <v>3.2589372690185643E-2</v>
      </c>
      <c r="D2262" s="1">
        <v>160337.6574026389</v>
      </c>
      <c r="E2262" s="1">
        <v>5412108</v>
      </c>
      <c r="F2262" s="1">
        <v>27523142</v>
      </c>
      <c r="G2262" s="16">
        <v>41404.326388432972</v>
      </c>
      <c r="H2262">
        <v>174.51</v>
      </c>
      <c r="I2262" s="1">
        <v>445.46</v>
      </c>
      <c r="J2262" s="16">
        <v>201741.98379107186</v>
      </c>
      <c r="K2262" s="5">
        <v>4.801481605381977E-2</v>
      </c>
      <c r="L2262" s="10">
        <v>253549.37830000001</v>
      </c>
    </row>
    <row r="2263" spans="1:12" x14ac:dyDescent="0.25">
      <c r="A2263">
        <v>2262</v>
      </c>
      <c r="B2263" s="3">
        <v>0.10826209199761047</v>
      </c>
      <c r="C2263" s="3">
        <v>5.396704448542898E-2</v>
      </c>
      <c r="D2263" s="1">
        <v>488540.59829955507</v>
      </c>
      <c r="E2263" s="1">
        <v>16215017</v>
      </c>
      <c r="F2263" s="1">
        <v>62553677</v>
      </c>
      <c r="G2263" s="16">
        <v>44609.946950656558</v>
      </c>
      <c r="H2263">
        <v>149.94999999999999</v>
      </c>
      <c r="I2263" s="1">
        <v>454.89</v>
      </c>
      <c r="J2263" s="16">
        <v>533150.54525021161</v>
      </c>
      <c r="K2263" s="5">
        <v>1.7064498095589929E-2</v>
      </c>
      <c r="L2263" s="10">
        <v>130263.0906</v>
      </c>
    </row>
    <row r="2264" spans="1:12" x14ac:dyDescent="0.25">
      <c r="A2264">
        <v>2263</v>
      </c>
      <c r="B2264" s="3">
        <v>0.17505809998472743</v>
      </c>
      <c r="C2264" s="3">
        <v>7.5478672032258678E-2</v>
      </c>
      <c r="D2264" s="1">
        <v>171049.04974411029</v>
      </c>
      <c r="E2264" s="1">
        <v>6912414</v>
      </c>
      <c r="F2264" s="1">
        <v>38224823</v>
      </c>
      <c r="G2264" s="16">
        <v>11504.350368576519</v>
      </c>
      <c r="H2264">
        <v>45.26</v>
      </c>
      <c r="I2264" s="1">
        <v>169.43</v>
      </c>
      <c r="J2264" s="16">
        <v>182553.40011268682</v>
      </c>
      <c r="K2264" s="5">
        <v>0.11609694258893845</v>
      </c>
      <c r="L2264" s="10">
        <v>206708.481</v>
      </c>
    </row>
    <row r="2265" spans="1:12" x14ac:dyDescent="0.25">
      <c r="A2265">
        <v>2264</v>
      </c>
      <c r="B2265" s="3">
        <v>0.21604676238580459</v>
      </c>
      <c r="C2265" s="3">
        <v>4.3688831308830306E-2</v>
      </c>
      <c r="D2265" s="1">
        <v>203837.15753409255</v>
      </c>
      <c r="E2265" s="1">
        <v>10100086</v>
      </c>
      <c r="F2265" s="1">
        <v>36936894</v>
      </c>
      <c r="G2265" s="16">
        <v>20495.150365566733</v>
      </c>
      <c r="H2265">
        <v>169.87</v>
      </c>
      <c r="I2265" s="1">
        <v>477.22</v>
      </c>
      <c r="J2265" s="16">
        <v>224332.30789965927</v>
      </c>
      <c r="K2265" s="5">
        <v>6.4933259898457524E-2</v>
      </c>
      <c r="L2265" s="10">
        <v>254321.40820000001</v>
      </c>
    </row>
    <row r="2266" spans="1:12" x14ac:dyDescent="0.25">
      <c r="A2266">
        <v>2265</v>
      </c>
      <c r="B2266" s="3">
        <v>0.13671339485367257</v>
      </c>
      <c r="C2266" s="3">
        <v>6.9733619676697042E-2</v>
      </c>
      <c r="D2266" s="1">
        <v>177723.73744856307</v>
      </c>
      <c r="E2266" s="1">
        <v>5988635</v>
      </c>
      <c r="F2266" s="1">
        <v>32600598</v>
      </c>
      <c r="G2266" s="16">
        <v>33015.728327780977</v>
      </c>
      <c r="H2266">
        <v>119.9</v>
      </c>
      <c r="I2266" s="1">
        <v>336.97</v>
      </c>
      <c r="J2266" s="16">
        <v>210739.46577634406</v>
      </c>
      <c r="K2266" s="5">
        <v>3.3708401532409192E-2</v>
      </c>
      <c r="L2266" s="10">
        <v>92073.210200000001</v>
      </c>
    </row>
    <row r="2267" spans="1:12" x14ac:dyDescent="0.25">
      <c r="A2267">
        <v>2266</v>
      </c>
      <c r="B2267" s="3">
        <v>0.15784366303256686</v>
      </c>
      <c r="C2267" s="3">
        <v>4.6186154730854141E-2</v>
      </c>
      <c r="D2267" s="1">
        <v>36591.126353011314</v>
      </c>
      <c r="E2267" s="1">
        <v>965591</v>
      </c>
      <c r="F2267" s="1">
        <v>8946946</v>
      </c>
      <c r="G2267" s="16">
        <v>20979.602232568217</v>
      </c>
      <c r="H2267">
        <v>88.48</v>
      </c>
      <c r="I2267" s="1">
        <v>272.89</v>
      </c>
      <c r="J2267" s="16">
        <v>57570.728585579534</v>
      </c>
      <c r="K2267" s="5">
        <v>-0.10659499868095726</v>
      </c>
      <c r="L2267" s="10">
        <v>-84767.112399999998</v>
      </c>
    </row>
    <row r="2268" spans="1:12" x14ac:dyDescent="0.25">
      <c r="A2268">
        <v>2267</v>
      </c>
      <c r="B2268" s="3">
        <v>0.12162774465431769</v>
      </c>
      <c r="C2268" s="3">
        <v>3.9738166128141225E-2</v>
      </c>
      <c r="D2268" s="1">
        <v>153605.28638776724</v>
      </c>
      <c r="E2268" s="1">
        <v>4829413</v>
      </c>
      <c r="F2268" s="1">
        <v>22131909</v>
      </c>
      <c r="G2268" s="16">
        <v>67664.720019732456</v>
      </c>
      <c r="H2268">
        <v>252.19</v>
      </c>
      <c r="I2268" s="1">
        <v>669.04</v>
      </c>
      <c r="J2268" s="16">
        <v>221270.00640749969</v>
      </c>
      <c r="K2268" s="5">
        <v>0.22787726507804726</v>
      </c>
      <c r="L2268" s="10">
        <v>987873.8861</v>
      </c>
    </row>
    <row r="2269" spans="1:12" x14ac:dyDescent="0.25">
      <c r="A2269">
        <v>2268</v>
      </c>
      <c r="B2269" s="3">
        <v>0.1336380898208514</v>
      </c>
      <c r="C2269" s="3">
        <v>5.2731428956588541E-2</v>
      </c>
      <c r="D2269" s="1">
        <v>325690.95935978577</v>
      </c>
      <c r="E2269" s="1">
        <v>10819600</v>
      </c>
      <c r="F2269" s="1">
        <v>40425341</v>
      </c>
      <c r="G2269" s="16">
        <v>33213.206617386277</v>
      </c>
      <c r="H2269">
        <v>136.33000000000001</v>
      </c>
      <c r="I2269" s="1">
        <v>436.33000000000004</v>
      </c>
      <c r="J2269" s="16">
        <v>358904.16597717203</v>
      </c>
      <c r="K2269" s="5">
        <v>0.10190885784530512</v>
      </c>
      <c r="L2269" s="10">
        <v>497837.44549999997</v>
      </c>
    </row>
    <row r="2270" spans="1:12" x14ac:dyDescent="0.25">
      <c r="A2270">
        <v>2269</v>
      </c>
      <c r="B2270" s="3">
        <v>0.17998651294779405</v>
      </c>
      <c r="C2270" s="3">
        <v>3.9032167616432058E-2</v>
      </c>
      <c r="D2270" s="1">
        <v>105019.01200102952</v>
      </c>
      <c r="E2270" s="1">
        <v>4346971</v>
      </c>
      <c r="F2270" s="1">
        <v>25172095</v>
      </c>
      <c r="G2270" s="16">
        <v>25964.081959563773</v>
      </c>
      <c r="H2270">
        <v>128.5</v>
      </c>
      <c r="I2270" s="1">
        <v>377.59</v>
      </c>
      <c r="J2270" s="16">
        <v>130983.09396059329</v>
      </c>
      <c r="K2270" s="5">
        <v>0.22304027973606652</v>
      </c>
      <c r="L2270" s="10">
        <v>625656.86690000002</v>
      </c>
    </row>
    <row r="2271" spans="1:12" x14ac:dyDescent="0.25">
      <c r="A2271">
        <v>2270</v>
      </c>
      <c r="B2271" s="3">
        <v>0.20912795232827058</v>
      </c>
      <c r="C2271" s="3">
        <v>3.7126637252073158E-2</v>
      </c>
      <c r="D2271" s="1">
        <v>99630.190804828977</v>
      </c>
      <c r="E2271" s="1">
        <v>4766170</v>
      </c>
      <c r="F2271" s="1">
        <v>27249159</v>
      </c>
      <c r="G2271" s="16">
        <v>19085.174084196839</v>
      </c>
      <c r="H2271">
        <v>148.30000000000001</v>
      </c>
      <c r="I2271" s="1">
        <v>552.94000000000005</v>
      </c>
      <c r="J2271" s="16">
        <v>118715.36488902582</v>
      </c>
      <c r="K2271" s="5">
        <v>0.26516681533917824</v>
      </c>
      <c r="L2271" s="10">
        <v>749747.96499999997</v>
      </c>
    </row>
    <row r="2272" spans="1:12" x14ac:dyDescent="0.25">
      <c r="A2272">
        <v>2271</v>
      </c>
      <c r="B2272" s="3">
        <v>0.10455171485513513</v>
      </c>
      <c r="C2272" s="3">
        <v>7.6008865788926558E-2</v>
      </c>
      <c r="D2272" s="1">
        <v>263716.59901702794</v>
      </c>
      <c r="E2272" s="1">
        <v>6874148</v>
      </c>
      <c r="F2272" s="1">
        <v>19646551</v>
      </c>
      <c r="G2272" s="16">
        <v>31052.016497236364</v>
      </c>
      <c r="H2272">
        <v>101.16</v>
      </c>
      <c r="I2272" s="1">
        <v>488.9799999999999</v>
      </c>
      <c r="J2272" s="16">
        <v>294768.61551426433</v>
      </c>
      <c r="K2272" s="5">
        <v>0.17415230120768485</v>
      </c>
      <c r="L2272" s="10">
        <v>412127.85269999999</v>
      </c>
    </row>
    <row r="2273" spans="1:12" x14ac:dyDescent="0.25">
      <c r="A2273">
        <v>2272</v>
      </c>
      <c r="B2273" s="3">
        <v>0.10302635381675654</v>
      </c>
      <c r="C2273" s="3">
        <v>4.7869261667381313E-2</v>
      </c>
      <c r="D2273" s="1">
        <v>282861.81066983129</v>
      </c>
      <c r="E2273" s="1">
        <v>8178217</v>
      </c>
      <c r="F2273" s="1">
        <v>37075034</v>
      </c>
      <c r="G2273" s="16">
        <v>22458.809934645604</v>
      </c>
      <c r="H2273">
        <v>64.819999999999993</v>
      </c>
      <c r="I2273" s="1">
        <v>305.40999999999997</v>
      </c>
      <c r="J2273" s="16">
        <v>305320.62060447689</v>
      </c>
      <c r="K2273" s="5">
        <v>0.15964442709664439</v>
      </c>
      <c r="L2273" s="10">
        <v>817401.70440000005</v>
      </c>
    </row>
    <row r="2274" spans="1:12" x14ac:dyDescent="0.25">
      <c r="A2274">
        <v>2273</v>
      </c>
      <c r="B2274" s="3">
        <v>0.21960774906063485</v>
      </c>
      <c r="C2274" s="3">
        <v>6.1321607907396075E-2</v>
      </c>
      <c r="D2274" s="1">
        <v>190548.50432257779</v>
      </c>
      <c r="E2274" s="1">
        <v>12320937</v>
      </c>
      <c r="F2274" s="1">
        <v>44950654</v>
      </c>
      <c r="G2274" s="16">
        <v>16900.328843825766</v>
      </c>
      <c r="H2274">
        <v>112.61</v>
      </c>
      <c r="I2274" s="1">
        <v>374.73</v>
      </c>
      <c r="J2274" s="16">
        <v>207448.83316640355</v>
      </c>
      <c r="K2274" s="5">
        <v>0.16014351028462653</v>
      </c>
      <c r="L2274" s="10">
        <v>385994.29070000001</v>
      </c>
    </row>
    <row r="2275" spans="1:12" x14ac:dyDescent="0.25">
      <c r="A2275">
        <v>2274</v>
      </c>
      <c r="B2275" s="3">
        <v>0.17041252066831014</v>
      </c>
      <c r="C2275" s="3">
        <v>4.594323791409459E-2</v>
      </c>
      <c r="D2275" s="1">
        <v>281145.19133379526</v>
      </c>
      <c r="E2275" s="1">
        <v>13391306</v>
      </c>
      <c r="F2275" s="1">
        <v>50171271</v>
      </c>
      <c r="G2275" s="16">
        <v>49231.151191347068</v>
      </c>
      <c r="H2275">
        <v>330.42</v>
      </c>
      <c r="I2275" s="1">
        <v>943.92000000000007</v>
      </c>
      <c r="J2275" s="16">
        <v>330376.3425251423</v>
      </c>
      <c r="K2275" s="5">
        <v>9.2026221395933819E-2</v>
      </c>
      <c r="L2275" s="10">
        <v>506781.7954</v>
      </c>
    </row>
    <row r="2276" spans="1:12" x14ac:dyDescent="0.25">
      <c r="A2276">
        <v>2275</v>
      </c>
      <c r="B2276" s="3">
        <v>0.19710664751573759</v>
      </c>
      <c r="C2276" s="3">
        <v>5.1100880054852374E-2</v>
      </c>
      <c r="D2276" s="1">
        <v>195351.54402883793</v>
      </c>
      <c r="E2276" s="1">
        <v>8798083</v>
      </c>
      <c r="F2276" s="1">
        <v>28272209</v>
      </c>
      <c r="G2276" s="16">
        <v>17999.275103729891</v>
      </c>
      <c r="H2276">
        <v>125.9</v>
      </c>
      <c r="I2276" s="1">
        <v>408.77</v>
      </c>
      <c r="J2276" s="16">
        <v>213350.81913256782</v>
      </c>
      <c r="K2276" s="5">
        <v>0.15676386799733266</v>
      </c>
      <c r="L2276" s="10">
        <v>491388.00030000001</v>
      </c>
    </row>
    <row r="2277" spans="1:12" x14ac:dyDescent="0.25">
      <c r="A2277">
        <v>2276</v>
      </c>
      <c r="B2277" s="3">
        <v>0.11168814151828615</v>
      </c>
      <c r="C2277" s="3">
        <v>5.8839986149700513E-2</v>
      </c>
      <c r="D2277" s="1">
        <v>578817.62456226302</v>
      </c>
      <c r="E2277" s="1">
        <v>19584723</v>
      </c>
      <c r="F2277" s="1">
        <v>66033849</v>
      </c>
      <c r="G2277" s="16">
        <v>33159.427174171382</v>
      </c>
      <c r="H2277">
        <v>101.57</v>
      </c>
      <c r="I2277" s="1">
        <v>331.9</v>
      </c>
      <c r="J2277" s="16">
        <v>611977.05173643446</v>
      </c>
      <c r="K2277" s="5">
        <v>5.0166607911066981E-2</v>
      </c>
      <c r="L2277" s="10">
        <v>400296.9914</v>
      </c>
    </row>
    <row r="2278" spans="1:12" x14ac:dyDescent="0.25">
      <c r="A2278">
        <v>2277</v>
      </c>
      <c r="B2278" s="3">
        <v>0.21249341836446289</v>
      </c>
      <c r="C2278" s="3">
        <v>3.7377322612399753E-2</v>
      </c>
      <c r="D2278" s="1">
        <v>166104.79489388838</v>
      </c>
      <c r="E2278" s="1">
        <v>8082930</v>
      </c>
      <c r="F2278" s="1">
        <v>25722981</v>
      </c>
      <c r="G2278" s="16">
        <v>28216.025530544353</v>
      </c>
      <c r="H2278">
        <v>226.15</v>
      </c>
      <c r="I2278" s="1">
        <v>698.15</v>
      </c>
      <c r="J2278" s="16">
        <v>194320.82042443272</v>
      </c>
      <c r="K2278" s="5">
        <v>0.1960400329195035</v>
      </c>
      <c r="L2278" s="10">
        <v>796609.12679999997</v>
      </c>
    </row>
    <row r="2279" spans="1:12" x14ac:dyDescent="0.25">
      <c r="A2279">
        <v>2278</v>
      </c>
      <c r="B2279" s="3">
        <v>0.11467588055408579</v>
      </c>
      <c r="C2279" s="3">
        <v>7.2444960488748725E-2</v>
      </c>
      <c r="D2279" s="1">
        <v>172803.32815737347</v>
      </c>
      <c r="E2279" s="1">
        <v>5264360</v>
      </c>
      <c r="F2279" s="1">
        <v>23985319</v>
      </c>
      <c r="G2279" s="16">
        <v>15367.280453955967</v>
      </c>
      <c r="H2279">
        <v>42.54</v>
      </c>
      <c r="I2279" s="1">
        <v>188.96</v>
      </c>
      <c r="J2279" s="16">
        <v>188170.60861132943</v>
      </c>
      <c r="K2279" s="5">
        <v>3.9513517528744616E-2</v>
      </c>
      <c r="L2279" s="10">
        <v>68721.790500000003</v>
      </c>
    </row>
    <row r="2280" spans="1:12" x14ac:dyDescent="0.25">
      <c r="A2280">
        <v>2279</v>
      </c>
      <c r="B2280" s="3">
        <v>0.22623686965951006</v>
      </c>
      <c r="C2280" s="3">
        <v>5.708046969400922E-2</v>
      </c>
      <c r="D2280" s="1">
        <v>75207.405764382856</v>
      </c>
      <c r="E2280" s="1">
        <v>3038359</v>
      </c>
      <c r="F2280" s="1">
        <v>20762984</v>
      </c>
      <c r="G2280" s="16">
        <v>16561.251300679651</v>
      </c>
      <c r="H2280">
        <v>150.01</v>
      </c>
      <c r="I2280" s="1">
        <v>538.84999999999991</v>
      </c>
      <c r="J2280" s="16">
        <v>91768.657065062507</v>
      </c>
      <c r="K2280" s="5">
        <v>-3.5839767421624882E-2</v>
      </c>
      <c r="L2280" s="10">
        <v>-37191.755499999999</v>
      </c>
    </row>
    <row r="2281" spans="1:12" x14ac:dyDescent="0.25">
      <c r="A2281">
        <v>2280</v>
      </c>
      <c r="B2281" s="3">
        <v>0.21654829327453312</v>
      </c>
      <c r="C2281" s="3">
        <v>6.2155457086843321E-2</v>
      </c>
      <c r="D2281" s="1">
        <v>72505.937007331289</v>
      </c>
      <c r="E2281" s="1">
        <v>2821889</v>
      </c>
      <c r="F2281" s="1">
        <v>17957324</v>
      </c>
      <c r="G2281" s="16">
        <v>35513.658527424821</v>
      </c>
      <c r="H2281">
        <v>376.63</v>
      </c>
      <c r="I2281" s="1">
        <v>944.75</v>
      </c>
      <c r="J2281" s="16">
        <v>108019.59553475611</v>
      </c>
      <c r="K2281" s="5">
        <v>5.3165685383865895E-2</v>
      </c>
      <c r="L2281" s="10">
        <v>76554.044800000003</v>
      </c>
    </row>
    <row r="2282" spans="1:12" x14ac:dyDescent="0.25">
      <c r="A2282">
        <v>2281</v>
      </c>
      <c r="B2282" s="3">
        <v>0.15454026399194912</v>
      </c>
      <c r="C2282" s="3">
        <v>2.6426628467151065E-2</v>
      </c>
      <c r="D2282" s="1">
        <v>130462.08547555174</v>
      </c>
      <c r="E2282" s="1">
        <v>4778757</v>
      </c>
      <c r="F2282" s="1">
        <v>33667557</v>
      </c>
      <c r="G2282" s="16">
        <v>18454.278355151349</v>
      </c>
      <c r="H2282">
        <v>76.03</v>
      </c>
      <c r="I2282" s="1">
        <v>240.56</v>
      </c>
      <c r="J2282" s="16">
        <v>148916.36383070308</v>
      </c>
      <c r="K2282" s="5">
        <v>0.11865450503272527</v>
      </c>
      <c r="L2282" s="10">
        <v>601081.19039999996</v>
      </c>
    </row>
    <row r="2283" spans="1:12" x14ac:dyDescent="0.25">
      <c r="A2283">
        <v>2282</v>
      </c>
      <c r="B2283" s="3">
        <v>0.21220559752064189</v>
      </c>
      <c r="C2283" s="3">
        <v>6.1152308955270421E-2</v>
      </c>
      <c r="D2283" s="1">
        <v>317233.15659851459</v>
      </c>
      <c r="E2283" s="1">
        <v>19566676</v>
      </c>
      <c r="F2283" s="1">
        <v>68174574</v>
      </c>
      <c r="G2283" s="16">
        <v>29289.338352429346</v>
      </c>
      <c r="H2283">
        <v>296.85000000000002</v>
      </c>
      <c r="I2283" s="1">
        <v>827.23</v>
      </c>
      <c r="J2283" s="16">
        <v>346522.49495094392</v>
      </c>
      <c r="K2283" s="5">
        <v>0.16642864288243001</v>
      </c>
      <c r="L2283" s="10">
        <v>671071.13119999995</v>
      </c>
    </row>
    <row r="2284" spans="1:12" x14ac:dyDescent="0.25">
      <c r="A2284">
        <v>2283</v>
      </c>
      <c r="B2284" s="3">
        <v>0.24968022514019433</v>
      </c>
      <c r="C2284" s="3">
        <v>3.8596180717307735E-2</v>
      </c>
      <c r="D2284" s="1">
        <v>111822.98820602421</v>
      </c>
      <c r="E2284" s="1">
        <v>6603112</v>
      </c>
      <c r="F2284" s="1">
        <v>29646344</v>
      </c>
      <c r="G2284" s="16">
        <v>20992.653970909196</v>
      </c>
      <c r="H2284">
        <v>236.08</v>
      </c>
      <c r="I2284" s="1">
        <v>626.83000000000004</v>
      </c>
      <c r="J2284" s="16">
        <v>132815.64217693341</v>
      </c>
      <c r="K2284" s="5">
        <v>0.11282205165417621</v>
      </c>
      <c r="L2284" s="10">
        <v>327893.67700000003</v>
      </c>
    </row>
    <row r="2285" spans="1:12" x14ac:dyDescent="0.25">
      <c r="A2285">
        <v>2284</v>
      </c>
      <c r="B2285" s="3">
        <v>0.12100260620337033</v>
      </c>
      <c r="C2285" s="3">
        <v>6.5885758758095075E-2</v>
      </c>
      <c r="D2285" s="1">
        <v>156454.31010066124</v>
      </c>
      <c r="E2285" s="1">
        <v>4905017</v>
      </c>
      <c r="F2285" s="1">
        <v>22543180</v>
      </c>
      <c r="G2285" s="16">
        <v>35272.435987993798</v>
      </c>
      <c r="H2285">
        <v>114.83</v>
      </c>
      <c r="I2285" s="1">
        <v>318.84999999999997</v>
      </c>
      <c r="J2285" s="16">
        <v>191726.74608865503</v>
      </c>
      <c r="K2285" s="5">
        <v>9.7463198188132719E-2</v>
      </c>
      <c r="L2285" s="10">
        <v>213040.8327</v>
      </c>
    </row>
    <row r="2286" spans="1:12" x14ac:dyDescent="0.25">
      <c r="A2286">
        <v>2285</v>
      </c>
      <c r="B2286" s="3">
        <v>0.14562915056414291</v>
      </c>
      <c r="C2286" s="3">
        <v>6.4898903452641682E-2</v>
      </c>
      <c r="D2286" s="1">
        <v>48031.595922204411</v>
      </c>
      <c r="E2286" s="1">
        <v>1231507</v>
      </c>
      <c r="F2286" s="1">
        <v>10208327</v>
      </c>
      <c r="G2286" s="16">
        <v>17908.557236361481</v>
      </c>
      <c r="H2286">
        <v>69.290000000000006</v>
      </c>
      <c r="I2286" s="1">
        <v>235.32</v>
      </c>
      <c r="J2286" s="16">
        <v>65940.153158565896</v>
      </c>
      <c r="K2286" s="5">
        <v>0.11472422584286328</v>
      </c>
      <c r="L2286" s="10">
        <v>92041.765100000004</v>
      </c>
    </row>
    <row r="2287" spans="1:12" x14ac:dyDescent="0.25">
      <c r="A2287">
        <v>2286</v>
      </c>
      <c r="B2287" s="3">
        <v>0.13482032594050669</v>
      </c>
      <c r="C2287" s="3">
        <v>3.0709120762504351E-2</v>
      </c>
      <c r="D2287" s="1">
        <v>38702.487684202461</v>
      </c>
      <c r="E2287" s="1">
        <v>967674</v>
      </c>
      <c r="F2287" s="1">
        <v>10616018</v>
      </c>
      <c r="G2287" s="16">
        <v>24883.030520322242</v>
      </c>
      <c r="H2287">
        <v>89.12</v>
      </c>
      <c r="I2287" s="1">
        <v>295.10000000000002</v>
      </c>
      <c r="J2287" s="16">
        <v>63585.518204524706</v>
      </c>
      <c r="K2287" s="5">
        <v>1.8781240019000556E-2</v>
      </c>
      <c r="L2287" s="10">
        <v>45955.818700000003</v>
      </c>
    </row>
    <row r="2288" spans="1:12" x14ac:dyDescent="0.25">
      <c r="A2288">
        <v>2287</v>
      </c>
      <c r="B2288" s="3">
        <v>0.17371957968862506</v>
      </c>
      <c r="C2288" s="3">
        <v>5.1477796966944267E-2</v>
      </c>
      <c r="D2288" s="1">
        <v>30263.200840485551</v>
      </c>
      <c r="E2288" s="1">
        <v>1004004</v>
      </c>
      <c r="F2288" s="1">
        <v>12269946</v>
      </c>
      <c r="G2288" s="16">
        <v>36145.277116000892</v>
      </c>
      <c r="H2288">
        <v>206.96</v>
      </c>
      <c r="I2288" s="1">
        <v>544.34</v>
      </c>
      <c r="J2288" s="16">
        <v>66408.477956486444</v>
      </c>
      <c r="K2288" s="5">
        <v>2.6289594168174078E-2</v>
      </c>
      <c r="L2288" s="10">
        <v>50610.389199999998</v>
      </c>
    </row>
    <row r="2289" spans="1:12" x14ac:dyDescent="0.25">
      <c r="A2289">
        <v>2288</v>
      </c>
      <c r="B2289" s="3">
        <v>0.14817050288913988</v>
      </c>
      <c r="C2289" s="3">
        <v>3.9641309566327228E-2</v>
      </c>
      <c r="D2289" s="1">
        <v>97437.439970854321</v>
      </c>
      <c r="E2289" s="1">
        <v>2950325</v>
      </c>
      <c r="F2289" s="1">
        <v>14790955</v>
      </c>
      <c r="G2289" s="16">
        <v>38096.380501160376</v>
      </c>
      <c r="H2289">
        <v>176.24</v>
      </c>
      <c r="I2289" s="1">
        <v>530.67000000000007</v>
      </c>
      <c r="J2289" s="16">
        <v>135533.82047201469</v>
      </c>
      <c r="K2289" s="5">
        <v>0.16169747313362845</v>
      </c>
      <c r="L2289" s="10">
        <v>425715.75199999998</v>
      </c>
    </row>
    <row r="2290" spans="1:12" x14ac:dyDescent="0.25">
      <c r="A2290">
        <v>2289</v>
      </c>
      <c r="B2290" s="3">
        <v>0.17070049668621329</v>
      </c>
      <c r="C2290" s="3">
        <v>2.9841019384945343E-2</v>
      </c>
      <c r="D2290" s="1">
        <v>388551.5657518137</v>
      </c>
      <c r="E2290" s="1">
        <v>18539353</v>
      </c>
      <c r="F2290" s="1">
        <v>71535560</v>
      </c>
      <c r="G2290" s="16">
        <v>32139.731303925451</v>
      </c>
      <c r="H2290">
        <v>179.19</v>
      </c>
      <c r="I2290" s="1">
        <v>581.89</v>
      </c>
      <c r="J2290" s="16">
        <v>420691.29705573915</v>
      </c>
      <c r="K2290" s="5">
        <v>2.8187157038793084E-2</v>
      </c>
      <c r="L2290" s="10">
        <v>404226.64409999998</v>
      </c>
    </row>
    <row r="2291" spans="1:12" x14ac:dyDescent="0.25">
      <c r="A2291">
        <v>2290</v>
      </c>
      <c r="B2291" s="3">
        <v>0.14997350253188074</v>
      </c>
      <c r="C2291" s="3">
        <v>7.0632555707186323E-2</v>
      </c>
      <c r="D2291" s="1">
        <v>64614.717938321017</v>
      </c>
      <c r="E2291" s="1">
        <v>1968963</v>
      </c>
      <c r="F2291" s="1">
        <v>11605457</v>
      </c>
      <c r="G2291" s="16">
        <v>35444.290516142122</v>
      </c>
      <c r="H2291">
        <v>166.3</v>
      </c>
      <c r="I2291" s="1">
        <v>606.99</v>
      </c>
      <c r="J2291" s="16">
        <v>100059.00845446314</v>
      </c>
      <c r="K2291" s="5">
        <v>0.18396195759852724</v>
      </c>
      <c r="L2291" s="10">
        <v>178640.3762</v>
      </c>
    </row>
    <row r="2292" spans="1:12" x14ac:dyDescent="0.25">
      <c r="A2292">
        <v>2291</v>
      </c>
      <c r="B2292" s="3">
        <v>0.19822275488358482</v>
      </c>
      <c r="C2292" s="3">
        <v>3.2670749509793602E-2</v>
      </c>
      <c r="D2292" s="1">
        <v>192923.01583978065</v>
      </c>
      <c r="E2292" s="1">
        <v>10897286</v>
      </c>
      <c r="F2292" s="1">
        <v>44344816</v>
      </c>
      <c r="G2292" s="16">
        <v>13271.753444833415</v>
      </c>
      <c r="H2292">
        <v>93.6</v>
      </c>
      <c r="I2292" s="1">
        <v>398.31000000000006</v>
      </c>
      <c r="J2292" s="16">
        <v>206194.76928461407</v>
      </c>
      <c r="K2292" s="5">
        <v>-6.8686504290476152E-2</v>
      </c>
      <c r="L2292" s="10">
        <v>-306702.79019999999</v>
      </c>
    </row>
    <row r="2293" spans="1:12" x14ac:dyDescent="0.25">
      <c r="A2293">
        <v>2292</v>
      </c>
      <c r="B2293" s="3">
        <v>0.11649400617508679</v>
      </c>
      <c r="C2293" s="3">
        <v>5.8775490543438683E-2</v>
      </c>
      <c r="D2293" s="1">
        <v>254917.02079787853</v>
      </c>
      <c r="E2293" s="1">
        <v>7830035</v>
      </c>
      <c r="F2293" s="1">
        <v>22657908</v>
      </c>
      <c r="G2293" s="16">
        <v>128087.48333796997</v>
      </c>
      <c r="H2293">
        <v>518.83000000000004</v>
      </c>
      <c r="I2293" s="1">
        <v>1190.0500000000002</v>
      </c>
      <c r="J2293" s="16">
        <v>383004.50413584849</v>
      </c>
      <c r="K2293" s="5">
        <v>9.9665578259978668E-2</v>
      </c>
      <c r="L2293" s="10">
        <v>465873.79590000003</v>
      </c>
    </row>
    <row r="2294" spans="1:12" x14ac:dyDescent="0.25">
      <c r="A2294">
        <v>2293</v>
      </c>
      <c r="B2294" s="3">
        <v>0.24708008343389859</v>
      </c>
      <c r="C2294" s="3">
        <v>2.5888139338903386E-2</v>
      </c>
      <c r="D2294" s="1">
        <v>124005.72319114633</v>
      </c>
      <c r="E2294" s="1">
        <v>7221856</v>
      </c>
      <c r="F2294" s="1">
        <v>27812366</v>
      </c>
      <c r="G2294" s="16">
        <v>17566.898279911657</v>
      </c>
      <c r="H2294">
        <v>192.54</v>
      </c>
      <c r="I2294" s="1">
        <v>465.21000000000004</v>
      </c>
      <c r="J2294" s="16">
        <v>141572.621471058</v>
      </c>
      <c r="K2294" s="5">
        <v>8.2778621954562981E-2</v>
      </c>
      <c r="L2294" s="10">
        <v>396174.36690000002</v>
      </c>
    </row>
    <row r="2295" spans="1:12" x14ac:dyDescent="0.25">
      <c r="A2295">
        <v>2294</v>
      </c>
      <c r="B2295" s="3">
        <v>0.23402924463699851</v>
      </c>
      <c r="C2295" s="3">
        <v>4.4490917920618836E-2</v>
      </c>
      <c r="D2295" s="1">
        <v>238249.84902267417</v>
      </c>
      <c r="E2295" s="1">
        <v>16911209</v>
      </c>
      <c r="F2295" s="1">
        <v>58694468</v>
      </c>
      <c r="G2295" s="16">
        <v>50104.889087848111</v>
      </c>
      <c r="H2295">
        <v>637.02</v>
      </c>
      <c r="I2295" s="1">
        <v>1446.33</v>
      </c>
      <c r="J2295" s="16">
        <v>288354.73811052227</v>
      </c>
      <c r="K2295" s="5">
        <v>8.533943516288911E-2</v>
      </c>
      <c r="L2295" s="10">
        <v>404571.14270000003</v>
      </c>
    </row>
    <row r="2296" spans="1:12" x14ac:dyDescent="0.25">
      <c r="A2296">
        <v>2295</v>
      </c>
      <c r="B2296" s="3">
        <v>0.2335898791452771</v>
      </c>
      <c r="C2296" s="3">
        <v>7.1839026208527945E-2</v>
      </c>
      <c r="D2296" s="1">
        <v>91336.53446444367</v>
      </c>
      <c r="E2296" s="1">
        <v>4954526</v>
      </c>
      <c r="F2296" s="1">
        <v>37949984</v>
      </c>
      <c r="G2296" s="16">
        <v>7219.1002718180298</v>
      </c>
      <c r="H2296">
        <v>53.65</v>
      </c>
      <c r="I2296" s="1">
        <v>217.48999999999998</v>
      </c>
      <c r="J2296" s="16">
        <v>98555.634736261694</v>
      </c>
      <c r="K2296" s="5">
        <v>0.18338985122851714</v>
      </c>
      <c r="L2296" s="10">
        <v>213451.99249999999</v>
      </c>
    </row>
    <row r="2297" spans="1:12" x14ac:dyDescent="0.25">
      <c r="A2297">
        <v>2296</v>
      </c>
      <c r="B2297" s="3">
        <v>0.15762795350895509</v>
      </c>
      <c r="C2297" s="3">
        <v>6.60421894224935E-2</v>
      </c>
      <c r="D2297" s="1">
        <v>324258.43730657559</v>
      </c>
      <c r="E2297" s="1">
        <v>12052539</v>
      </c>
      <c r="F2297" s="1">
        <v>40460482</v>
      </c>
      <c r="G2297" s="16">
        <v>10189.232936238737</v>
      </c>
      <c r="H2297">
        <v>42.86</v>
      </c>
      <c r="I2297" s="1">
        <v>210.32</v>
      </c>
      <c r="J2297" s="16">
        <v>334447.67024281435</v>
      </c>
      <c r="K2297" s="5">
        <v>0.11054813506970446</v>
      </c>
      <c r="L2297" s="10">
        <v>383044.0196</v>
      </c>
    </row>
    <row r="2298" spans="1:12" x14ac:dyDescent="0.25">
      <c r="A2298">
        <v>2297</v>
      </c>
      <c r="B2298" s="3">
        <v>0.21376163254520361</v>
      </c>
      <c r="C2298" s="3">
        <v>3.6583923306559407E-2</v>
      </c>
      <c r="D2298" s="1">
        <v>123744.99991369096</v>
      </c>
      <c r="E2298" s="1">
        <v>4765056</v>
      </c>
      <c r="F2298" s="1">
        <v>20657564</v>
      </c>
      <c r="G2298" s="16">
        <v>30996.496284805595</v>
      </c>
      <c r="H2298">
        <v>319.02</v>
      </c>
      <c r="I2298" s="1">
        <v>938.43000000000006</v>
      </c>
      <c r="J2298" s="16">
        <v>154741.49619849655</v>
      </c>
      <c r="K2298" s="5">
        <v>9.1113865669728747E-2</v>
      </c>
      <c r="L2298" s="10">
        <v>332776.89539999998</v>
      </c>
    </row>
    <row r="2299" spans="1:12" x14ac:dyDescent="0.25">
      <c r="A2299">
        <v>2298</v>
      </c>
      <c r="B2299" s="3">
        <v>0.21050507001374016</v>
      </c>
      <c r="C2299" s="3">
        <v>5.8114807529778018E-2</v>
      </c>
      <c r="D2299" s="1">
        <v>183311.92278350136</v>
      </c>
      <c r="E2299" s="1">
        <v>8830726</v>
      </c>
      <c r="F2299" s="1">
        <v>35686202</v>
      </c>
      <c r="G2299" s="16">
        <v>32024.041864954146</v>
      </c>
      <c r="H2299">
        <v>319.02999999999997</v>
      </c>
      <c r="I2299" s="1">
        <v>963.97</v>
      </c>
      <c r="J2299" s="16">
        <v>215335.9646484555</v>
      </c>
      <c r="K2299" s="5">
        <v>-3.8269593394409315E-2</v>
      </c>
      <c r="L2299" s="10">
        <v>-77075.715599999996</v>
      </c>
    </row>
    <row r="2300" spans="1:12" x14ac:dyDescent="0.25">
      <c r="A2300">
        <v>2299</v>
      </c>
      <c r="B2300" s="3">
        <v>0.17882078636793722</v>
      </c>
      <c r="C2300" s="3">
        <v>3.2455201471278068E-2</v>
      </c>
      <c r="D2300" s="1">
        <v>207972.77127691041</v>
      </c>
      <c r="E2300" s="1">
        <v>10423640</v>
      </c>
      <c r="F2300" s="1">
        <v>47136202</v>
      </c>
      <c r="G2300" s="16">
        <v>39612.952286210952</v>
      </c>
      <c r="H2300">
        <v>236.64</v>
      </c>
      <c r="I2300" s="1">
        <v>731.45</v>
      </c>
      <c r="J2300" s="16">
        <v>247585.72356312137</v>
      </c>
      <c r="K2300" s="5">
        <v>8.7515947754691625E-2</v>
      </c>
      <c r="L2300" s="10">
        <v>541514.06790000002</v>
      </c>
    </row>
    <row r="2301" spans="1:12" x14ac:dyDescent="0.25">
      <c r="A2301">
        <v>2300</v>
      </c>
      <c r="B2301" s="3">
        <v>0.13212574590179138</v>
      </c>
      <c r="C2301" s="3">
        <v>5.7008457900076109E-2</v>
      </c>
      <c r="D2301" s="1">
        <v>286695.25464902178</v>
      </c>
      <c r="E2301" s="1">
        <v>9457917</v>
      </c>
      <c r="F2301" s="1">
        <v>38707198</v>
      </c>
      <c r="G2301" s="16">
        <v>38590.720496016031</v>
      </c>
      <c r="H2301">
        <v>156.47999999999999</v>
      </c>
      <c r="I2301" s="1">
        <v>566.94000000000005</v>
      </c>
      <c r="J2301" s="16">
        <v>325285.97514503781</v>
      </c>
      <c r="K2301" s="5">
        <v>5.5532705819150527E-2</v>
      </c>
      <c r="L2301" s="10">
        <v>270437.62819999998</v>
      </c>
    </row>
    <row r="2302" spans="1:12" x14ac:dyDescent="0.25">
      <c r="A2302">
        <v>2301</v>
      </c>
      <c r="B2302" s="3">
        <v>0.20285804550951075</v>
      </c>
      <c r="C2302" s="3">
        <v>4.1387313387159959E-2</v>
      </c>
      <c r="D2302" s="1">
        <v>133353.84798863158</v>
      </c>
      <c r="E2302" s="1">
        <v>6181098</v>
      </c>
      <c r="F2302" s="1">
        <v>25435718</v>
      </c>
      <c r="G2302" s="16">
        <v>13745.626143421197</v>
      </c>
      <c r="H2302">
        <v>101.09</v>
      </c>
      <c r="I2302" s="1">
        <v>395.27</v>
      </c>
      <c r="J2302" s="16">
        <v>147099.47413205277</v>
      </c>
      <c r="K2302" s="5">
        <v>-2.530099244976719E-2</v>
      </c>
      <c r="L2302" s="10">
        <v>-64494.208899999998</v>
      </c>
    </row>
    <row r="2303" spans="1:12" x14ac:dyDescent="0.25">
      <c r="A2303">
        <v>2302</v>
      </c>
      <c r="B2303" s="3">
        <v>0.18810228210757157</v>
      </c>
      <c r="C2303" s="3">
        <v>7.5769505408286017E-2</v>
      </c>
      <c r="D2303" s="1">
        <v>117671.03620209798</v>
      </c>
      <c r="E2303" s="1">
        <v>4114985</v>
      </c>
      <c r="F2303" s="1">
        <v>18250024</v>
      </c>
      <c r="G2303" s="16">
        <v>27401.387770384335</v>
      </c>
      <c r="H2303">
        <v>177.19</v>
      </c>
      <c r="I2303" s="1">
        <v>533.63</v>
      </c>
      <c r="J2303" s="16">
        <v>145072.42397248233</v>
      </c>
      <c r="K2303" s="5">
        <v>5.8247990063911709E-2</v>
      </c>
      <c r="L2303" s="10">
        <v>77331.403699999995</v>
      </c>
    </row>
    <row r="2304" spans="1:12" x14ac:dyDescent="0.25">
      <c r="A2304">
        <v>2303</v>
      </c>
      <c r="B2304" s="3">
        <v>0.22852018511498451</v>
      </c>
      <c r="C2304" s="3">
        <v>4.1279634016359604E-2</v>
      </c>
      <c r="D2304" s="1">
        <v>198513.78680205019</v>
      </c>
      <c r="E2304" s="1">
        <v>10488060</v>
      </c>
      <c r="F2304" s="1">
        <v>36773317</v>
      </c>
      <c r="G2304" s="16">
        <v>27785.433533954256</v>
      </c>
      <c r="H2304">
        <v>257.49</v>
      </c>
      <c r="I2304" s="1">
        <v>698.23</v>
      </c>
      <c r="J2304" s="16">
        <v>226299.22033600445</v>
      </c>
      <c r="K2304" s="5">
        <v>-6.9169672515015462E-2</v>
      </c>
      <c r="L2304" s="10">
        <v>-284998.03169999999</v>
      </c>
    </row>
    <row r="2305" spans="1:12" x14ac:dyDescent="0.25">
      <c r="A2305">
        <v>2304</v>
      </c>
      <c r="B2305" s="3">
        <v>0.10983142072998081</v>
      </c>
      <c r="C2305" s="3">
        <v>7.6911555843195256E-2</v>
      </c>
      <c r="D2305" s="1">
        <v>309896.60644850705</v>
      </c>
      <c r="E2305" s="1">
        <v>9236982</v>
      </c>
      <c r="F2305" s="1">
        <v>38473678</v>
      </c>
      <c r="G2305" s="16">
        <v>23589.170459227495</v>
      </c>
      <c r="H2305">
        <v>71.25</v>
      </c>
      <c r="I2305" s="1">
        <v>265.93</v>
      </c>
      <c r="J2305" s="16">
        <v>333485.77690773457</v>
      </c>
      <c r="K2305" s="5">
        <v>8.7798030214613826E-2</v>
      </c>
      <c r="L2305" s="10">
        <v>236762.32740000001</v>
      </c>
    </row>
    <row r="2306" spans="1:12" x14ac:dyDescent="0.25">
      <c r="A2306">
        <v>2305</v>
      </c>
      <c r="B2306" s="3">
        <v>0.24247023095207612</v>
      </c>
      <c r="C2306" s="3">
        <v>3.2370573992702358E-2</v>
      </c>
      <c r="D2306" s="1">
        <v>53483.12422537036</v>
      </c>
      <c r="E2306" s="1">
        <v>2302612</v>
      </c>
      <c r="F2306" s="1">
        <v>13687755</v>
      </c>
      <c r="G2306" s="16">
        <v>23895.110696755648</v>
      </c>
      <c r="H2306">
        <v>251.29</v>
      </c>
      <c r="I2306" s="1">
        <v>676.61</v>
      </c>
      <c r="J2306" s="16">
        <v>77378.234922126008</v>
      </c>
      <c r="K2306" s="5">
        <v>0.1618711201855175</v>
      </c>
      <c r="L2306" s="10">
        <v>326837.20010000002</v>
      </c>
    </row>
    <row r="2307" spans="1:12" x14ac:dyDescent="0.25">
      <c r="A2307">
        <v>2306</v>
      </c>
      <c r="B2307" s="3">
        <v>0.13968130939465606</v>
      </c>
      <c r="C2307" s="3">
        <v>6.2235405096180391E-2</v>
      </c>
      <c r="D2307" s="1">
        <v>194250.90128326952</v>
      </c>
      <c r="E2307" s="1">
        <v>6636339</v>
      </c>
      <c r="F2307" s="1">
        <v>25670337</v>
      </c>
      <c r="G2307" s="16">
        <v>40383.904533676228</v>
      </c>
      <c r="H2307">
        <v>149.80000000000001</v>
      </c>
      <c r="I2307" s="1">
        <v>357.96000000000004</v>
      </c>
      <c r="J2307" s="16">
        <v>234634.80581694574</v>
      </c>
      <c r="K2307" s="5">
        <v>-2.9909534116034552E-2</v>
      </c>
      <c r="L2307" s="10">
        <v>-59703.417399999998</v>
      </c>
    </row>
    <row r="2308" spans="1:12" x14ac:dyDescent="0.25">
      <c r="A2308">
        <v>2307</v>
      </c>
      <c r="B2308" s="3">
        <v>0.12546518587920466</v>
      </c>
      <c r="C2308" s="3">
        <v>4.3062596357669888E-2</v>
      </c>
      <c r="D2308" s="1">
        <v>39330.962833081132</v>
      </c>
      <c r="E2308" s="1">
        <v>962462</v>
      </c>
      <c r="F2308" s="1">
        <v>10641817</v>
      </c>
      <c r="G2308" s="16">
        <v>41657.964623209416</v>
      </c>
      <c r="H2308">
        <v>160.43</v>
      </c>
      <c r="I2308" s="1">
        <v>431.99</v>
      </c>
      <c r="J2308" s="16">
        <v>80988.927456290548</v>
      </c>
      <c r="K2308" s="5">
        <v>2.9964652339684303E-2</v>
      </c>
      <c r="L2308" s="10">
        <v>56152.555</v>
      </c>
    </row>
    <row r="2309" spans="1:12" x14ac:dyDescent="0.25">
      <c r="A2309">
        <v>2308</v>
      </c>
      <c r="B2309" s="3">
        <v>0.16309156196563901</v>
      </c>
      <c r="C2309" s="3">
        <v>7.1918474559806475E-2</v>
      </c>
      <c r="D2309" s="1">
        <v>83194.734158173917</v>
      </c>
      <c r="E2309" s="1">
        <v>3173853</v>
      </c>
      <c r="F2309" s="1">
        <v>23243194</v>
      </c>
      <c r="G2309" s="16">
        <v>25474.301057682136</v>
      </c>
      <c r="H2309">
        <v>111.28</v>
      </c>
      <c r="I2309" s="1">
        <v>323.35000000000002</v>
      </c>
      <c r="J2309" s="16">
        <v>108669.03521585606</v>
      </c>
      <c r="K2309" s="5">
        <v>0.10195034107122321</v>
      </c>
      <c r="L2309" s="10">
        <v>123359.37179999999</v>
      </c>
    </row>
    <row r="2310" spans="1:12" x14ac:dyDescent="0.25">
      <c r="A2310">
        <v>2309</v>
      </c>
      <c r="B2310" s="3">
        <v>0.11866653304746051</v>
      </c>
      <c r="C2310" s="3">
        <v>6.9884460264391352E-2</v>
      </c>
      <c r="D2310" s="1">
        <v>141938.92224975085</v>
      </c>
      <c r="E2310" s="1">
        <v>3880467</v>
      </c>
      <c r="F2310" s="1">
        <v>15183505</v>
      </c>
      <c r="G2310" s="16">
        <v>29023.907743835171</v>
      </c>
      <c r="H2310">
        <v>105.85</v>
      </c>
      <c r="I2310" s="1">
        <v>468.19000000000005</v>
      </c>
      <c r="J2310" s="16">
        <v>170962.82999358603</v>
      </c>
      <c r="K2310" s="5">
        <v>7.5435534699632462E-2</v>
      </c>
      <c r="L2310" s="10">
        <v>137496.53330000001</v>
      </c>
    </row>
    <row r="2311" spans="1:12" x14ac:dyDescent="0.25">
      <c r="A2311">
        <v>2310</v>
      </c>
      <c r="B2311" s="3">
        <v>0.16305597419400869</v>
      </c>
      <c r="C2311" s="3">
        <v>6.9262285959638972E-2</v>
      </c>
      <c r="D2311" s="1">
        <v>123374.72497156747</v>
      </c>
      <c r="E2311" s="1">
        <v>3938578</v>
      </c>
      <c r="F2311" s="1">
        <v>15695191</v>
      </c>
      <c r="G2311" s="16">
        <v>95233.274841688894</v>
      </c>
      <c r="H2311">
        <v>595.41</v>
      </c>
      <c r="I2311" s="1">
        <v>1453.02</v>
      </c>
      <c r="J2311" s="16">
        <v>218607.99981325638</v>
      </c>
      <c r="K2311" s="5">
        <v>5.4832595706209235E-2</v>
      </c>
      <c r="L2311" s="10">
        <v>123582.9011</v>
      </c>
    </row>
    <row r="2312" spans="1:12" x14ac:dyDescent="0.25">
      <c r="A2312">
        <v>2311</v>
      </c>
      <c r="B2312" s="3">
        <v>0.14725100666579186</v>
      </c>
      <c r="C2312" s="3">
        <v>6.0876033185498252E-2</v>
      </c>
      <c r="D2312" s="1">
        <v>238287.74716379718</v>
      </c>
      <c r="E2312" s="1">
        <v>8433727</v>
      </c>
      <c r="F2312" s="1">
        <v>26318522</v>
      </c>
      <c r="G2312" s="16">
        <v>30934.686626878243</v>
      </c>
      <c r="H2312">
        <v>141.84</v>
      </c>
      <c r="I2312" s="1">
        <v>484.5</v>
      </c>
      <c r="J2312" s="16">
        <v>269222.43379067542</v>
      </c>
      <c r="K2312" s="5">
        <v>0.26101287634994819</v>
      </c>
      <c r="L2312" s="10">
        <v>760101.02130000002</v>
      </c>
    </row>
    <row r="2313" spans="1:12" x14ac:dyDescent="0.25">
      <c r="A2313">
        <v>2312</v>
      </c>
      <c r="B2313" s="3">
        <v>0.24645640650600054</v>
      </c>
      <c r="C2313" s="3">
        <v>3.4956679303157281E-2</v>
      </c>
      <c r="D2313" s="1">
        <v>74767.632130442405</v>
      </c>
      <c r="E2313" s="1">
        <v>3270327</v>
      </c>
      <c r="F2313" s="1">
        <v>18215055</v>
      </c>
      <c r="G2313" s="16">
        <v>11509.52006578175</v>
      </c>
      <c r="H2313">
        <v>71.13</v>
      </c>
      <c r="I2313" s="1">
        <v>189.70999999999998</v>
      </c>
      <c r="J2313" s="16">
        <v>86277.152196224153</v>
      </c>
      <c r="K2313" s="5">
        <v>8.4395106913239384E-2</v>
      </c>
      <c r="L2313" s="10">
        <v>178363.41649999999</v>
      </c>
    </row>
    <row r="2314" spans="1:12" x14ac:dyDescent="0.25">
      <c r="A2314">
        <v>2313</v>
      </c>
      <c r="B2314" s="3">
        <v>0.19972376319268337</v>
      </c>
      <c r="C2314" s="3">
        <v>3.8731482344067134E-2</v>
      </c>
      <c r="D2314" s="1">
        <v>101006.1205374431</v>
      </c>
      <c r="E2314" s="1">
        <v>3688337</v>
      </c>
      <c r="F2314" s="1">
        <v>16334909</v>
      </c>
      <c r="G2314" s="16">
        <v>14550.453279844618</v>
      </c>
      <c r="H2314">
        <v>83.27</v>
      </c>
      <c r="I2314" s="1">
        <v>281.8</v>
      </c>
      <c r="J2314" s="16">
        <v>115556.57381728772</v>
      </c>
      <c r="K2314" s="5">
        <v>-5.347140858780218E-2</v>
      </c>
      <c r="L2314" s="10">
        <v>-91958.902400000006</v>
      </c>
    </row>
    <row r="2315" spans="1:12" x14ac:dyDescent="0.25">
      <c r="A2315">
        <v>2314</v>
      </c>
      <c r="B2315" s="3">
        <v>0.13307682060440501</v>
      </c>
      <c r="C2315" s="3">
        <v>4.3386786683061417E-2</v>
      </c>
      <c r="D2315" s="1">
        <v>301216.41073560918</v>
      </c>
      <c r="E2315" s="1">
        <v>9980652</v>
      </c>
      <c r="F2315" s="1">
        <v>32909578</v>
      </c>
      <c r="G2315" s="16">
        <v>75462.649680548464</v>
      </c>
      <c r="H2315">
        <v>356.05</v>
      </c>
      <c r="I2315" s="1">
        <v>1010.8299999999999</v>
      </c>
      <c r="J2315" s="16">
        <v>376679.06041615765</v>
      </c>
      <c r="K2315" s="5">
        <v>0.2046189684880155</v>
      </c>
      <c r="L2315" s="10">
        <v>1332054.3969000001</v>
      </c>
    </row>
    <row r="2316" spans="1:12" x14ac:dyDescent="0.25">
      <c r="A2316">
        <v>2315</v>
      </c>
      <c r="B2316" s="3">
        <v>0.1096692970134082</v>
      </c>
      <c r="C2316" s="3">
        <v>4.0007606037536586E-2</v>
      </c>
      <c r="D2316" s="1">
        <v>195356.86630280217</v>
      </c>
      <c r="E2316" s="1">
        <v>5180573</v>
      </c>
      <c r="F2316" s="1">
        <v>17644395</v>
      </c>
      <c r="G2316" s="16">
        <v>36378.149897580326</v>
      </c>
      <c r="H2316">
        <v>123.49</v>
      </c>
      <c r="I2316" s="1">
        <v>425.58000000000004</v>
      </c>
      <c r="J2316" s="16">
        <v>231735.0162003825</v>
      </c>
      <c r="K2316" s="5">
        <v>0.10840926481011963</v>
      </c>
      <c r="L2316" s="10">
        <v>483892.37239999999</v>
      </c>
    </row>
    <row r="2317" spans="1:12" x14ac:dyDescent="0.25">
      <c r="A2317">
        <v>2316</v>
      </c>
      <c r="B2317" s="3">
        <v>0.20484245125510286</v>
      </c>
      <c r="C2317" s="3">
        <v>5.3883125471921423E-2</v>
      </c>
      <c r="D2317" s="1">
        <v>183377.79325868847</v>
      </c>
      <c r="E2317" s="1">
        <v>8584929</v>
      </c>
      <c r="F2317" s="1">
        <v>37173805</v>
      </c>
      <c r="G2317" s="16">
        <v>19077.651419164038</v>
      </c>
      <c r="H2317">
        <v>113.52</v>
      </c>
      <c r="I2317" s="1">
        <v>301.07</v>
      </c>
      <c r="J2317" s="16">
        <v>202455.4446778525</v>
      </c>
      <c r="K2317" s="5">
        <v>0.28223934199927786</v>
      </c>
      <c r="L2317" s="10">
        <v>803214.97420000006</v>
      </c>
    </row>
    <row r="2318" spans="1:12" x14ac:dyDescent="0.25">
      <c r="A2318">
        <v>2317</v>
      </c>
      <c r="B2318" s="3">
        <v>0.19721316254813034</v>
      </c>
      <c r="C2318" s="3">
        <v>2.1881598133755158E-2</v>
      </c>
      <c r="D2318" s="1">
        <v>127832.76883985987</v>
      </c>
      <c r="E2318" s="1">
        <v>5760275</v>
      </c>
      <c r="F2318" s="1">
        <v>28861787</v>
      </c>
      <c r="G2318" s="16">
        <v>17539.945811289846</v>
      </c>
      <c r="H2318">
        <v>98.49</v>
      </c>
      <c r="I2318" s="1">
        <v>317.13</v>
      </c>
      <c r="J2318" s="16">
        <v>145372.71465114973</v>
      </c>
      <c r="K2318" s="5">
        <v>0.10371840196008887</v>
      </c>
      <c r="L2318" s="10">
        <v>653552.61620000005</v>
      </c>
    </row>
    <row r="2319" spans="1:12" x14ac:dyDescent="0.25">
      <c r="A2319">
        <v>2318</v>
      </c>
      <c r="B2319" s="3">
        <v>0.1106730021575516</v>
      </c>
      <c r="C2319" s="3">
        <v>4.6252747519969883E-2</v>
      </c>
      <c r="D2319" s="1">
        <v>54395.669139669299</v>
      </c>
      <c r="E2319" s="1">
        <v>1447380</v>
      </c>
      <c r="F2319" s="1">
        <v>13673739</v>
      </c>
      <c r="G2319" s="16">
        <v>25063.4174615023</v>
      </c>
      <c r="H2319">
        <v>76.239999999999995</v>
      </c>
      <c r="I2319" s="1">
        <v>323.88</v>
      </c>
      <c r="J2319" s="16">
        <v>79459.086601171599</v>
      </c>
      <c r="K2319" s="5">
        <v>0.20476520038467347</v>
      </c>
      <c r="L2319" s="10">
        <v>292043.70289999997</v>
      </c>
    </row>
    <row r="2320" spans="1:12" x14ac:dyDescent="0.25">
      <c r="A2320">
        <v>2319</v>
      </c>
      <c r="B2320" s="3">
        <v>0.10088753718247748</v>
      </c>
      <c r="C2320" s="3">
        <v>4.8431973841652515E-2</v>
      </c>
      <c r="D2320" s="1">
        <v>395685.95133731747</v>
      </c>
      <c r="E2320" s="1">
        <v>11331760</v>
      </c>
      <c r="F2320" s="1">
        <v>41643272</v>
      </c>
      <c r="G2320" s="16">
        <v>131959.41605188069</v>
      </c>
      <c r="H2320">
        <v>464.37</v>
      </c>
      <c r="I2320" s="1">
        <v>1058.3600000000001</v>
      </c>
      <c r="J2320" s="16">
        <v>527645.36738919816</v>
      </c>
      <c r="K2320" s="5">
        <v>0.14906510679031626</v>
      </c>
      <c r="L2320" s="10">
        <v>1194300.5123999999</v>
      </c>
    </row>
    <row r="2321" spans="1:12" x14ac:dyDescent="0.25">
      <c r="A2321">
        <v>2320</v>
      </c>
      <c r="B2321" s="3">
        <v>0.14552328371825607</v>
      </c>
      <c r="C2321" s="3">
        <v>7.2527815763916662E-2</v>
      </c>
      <c r="D2321" s="1">
        <v>437665.04288938741</v>
      </c>
      <c r="E2321" s="1">
        <v>17982211</v>
      </c>
      <c r="F2321" s="1">
        <v>56887482</v>
      </c>
      <c r="G2321" s="16">
        <v>39742.867064842721</v>
      </c>
      <c r="H2321">
        <v>179.94</v>
      </c>
      <c r="I2321" s="1">
        <v>619.18000000000006</v>
      </c>
      <c r="J2321" s="16">
        <v>477407.90995423013</v>
      </c>
      <c r="K2321" s="5">
        <v>-2.0696288188205698E-2</v>
      </c>
      <c r="L2321" s="10">
        <v>-36283.633900000001</v>
      </c>
    </row>
    <row r="2322" spans="1:12" x14ac:dyDescent="0.25">
      <c r="A2322">
        <v>2321</v>
      </c>
      <c r="B2322" s="3">
        <v>0.16671574739857986</v>
      </c>
      <c r="C2322" s="3">
        <v>4.9236579359651825E-2</v>
      </c>
      <c r="D2322" s="1">
        <v>63913.487148960281</v>
      </c>
      <c r="E2322" s="1">
        <v>2067363</v>
      </c>
      <c r="F2322" s="1">
        <v>11508785</v>
      </c>
      <c r="G2322" s="16">
        <v>16003.087573580162</v>
      </c>
      <c r="H2322">
        <v>71.86</v>
      </c>
      <c r="I2322" s="1">
        <v>257.94</v>
      </c>
      <c r="J2322" s="16">
        <v>79916.574722540448</v>
      </c>
      <c r="K2322" s="5">
        <v>0.18667222849609028</v>
      </c>
      <c r="L2322" s="10">
        <v>241479.60769999999</v>
      </c>
    </row>
    <row r="2323" spans="1:12" x14ac:dyDescent="0.25">
      <c r="A2323">
        <v>2322</v>
      </c>
      <c r="B2323" s="3">
        <v>0.19509025782383693</v>
      </c>
      <c r="C2323" s="3">
        <v>6.5534206241353768E-2</v>
      </c>
      <c r="D2323" s="1">
        <v>99201.660500039783</v>
      </c>
      <c r="E2323" s="1">
        <v>3560244</v>
      </c>
      <c r="F2323" s="1">
        <v>20890864</v>
      </c>
      <c r="G2323" s="16">
        <v>17655.775029468437</v>
      </c>
      <c r="H2323">
        <v>97.64</v>
      </c>
      <c r="I2323" s="1">
        <v>310.02000000000004</v>
      </c>
      <c r="J2323" s="16">
        <v>116857.43552950822</v>
      </c>
      <c r="K2323" s="5">
        <v>8.8120129542424819E-2</v>
      </c>
      <c r="L2323" s="10">
        <v>127296.5925</v>
      </c>
    </row>
    <row r="2324" spans="1:12" x14ac:dyDescent="0.25">
      <c r="A2324">
        <v>2323</v>
      </c>
      <c r="B2324" s="3">
        <v>0.13950514474945908</v>
      </c>
      <c r="C2324" s="3">
        <v>6.1229759676568143E-2</v>
      </c>
      <c r="D2324" s="1">
        <v>287386.71733651339</v>
      </c>
      <c r="E2324" s="1">
        <v>9810169</v>
      </c>
      <c r="F2324" s="1">
        <v>38423898</v>
      </c>
      <c r="G2324" s="16">
        <v>35664.158092865786</v>
      </c>
      <c r="H2324">
        <v>153.61000000000001</v>
      </c>
      <c r="I2324" s="1">
        <v>448.58000000000004</v>
      </c>
      <c r="J2324" s="16">
        <v>323050.87542937917</v>
      </c>
      <c r="K2324" s="5">
        <v>0.15130908674590296</v>
      </c>
      <c r="L2324" s="10">
        <v>550582.72120000003</v>
      </c>
    </row>
    <row r="2325" spans="1:12" x14ac:dyDescent="0.25">
      <c r="A2325">
        <v>2324</v>
      </c>
      <c r="B2325" s="3">
        <v>0.15229490520331421</v>
      </c>
      <c r="C2325" s="3">
        <v>2.8041807735714797E-2</v>
      </c>
      <c r="D2325" s="1">
        <v>228854.24959179625</v>
      </c>
      <c r="E2325" s="1">
        <v>8294352</v>
      </c>
      <c r="F2325" s="1">
        <v>39697088</v>
      </c>
      <c r="G2325" s="16">
        <v>19105.741328821499</v>
      </c>
      <c r="H2325">
        <v>65.77</v>
      </c>
      <c r="I2325" s="1">
        <v>185.89</v>
      </c>
      <c r="J2325" s="16">
        <v>247959.99092061774</v>
      </c>
      <c r="K2325" s="5">
        <v>0.22282472393401309</v>
      </c>
      <c r="L2325" s="10">
        <v>1668548.2442000001</v>
      </c>
    </row>
    <row r="2326" spans="1:12" x14ac:dyDescent="0.25">
      <c r="A2326">
        <v>2325</v>
      </c>
      <c r="B2326" s="3">
        <v>0.21621908836780918</v>
      </c>
      <c r="C2326" s="3">
        <v>5.7736279830205586E-2</v>
      </c>
      <c r="D2326" s="1">
        <v>67154.854097238713</v>
      </c>
      <c r="E2326" s="1">
        <v>2610335</v>
      </c>
      <c r="F2326" s="1">
        <v>15240994</v>
      </c>
      <c r="G2326" s="16">
        <v>9770.2867235519752</v>
      </c>
      <c r="H2326">
        <v>80.989999999999995</v>
      </c>
      <c r="I2326" s="1">
        <v>405.33000000000004</v>
      </c>
      <c r="J2326" s="16">
        <v>76925.140820790693</v>
      </c>
      <c r="K2326" s="5">
        <v>1.7441539895717874E-2</v>
      </c>
      <c r="L2326" s="10">
        <v>26636.757300000001</v>
      </c>
    </row>
    <row r="2327" spans="1:12" x14ac:dyDescent="0.25">
      <c r="A2327">
        <v>2326</v>
      </c>
      <c r="B2327" s="3">
        <v>0.14545529739094837</v>
      </c>
      <c r="C2327" s="3">
        <v>6.1524171060064345E-2</v>
      </c>
      <c r="D2327" s="1">
        <v>175283.74814813363</v>
      </c>
      <c r="E2327" s="1">
        <v>6151844</v>
      </c>
      <c r="F2327" s="1">
        <v>25307795</v>
      </c>
      <c r="G2327" s="16">
        <v>38519.067047359153</v>
      </c>
      <c r="H2327">
        <v>173.96</v>
      </c>
      <c r="I2327" s="1">
        <v>575.21</v>
      </c>
      <c r="J2327" s="16">
        <v>213802.81519549279</v>
      </c>
      <c r="K2327" s="5">
        <v>9.0919898662372739E-2</v>
      </c>
      <c r="L2327" s="10">
        <v>258819.37640000001</v>
      </c>
    </row>
    <row r="2328" spans="1:12" x14ac:dyDescent="0.25">
      <c r="A2328">
        <v>2327</v>
      </c>
      <c r="B2328" s="3">
        <v>0.10173510305247568</v>
      </c>
      <c r="C2328" s="3">
        <v>2.5514065671372831E-2</v>
      </c>
      <c r="D2328" s="1">
        <v>149338.14238391272</v>
      </c>
      <c r="E2328" s="1">
        <v>4292952</v>
      </c>
      <c r="F2328" s="1">
        <v>23937010</v>
      </c>
      <c r="G2328" s="16">
        <v>82264.854446167781</v>
      </c>
      <c r="H2328">
        <v>262.22000000000003</v>
      </c>
      <c r="I2328" s="1">
        <v>718.71</v>
      </c>
      <c r="J2328" s="16">
        <v>231602.99683008052</v>
      </c>
      <c r="K2328" s="5">
        <v>0.42010518129547741</v>
      </c>
      <c r="L2328" s="10">
        <v>3256470.3689999999</v>
      </c>
    </row>
    <row r="2329" spans="1:12" x14ac:dyDescent="0.25">
      <c r="A2329">
        <v>2328</v>
      </c>
      <c r="B2329" s="3">
        <v>0.23505184492273096</v>
      </c>
      <c r="C2329" s="3">
        <v>3.0006775383492612E-2</v>
      </c>
      <c r="D2329" s="1">
        <v>86369.303556150611</v>
      </c>
      <c r="E2329" s="1">
        <v>3611328</v>
      </c>
      <c r="F2329" s="1">
        <v>19177049</v>
      </c>
      <c r="G2329" s="16">
        <v>19846.76407350396</v>
      </c>
      <c r="H2329">
        <v>194.82</v>
      </c>
      <c r="I2329" s="1">
        <v>513.1099999999999</v>
      </c>
      <c r="J2329" s="16">
        <v>106216.06762965457</v>
      </c>
      <c r="K2329" s="5">
        <v>-6.8705606240496542E-2</v>
      </c>
      <c r="L2329" s="10">
        <v>-193082.97930000001</v>
      </c>
    </row>
    <row r="2330" spans="1:12" x14ac:dyDescent="0.25">
      <c r="A2330">
        <v>2329</v>
      </c>
      <c r="B2330" s="3">
        <v>0.21725416296189393</v>
      </c>
      <c r="C2330" s="3">
        <v>6.6222374905654163E-2</v>
      </c>
      <c r="D2330" s="1">
        <v>199222.90715679977</v>
      </c>
      <c r="E2330" s="1">
        <v>9932522</v>
      </c>
      <c r="F2330" s="1">
        <v>38446691</v>
      </c>
      <c r="G2330" s="16">
        <v>49681.631133697003</v>
      </c>
      <c r="H2330">
        <v>531.04999999999995</v>
      </c>
      <c r="I2330" s="1">
        <v>1371.57</v>
      </c>
      <c r="J2330" s="16">
        <v>248904.53829049677</v>
      </c>
      <c r="K2330" s="5">
        <v>8.51223364763668E-2</v>
      </c>
      <c r="L2330" s="10">
        <v>241900.47700000001</v>
      </c>
    </row>
    <row r="2331" spans="1:12" x14ac:dyDescent="0.25">
      <c r="A2331">
        <v>2330</v>
      </c>
      <c r="B2331" s="3">
        <v>0.12501771265393835</v>
      </c>
      <c r="C2331" s="3">
        <v>2.8115807098954074E-2</v>
      </c>
      <c r="D2331" s="1">
        <v>198868.08349064877</v>
      </c>
      <c r="E2331" s="1">
        <v>6349964</v>
      </c>
      <c r="F2331" s="1">
        <v>28420402</v>
      </c>
      <c r="G2331" s="16">
        <v>67406.236488153037</v>
      </c>
      <c r="H2331">
        <v>295.55</v>
      </c>
      <c r="I2331" s="1">
        <v>788.03</v>
      </c>
      <c r="J2331" s="16">
        <v>266274.31997880182</v>
      </c>
      <c r="K2331" s="5">
        <v>-2.5549718327938856E-3</v>
      </c>
      <c r="L2331" s="10">
        <v>22643.105500000001</v>
      </c>
    </row>
    <row r="2332" spans="1:12" x14ac:dyDescent="0.25">
      <c r="A2332">
        <v>2331</v>
      </c>
      <c r="B2332" s="3">
        <v>0.12544280657598811</v>
      </c>
      <c r="C2332" s="3">
        <v>6.67652735528972E-2</v>
      </c>
      <c r="D2332" s="1">
        <v>246811.40181773694</v>
      </c>
      <c r="E2332" s="1">
        <v>7896154</v>
      </c>
      <c r="F2332" s="1">
        <v>27737111</v>
      </c>
      <c r="G2332" s="16">
        <v>31826.425830723652</v>
      </c>
      <c r="H2332">
        <v>122.37</v>
      </c>
      <c r="I2332" s="1">
        <v>426.03000000000003</v>
      </c>
      <c r="J2332" s="16">
        <v>278637.82764846057</v>
      </c>
      <c r="K2332" s="5">
        <v>9.3750504281247538E-2</v>
      </c>
      <c r="L2332" s="10">
        <v>261667.47459999999</v>
      </c>
    </row>
    <row r="2333" spans="1:12" x14ac:dyDescent="0.25">
      <c r="A2333">
        <v>2332</v>
      </c>
      <c r="B2333" s="3">
        <v>0.17255186801956984</v>
      </c>
      <c r="C2333" s="3">
        <v>4.5306483966489196E-2</v>
      </c>
      <c r="D2333" s="1">
        <v>187496.87726984097</v>
      </c>
      <c r="E2333" s="1">
        <v>7485726</v>
      </c>
      <c r="F2333" s="1">
        <v>27390632</v>
      </c>
      <c r="G2333" s="16">
        <v>44372.097431053051</v>
      </c>
      <c r="H2333">
        <v>251.58</v>
      </c>
      <c r="I2333" s="1">
        <v>686</v>
      </c>
      <c r="J2333" s="16">
        <v>231868.97470089403</v>
      </c>
      <c r="K2333" s="5">
        <v>6.766811556095445E-2</v>
      </c>
      <c r="L2333" s="10">
        <v>271518.21999999997</v>
      </c>
    </row>
    <row r="2334" spans="1:12" x14ac:dyDescent="0.25">
      <c r="A2334">
        <v>2333</v>
      </c>
      <c r="B2334" s="3">
        <v>0.19308756405223443</v>
      </c>
      <c r="C2334" s="3">
        <v>4.205257695418807E-2</v>
      </c>
      <c r="D2334" s="1">
        <v>121828.35730572956</v>
      </c>
      <c r="E2334" s="1">
        <v>4339818</v>
      </c>
      <c r="F2334" s="1">
        <v>18241322</v>
      </c>
      <c r="G2334" s="16">
        <v>14819.496779801768</v>
      </c>
      <c r="H2334">
        <v>100.11</v>
      </c>
      <c r="I2334" s="1">
        <v>408.1</v>
      </c>
      <c r="J2334" s="16">
        <v>136647.85408553132</v>
      </c>
      <c r="K2334" s="5">
        <v>0.11159547098596057</v>
      </c>
      <c r="L2334" s="10">
        <v>283787.93479999999</v>
      </c>
    </row>
    <row r="2335" spans="1:12" x14ac:dyDescent="0.25">
      <c r="A2335">
        <v>2334</v>
      </c>
      <c r="B2335" s="3">
        <v>0.11684447951463078</v>
      </c>
      <c r="C2335" s="3">
        <v>2.2263352042005878E-2</v>
      </c>
      <c r="D2335" s="1">
        <v>94292.234349244711</v>
      </c>
      <c r="E2335" s="1">
        <v>2561927</v>
      </c>
      <c r="F2335" s="1">
        <v>18347275</v>
      </c>
      <c r="G2335" s="16">
        <v>37805.989183849117</v>
      </c>
      <c r="H2335">
        <v>120.03</v>
      </c>
      <c r="I2335" s="1">
        <v>341.63</v>
      </c>
      <c r="J2335" s="16">
        <v>132098.22353309381</v>
      </c>
      <c r="K2335" s="5">
        <v>0.17969269402249921</v>
      </c>
      <c r="L2335" s="10">
        <v>951855.29839999997</v>
      </c>
    </row>
    <row r="2336" spans="1:12" x14ac:dyDescent="0.25">
      <c r="A2336">
        <v>2335</v>
      </c>
      <c r="B2336" s="3">
        <v>0.18703168414046767</v>
      </c>
      <c r="C2336" s="3">
        <v>3.1975121247509619E-2</v>
      </c>
      <c r="D2336" s="1">
        <v>80081.444098815846</v>
      </c>
      <c r="E2336" s="1">
        <v>2789416</v>
      </c>
      <c r="F2336" s="1">
        <v>16688822</v>
      </c>
      <c r="G2336" s="16">
        <v>20372.893736155602</v>
      </c>
      <c r="H2336">
        <v>106.28</v>
      </c>
      <c r="I2336" s="1">
        <v>365.95000000000005</v>
      </c>
      <c r="J2336" s="16">
        <v>100454.33783497145</v>
      </c>
      <c r="K2336" s="5">
        <v>0.11555260890672639</v>
      </c>
      <c r="L2336" s="10">
        <v>306436.92139999999</v>
      </c>
    </row>
    <row r="2337" spans="1:12" x14ac:dyDescent="0.25">
      <c r="A2337">
        <v>2336</v>
      </c>
      <c r="B2337" s="3">
        <v>0.16981709275330406</v>
      </c>
      <c r="C2337" s="3">
        <v>4.6510355874290379E-2</v>
      </c>
      <c r="D2337" s="1">
        <v>128037.07919094771</v>
      </c>
      <c r="E2337" s="1">
        <v>4188095</v>
      </c>
      <c r="F2337" s="1">
        <v>19063404</v>
      </c>
      <c r="G2337" s="16">
        <v>13449.969564125944</v>
      </c>
      <c r="H2337">
        <v>51.41</v>
      </c>
      <c r="I2337" s="1">
        <v>147.88</v>
      </c>
      <c r="J2337" s="16">
        <v>141487.04875507366</v>
      </c>
      <c r="K2337" s="5">
        <v>-2.3178956863990921E-2</v>
      </c>
      <c r="L2337" s="10">
        <v>-30716.9251</v>
      </c>
    </row>
    <row r="2338" spans="1:12" x14ac:dyDescent="0.25">
      <c r="A2338">
        <v>2337</v>
      </c>
      <c r="B2338" s="3">
        <v>0.21348719249232717</v>
      </c>
      <c r="C2338" s="3">
        <v>4.3739160247354344E-2</v>
      </c>
      <c r="D2338" s="1">
        <v>291919.3892311388</v>
      </c>
      <c r="E2338" s="1">
        <v>18152519</v>
      </c>
      <c r="F2338" s="1">
        <v>49552047</v>
      </c>
      <c r="G2338" s="16">
        <v>7573.6718998074621</v>
      </c>
      <c r="H2338">
        <v>48.19</v>
      </c>
      <c r="I2338" s="1">
        <v>220.71</v>
      </c>
      <c r="J2338" s="16">
        <v>299493.06113094627</v>
      </c>
      <c r="K2338" s="5">
        <v>5.9363961442195023E-2</v>
      </c>
      <c r="L2338" s="10">
        <v>302267.59389999998</v>
      </c>
    </row>
    <row r="2339" spans="1:12" x14ac:dyDescent="0.25">
      <c r="A2339">
        <v>2338</v>
      </c>
      <c r="B2339" s="3">
        <v>0.11129589820528199</v>
      </c>
      <c r="C2339" s="3">
        <v>6.3246712093712409E-2</v>
      </c>
      <c r="D2339" s="1">
        <v>63293.240685198252</v>
      </c>
      <c r="E2339" s="1">
        <v>1499842</v>
      </c>
      <c r="F2339" s="1">
        <v>10004844</v>
      </c>
      <c r="G2339" s="16">
        <v>60999.39256761755</v>
      </c>
      <c r="H2339">
        <v>209.55</v>
      </c>
      <c r="I2339" s="1">
        <v>748.23</v>
      </c>
      <c r="J2339" s="16">
        <v>124292.63325281581</v>
      </c>
      <c r="K2339" s="5">
        <v>1.7544070311119146E-3</v>
      </c>
      <c r="L2339" s="10">
        <v>26942.0982</v>
      </c>
    </row>
    <row r="2340" spans="1:12" x14ac:dyDescent="0.25">
      <c r="A2340">
        <v>2339</v>
      </c>
      <c r="B2340" s="3">
        <v>0.13386262458671072</v>
      </c>
      <c r="C2340" s="3">
        <v>6.7843940229124641E-2</v>
      </c>
      <c r="D2340" s="1">
        <v>142040.72079318707</v>
      </c>
      <c r="E2340" s="1">
        <v>4723555</v>
      </c>
      <c r="F2340" s="1">
        <v>26640383</v>
      </c>
      <c r="G2340" s="16">
        <v>33726.022395715532</v>
      </c>
      <c r="H2340">
        <v>120.28</v>
      </c>
      <c r="I2340" s="1">
        <v>363.03</v>
      </c>
      <c r="J2340" s="16">
        <v>175766.74318890259</v>
      </c>
      <c r="K2340" s="5">
        <v>0.32287184193474727</v>
      </c>
      <c r="L2340" s="10">
        <v>608371.99170000001</v>
      </c>
    </row>
    <row r="2341" spans="1:12" x14ac:dyDescent="0.25">
      <c r="A2341">
        <v>2340</v>
      </c>
      <c r="B2341" s="3">
        <v>0.20055294553442982</v>
      </c>
      <c r="C2341" s="3">
        <v>2.2419550616177765E-2</v>
      </c>
      <c r="D2341" s="1">
        <v>72841.013256398175</v>
      </c>
      <c r="E2341" s="1">
        <v>2668146</v>
      </c>
      <c r="F2341" s="1">
        <v>16420173</v>
      </c>
      <c r="G2341" s="16">
        <v>39100.896984674495</v>
      </c>
      <c r="H2341">
        <v>352.92</v>
      </c>
      <c r="I2341" s="1">
        <v>901.85000000000014</v>
      </c>
      <c r="J2341" s="16">
        <v>111941.91024107268</v>
      </c>
      <c r="K2341" s="5">
        <v>0.22027927863034694</v>
      </c>
      <c r="L2341" s="10">
        <v>981630.69</v>
      </c>
    </row>
    <row r="2342" spans="1:12" x14ac:dyDescent="0.25">
      <c r="A2342">
        <v>2341</v>
      </c>
      <c r="B2342" s="3">
        <v>0.21151699607679386</v>
      </c>
      <c r="C2342" s="3">
        <v>4.4131442845135149E-2</v>
      </c>
      <c r="D2342" s="1">
        <v>229079.73793721292</v>
      </c>
      <c r="E2342" s="1">
        <v>11092274</v>
      </c>
      <c r="F2342" s="1">
        <v>36025832</v>
      </c>
      <c r="G2342" s="16">
        <v>31874.328403979209</v>
      </c>
      <c r="H2342">
        <v>320.76</v>
      </c>
      <c r="I2342" s="1">
        <v>835.35</v>
      </c>
      <c r="J2342" s="16">
        <v>260954.06634119214</v>
      </c>
      <c r="K2342" s="5">
        <v>2.8032444168819698E-2</v>
      </c>
      <c r="L2342" s="10">
        <v>158036.1539</v>
      </c>
    </row>
    <row r="2343" spans="1:12" x14ac:dyDescent="0.25">
      <c r="A2343">
        <v>2342</v>
      </c>
      <c r="B2343" s="3">
        <v>0.2123528315511955</v>
      </c>
      <c r="C2343" s="3">
        <v>2.9710654095744044E-2</v>
      </c>
      <c r="D2343" s="1">
        <v>206719.14942295616</v>
      </c>
      <c r="E2343" s="1">
        <v>10052093</v>
      </c>
      <c r="F2343" s="1">
        <v>31975250</v>
      </c>
      <c r="G2343" s="16">
        <v>55939.783027258738</v>
      </c>
      <c r="H2343">
        <v>720.36</v>
      </c>
      <c r="I2343" s="1">
        <v>1662.8400000000001</v>
      </c>
      <c r="J2343" s="16">
        <v>262658.93245021492</v>
      </c>
      <c r="K2343" s="5">
        <v>4.1992203905268782E-5</v>
      </c>
      <c r="L2343" s="10">
        <v>-5886.0088999999998</v>
      </c>
    </row>
    <row r="2344" spans="1:12" x14ac:dyDescent="0.25">
      <c r="A2344">
        <v>2343</v>
      </c>
      <c r="B2344" s="3">
        <v>0.18690978620714244</v>
      </c>
      <c r="C2344" s="3">
        <v>7.3597416134026372E-2</v>
      </c>
      <c r="D2344" s="1">
        <v>56672.41773173261</v>
      </c>
      <c r="E2344" s="1">
        <v>1973142</v>
      </c>
      <c r="F2344" s="1">
        <v>14372976</v>
      </c>
      <c r="G2344" s="16">
        <v>26753.280863464242</v>
      </c>
      <c r="H2344">
        <v>139.18</v>
      </c>
      <c r="I2344" s="1">
        <v>365.35</v>
      </c>
      <c r="J2344" s="16">
        <v>83425.698595196853</v>
      </c>
      <c r="K2344" s="5">
        <v>0.10490453250361126</v>
      </c>
      <c r="L2344" s="10">
        <v>90059.276199999993</v>
      </c>
    </row>
    <row r="2345" spans="1:12" x14ac:dyDescent="0.25">
      <c r="A2345">
        <v>2344</v>
      </c>
      <c r="B2345" s="3">
        <v>0.21247766061782697</v>
      </c>
      <c r="C2345" s="3">
        <v>6.0521673567607084E-2</v>
      </c>
      <c r="D2345" s="1">
        <v>81586.251403911228</v>
      </c>
      <c r="E2345" s="1">
        <v>3969798</v>
      </c>
      <c r="F2345" s="1">
        <v>23911933</v>
      </c>
      <c r="G2345" s="16">
        <v>26857.686909213047</v>
      </c>
      <c r="H2345">
        <v>215.17</v>
      </c>
      <c r="I2345" s="1">
        <v>683.71999999999991</v>
      </c>
      <c r="J2345" s="16">
        <v>108443.93831312428</v>
      </c>
      <c r="K2345" s="5">
        <v>0.25513185353562473</v>
      </c>
      <c r="L2345" s="10">
        <v>339760.49939999997</v>
      </c>
    </row>
    <row r="2346" spans="1:12" x14ac:dyDescent="0.25">
      <c r="A2346">
        <v>2345</v>
      </c>
      <c r="B2346" s="3">
        <v>0.10668717661801733</v>
      </c>
      <c r="C2346" s="3">
        <v>4.07833598103612E-2</v>
      </c>
      <c r="D2346" s="1">
        <v>157537.94237718114</v>
      </c>
      <c r="E2346" s="1">
        <v>4629926</v>
      </c>
      <c r="F2346" s="1">
        <v>23294856</v>
      </c>
      <c r="G2346" s="16">
        <v>94184.852743631593</v>
      </c>
      <c r="H2346">
        <v>349.56</v>
      </c>
      <c r="I2346" s="1">
        <v>1009.95</v>
      </c>
      <c r="J2346" s="16">
        <v>251722.79512081272</v>
      </c>
      <c r="K2346" s="5">
        <v>7.8826020534419755E-2</v>
      </c>
      <c r="L2346" s="10">
        <v>432817.65950000001</v>
      </c>
    </row>
    <row r="2347" spans="1:12" x14ac:dyDescent="0.25">
      <c r="A2347">
        <v>2346</v>
      </c>
      <c r="B2347" s="3">
        <v>0.14602365953697147</v>
      </c>
      <c r="C2347" s="3">
        <v>3.2447183932093199E-2</v>
      </c>
      <c r="D2347" s="1">
        <v>78890.692867679856</v>
      </c>
      <c r="E2347" s="1">
        <v>2370780</v>
      </c>
      <c r="F2347" s="1">
        <v>13302710</v>
      </c>
      <c r="G2347" s="16">
        <v>60321.891023422446</v>
      </c>
      <c r="H2347">
        <v>321.27999999999997</v>
      </c>
      <c r="I2347" s="1">
        <v>829.32999999999993</v>
      </c>
      <c r="J2347" s="16">
        <v>139212.58389110229</v>
      </c>
      <c r="K2347" s="5">
        <v>0.18992538167094317</v>
      </c>
      <c r="L2347" s="10">
        <v>702042.55440000002</v>
      </c>
    </row>
    <row r="2348" spans="1:12" x14ac:dyDescent="0.25">
      <c r="A2348">
        <v>2347</v>
      </c>
      <c r="B2348" s="3">
        <v>0.12266856594053656</v>
      </c>
      <c r="C2348" s="3">
        <v>3.2783466559903093E-2</v>
      </c>
      <c r="D2348" s="1">
        <v>284050.63839935203</v>
      </c>
      <c r="E2348" s="1">
        <v>8973123</v>
      </c>
      <c r="F2348" s="1">
        <v>32944881</v>
      </c>
      <c r="G2348" s="16">
        <v>31864.814707172147</v>
      </c>
      <c r="H2348">
        <v>105.16</v>
      </c>
      <c r="I2348" s="1">
        <v>296.38</v>
      </c>
      <c r="J2348" s="16">
        <v>315915.45310652419</v>
      </c>
      <c r="K2348" s="5">
        <v>0.16192668469464755</v>
      </c>
      <c r="L2348" s="10">
        <v>1278649.1910999999</v>
      </c>
    </row>
    <row r="2349" spans="1:12" x14ac:dyDescent="0.25">
      <c r="A2349">
        <v>2348</v>
      </c>
      <c r="B2349" s="3">
        <v>0.15012521896198716</v>
      </c>
      <c r="C2349" s="3">
        <v>6.8982853032664451E-2</v>
      </c>
      <c r="D2349" s="1">
        <v>403402.3974730667</v>
      </c>
      <c r="E2349" s="1">
        <v>14471763</v>
      </c>
      <c r="F2349" s="1">
        <v>37772194</v>
      </c>
      <c r="G2349" s="16">
        <v>27402.147670454015</v>
      </c>
      <c r="H2349">
        <v>128.63</v>
      </c>
      <c r="I2349" s="1">
        <v>418.04</v>
      </c>
      <c r="J2349" s="16">
        <v>430804.54514352069</v>
      </c>
      <c r="K2349" s="5">
        <v>0.13666948236482795</v>
      </c>
      <c r="L2349" s="10">
        <v>540392.25930000003</v>
      </c>
    </row>
    <row r="2350" spans="1:12" x14ac:dyDescent="0.25">
      <c r="A2350">
        <v>2349</v>
      </c>
      <c r="B2350" s="3">
        <v>0.1571701413976157</v>
      </c>
      <c r="C2350" s="3">
        <v>6.7475875514342393E-2</v>
      </c>
      <c r="D2350" s="1">
        <v>70512.279543221593</v>
      </c>
      <c r="E2350" s="1">
        <v>2204185</v>
      </c>
      <c r="F2350" s="1">
        <v>15569681</v>
      </c>
      <c r="G2350" s="16">
        <v>13734.747071363527</v>
      </c>
      <c r="H2350">
        <v>57.58</v>
      </c>
      <c r="I2350" s="1">
        <v>211.15999999999997</v>
      </c>
      <c r="J2350" s="16">
        <v>84247.02661458512</v>
      </c>
      <c r="K2350" s="5">
        <v>0.12904343888568343</v>
      </c>
      <c r="L2350" s="10">
        <v>122522.19620000001</v>
      </c>
    </row>
    <row r="2351" spans="1:12" x14ac:dyDescent="0.25">
      <c r="A2351">
        <v>2350</v>
      </c>
      <c r="B2351" s="3">
        <v>0.1272858862071759</v>
      </c>
      <c r="C2351" s="3">
        <v>5.8414359444528191E-2</v>
      </c>
      <c r="D2351" s="1">
        <v>149676.34064805668</v>
      </c>
      <c r="E2351" s="1">
        <v>4214444</v>
      </c>
      <c r="F2351" s="1">
        <v>21122461</v>
      </c>
      <c r="G2351" s="16">
        <v>70313.878467987801</v>
      </c>
      <c r="H2351">
        <v>314.33999999999997</v>
      </c>
      <c r="I2351" s="1">
        <v>779.97</v>
      </c>
      <c r="J2351" s="16">
        <v>219990.21911604446</v>
      </c>
      <c r="K2351" s="5">
        <v>0.19739461915633649</v>
      </c>
      <c r="L2351" s="10">
        <v>546443.63520000002</v>
      </c>
    </row>
    <row r="2352" spans="1:12" x14ac:dyDescent="0.25">
      <c r="A2352">
        <v>2351</v>
      </c>
      <c r="B2352" s="3">
        <v>0.24444857583980845</v>
      </c>
      <c r="C2352" s="3">
        <v>6.0559379126399096E-2</v>
      </c>
      <c r="D2352" s="1">
        <v>80078.308159333857</v>
      </c>
      <c r="E2352" s="1">
        <v>3474764</v>
      </c>
      <c r="F2352" s="1">
        <v>16847182</v>
      </c>
      <c r="G2352" s="16">
        <v>21076.039348371203</v>
      </c>
      <c r="H2352">
        <v>225.71</v>
      </c>
      <c r="I2352" s="1">
        <v>709.5200000000001</v>
      </c>
      <c r="J2352" s="16">
        <v>101154.34750770507</v>
      </c>
      <c r="K2352" s="5">
        <v>0.12220469520713162</v>
      </c>
      <c r="L2352" s="10">
        <v>149119.264</v>
      </c>
    </row>
    <row r="2353" spans="1:12" x14ac:dyDescent="0.25">
      <c r="A2353">
        <v>2352</v>
      </c>
      <c r="B2353" s="3">
        <v>0.10389073490271709</v>
      </c>
      <c r="C2353" s="3">
        <v>6.1888412046268909E-2</v>
      </c>
      <c r="D2353" s="1">
        <v>49880.597923240413</v>
      </c>
      <c r="E2353" s="1">
        <v>1162551</v>
      </c>
      <c r="F2353" s="1">
        <v>7994935</v>
      </c>
      <c r="G2353" s="16">
        <v>116591.12113557858</v>
      </c>
      <c r="H2353">
        <v>421.93</v>
      </c>
      <c r="I2353" s="1">
        <v>1126.45</v>
      </c>
      <c r="J2353" s="16">
        <v>166471.719058819</v>
      </c>
      <c r="K2353" s="5">
        <v>0.14852360266153453</v>
      </c>
      <c r="L2353" s="10">
        <v>280146.4412</v>
      </c>
    </row>
    <row r="2354" spans="1:12" x14ac:dyDescent="0.25">
      <c r="A2354">
        <v>2353</v>
      </c>
      <c r="B2354" s="3">
        <v>0.16954023040421679</v>
      </c>
      <c r="C2354" s="3">
        <v>7.7370898318839434E-2</v>
      </c>
      <c r="D2354" s="1">
        <v>70649.047428931415</v>
      </c>
      <c r="E2354" s="1">
        <v>2308625</v>
      </c>
      <c r="F2354" s="1">
        <v>15189505</v>
      </c>
      <c r="G2354" s="16">
        <v>21013.252820559075</v>
      </c>
      <c r="H2354">
        <v>96.27</v>
      </c>
      <c r="I2354" s="1">
        <v>366.92999999999995</v>
      </c>
      <c r="J2354" s="16">
        <v>91662.300249490494</v>
      </c>
      <c r="K2354" s="5">
        <v>7.9454022097991212E-2</v>
      </c>
      <c r="L2354" s="10">
        <v>64071.660900000003</v>
      </c>
    </row>
    <row r="2355" spans="1:12" x14ac:dyDescent="0.25">
      <c r="A2355">
        <v>2354</v>
      </c>
      <c r="B2355" s="3">
        <v>0.1591807023483818</v>
      </c>
      <c r="C2355" s="3">
        <v>2.6115336663248452E-2</v>
      </c>
      <c r="D2355" s="1">
        <v>78416.768498894569</v>
      </c>
      <c r="E2355" s="1">
        <v>2468902</v>
      </c>
      <c r="F2355" s="1">
        <v>15565416</v>
      </c>
      <c r="G2355" s="16">
        <v>21318.498989297972</v>
      </c>
      <c r="H2355">
        <v>90.86</v>
      </c>
      <c r="I2355" s="1">
        <v>354.35</v>
      </c>
      <c r="J2355" s="16">
        <v>99735.267488192534</v>
      </c>
      <c r="K2355" s="5">
        <v>4.6760004734061986E-2</v>
      </c>
      <c r="L2355" s="10">
        <v>184703.81890000001</v>
      </c>
    </row>
    <row r="2356" spans="1:12" x14ac:dyDescent="0.25">
      <c r="A2356">
        <v>2355</v>
      </c>
      <c r="B2356" s="3">
        <v>0.1113397078036856</v>
      </c>
      <c r="C2356" s="3">
        <v>3.8382850192607718E-2</v>
      </c>
      <c r="D2356" s="1">
        <v>200867.50100564404</v>
      </c>
      <c r="E2356" s="1">
        <v>6027943</v>
      </c>
      <c r="F2356" s="1">
        <v>26541231</v>
      </c>
      <c r="G2356" s="16">
        <v>86193.30756358763</v>
      </c>
      <c r="H2356">
        <v>333.5</v>
      </c>
      <c r="I2356" s="1">
        <v>904.85</v>
      </c>
      <c r="J2356" s="16">
        <v>287060.80856923165</v>
      </c>
      <c r="K2356" s="5">
        <v>6.1021966694585837E-2</v>
      </c>
      <c r="L2356" s="10">
        <v>389008.92389999999</v>
      </c>
    </row>
    <row r="2357" spans="1:12" x14ac:dyDescent="0.25">
      <c r="A2357">
        <v>2356</v>
      </c>
      <c r="B2357" s="3">
        <v>0.22349341235047995</v>
      </c>
      <c r="C2357" s="3">
        <v>2.2218367908325268E-2</v>
      </c>
      <c r="D2357" s="1">
        <v>132587.31318862858</v>
      </c>
      <c r="E2357" s="1">
        <v>6825338</v>
      </c>
      <c r="F2357" s="1">
        <v>41360663</v>
      </c>
      <c r="G2357" s="16">
        <v>12787.245650675495</v>
      </c>
      <c r="H2357">
        <v>87.88</v>
      </c>
      <c r="I2357" s="1">
        <v>257.74</v>
      </c>
      <c r="J2357" s="16">
        <v>145374.55883930408</v>
      </c>
      <c r="K2357" s="5">
        <v>-8.8462017376375601E-3</v>
      </c>
      <c r="L2357" s="10">
        <v>-50192.714099999997</v>
      </c>
    </row>
    <row r="2358" spans="1:12" x14ac:dyDescent="0.25">
      <c r="A2358">
        <v>2357</v>
      </c>
      <c r="B2358" s="3">
        <v>0.20749183250136916</v>
      </c>
      <c r="C2358" s="3">
        <v>2.4708838746789683E-2</v>
      </c>
      <c r="D2358" s="1">
        <v>91651.572587181523</v>
      </c>
      <c r="E2358" s="1">
        <v>3446126</v>
      </c>
      <c r="F2358" s="1">
        <v>19747765</v>
      </c>
      <c r="G2358" s="16">
        <v>18471.94033560712</v>
      </c>
      <c r="H2358">
        <v>112.19</v>
      </c>
      <c r="I2358" s="1">
        <v>294.01</v>
      </c>
      <c r="J2358" s="16">
        <v>110123.51292278865</v>
      </c>
      <c r="K2358" s="5">
        <v>-1.5322757689364447E-2</v>
      </c>
      <c r="L2358" s="10">
        <v>-18104.133900000001</v>
      </c>
    </row>
    <row r="2359" spans="1:12" x14ac:dyDescent="0.25">
      <c r="A2359">
        <v>2358</v>
      </c>
      <c r="B2359" s="3">
        <v>0.13308305267924647</v>
      </c>
      <c r="C2359" s="3">
        <v>3.8210205338093051E-2</v>
      </c>
      <c r="D2359" s="1">
        <v>288928.78345027752</v>
      </c>
      <c r="E2359" s="1">
        <v>9573786</v>
      </c>
      <c r="F2359" s="1">
        <v>30492822</v>
      </c>
      <c r="G2359" s="16">
        <v>57400.178774113519</v>
      </c>
      <c r="H2359">
        <v>234.75</v>
      </c>
      <c r="I2359" s="1">
        <v>649.81999999999994</v>
      </c>
      <c r="J2359" s="16">
        <v>346328.96222439106</v>
      </c>
      <c r="K2359" s="5">
        <v>9.4648333420792971E-2</v>
      </c>
      <c r="L2359" s="10">
        <v>681120.71250000002</v>
      </c>
    </row>
    <row r="2360" spans="1:12" x14ac:dyDescent="0.25">
      <c r="A2360">
        <v>2359</v>
      </c>
      <c r="B2360" s="3">
        <v>0.15743766360840381</v>
      </c>
      <c r="C2360" s="3">
        <v>7.0255644822128108E-2</v>
      </c>
      <c r="D2360" s="1">
        <v>207998.83301100842</v>
      </c>
      <c r="E2360" s="1">
        <v>7724238</v>
      </c>
      <c r="F2360" s="1">
        <v>29917034</v>
      </c>
      <c r="G2360" s="16">
        <v>32244.924107613941</v>
      </c>
      <c r="H2360">
        <v>160.91999999999999</v>
      </c>
      <c r="I2360" s="1">
        <v>493.15999999999997</v>
      </c>
      <c r="J2360" s="16">
        <v>240243.75711862236</v>
      </c>
      <c r="K2360" s="5">
        <v>6.5411210858405955E-2</v>
      </c>
      <c r="L2360" s="10">
        <v>166808.91949999999</v>
      </c>
    </row>
    <row r="2361" spans="1:12" x14ac:dyDescent="0.25">
      <c r="A2361">
        <v>2360</v>
      </c>
      <c r="B2361" s="3">
        <v>0.21953360565276492</v>
      </c>
      <c r="C2361" s="3">
        <v>3.0081190976085574E-2</v>
      </c>
      <c r="D2361" s="1">
        <v>110029.08475453343</v>
      </c>
      <c r="E2361" s="1">
        <v>5550009</v>
      </c>
      <c r="F2361" s="1">
        <v>23228905</v>
      </c>
      <c r="G2361" s="16">
        <v>11828.534529869217</v>
      </c>
      <c r="H2361">
        <v>78.83</v>
      </c>
      <c r="I2361" s="1">
        <v>311.14999999999998</v>
      </c>
      <c r="J2361" s="16">
        <v>121857.61928440264</v>
      </c>
      <c r="K2361" s="5">
        <v>0.18695541134190002</v>
      </c>
      <c r="L2361" s="10">
        <v>629455.65650000004</v>
      </c>
    </row>
    <row r="2362" spans="1:12" x14ac:dyDescent="0.25">
      <c r="A2362">
        <v>2361</v>
      </c>
      <c r="B2362" s="3">
        <v>0.2445738714308254</v>
      </c>
      <c r="C2362" s="3">
        <v>3.5404954317589277E-2</v>
      </c>
      <c r="D2362" s="1">
        <v>116065.54114507927</v>
      </c>
      <c r="E2362" s="1">
        <v>5038833</v>
      </c>
      <c r="F2362" s="1">
        <v>21354480</v>
      </c>
      <c r="G2362" s="16">
        <v>12970.296163238358</v>
      </c>
      <c r="H2362">
        <v>104.72</v>
      </c>
      <c r="I2362" s="1">
        <v>256.56999999999994</v>
      </c>
      <c r="J2362" s="16">
        <v>129035.83730831763</v>
      </c>
      <c r="K2362" s="5">
        <v>0.11610208260925284</v>
      </c>
      <c r="L2362" s="10">
        <v>352532.56030000001</v>
      </c>
    </row>
    <row r="2363" spans="1:12" x14ac:dyDescent="0.25">
      <c r="A2363">
        <v>2362</v>
      </c>
      <c r="B2363" s="3">
        <v>0.16603895798449278</v>
      </c>
      <c r="C2363" s="3">
        <v>4.6314038448741622E-2</v>
      </c>
      <c r="D2363" s="1">
        <v>205194.19017171676</v>
      </c>
      <c r="E2363" s="1">
        <v>7939350</v>
      </c>
      <c r="F2363" s="1">
        <v>30493986</v>
      </c>
      <c r="G2363" s="16">
        <v>24220.466434402948</v>
      </c>
      <c r="H2363">
        <v>108.33</v>
      </c>
      <c r="I2363" s="1">
        <v>359.59</v>
      </c>
      <c r="J2363" s="16">
        <v>229414.65660611971</v>
      </c>
      <c r="K2363" s="5">
        <v>0.10590407748088553</v>
      </c>
      <c r="L2363" s="10">
        <v>400821.95010000002</v>
      </c>
    </row>
    <row r="2364" spans="1:12" x14ac:dyDescent="0.25">
      <c r="A2364">
        <v>2363</v>
      </c>
      <c r="B2364" s="3">
        <v>0.13442719914632476</v>
      </c>
      <c r="C2364" s="3">
        <v>3.4181877631581543E-2</v>
      </c>
      <c r="D2364" s="1">
        <v>380210.16273310478</v>
      </c>
      <c r="E2364" s="1">
        <v>14645638</v>
      </c>
      <c r="F2364" s="1">
        <v>73062656</v>
      </c>
      <c r="G2364" s="16">
        <v>33300.664399382949</v>
      </c>
      <c r="H2364">
        <v>119.12</v>
      </c>
      <c r="I2364" s="1">
        <v>292.95000000000005</v>
      </c>
      <c r="J2364" s="16">
        <v>413510.82713248773</v>
      </c>
      <c r="K2364" s="5">
        <v>0.11055352774296673</v>
      </c>
      <c r="L2364" s="10">
        <v>1146284.6473999999</v>
      </c>
    </row>
    <row r="2365" spans="1:12" x14ac:dyDescent="0.25">
      <c r="A2365">
        <v>2364</v>
      </c>
      <c r="B2365" s="3">
        <v>0.18239286108031477</v>
      </c>
      <c r="C2365" s="3">
        <v>2.5888892324717448E-2</v>
      </c>
      <c r="D2365" s="1">
        <v>60542.150552929386</v>
      </c>
      <c r="E2365" s="1">
        <v>2073130</v>
      </c>
      <c r="F2365" s="1">
        <v>15323355</v>
      </c>
      <c r="G2365" s="16">
        <v>12809.819959524059</v>
      </c>
      <c r="H2365">
        <v>64.55</v>
      </c>
      <c r="I2365" s="1">
        <v>293.19</v>
      </c>
      <c r="J2365" s="16">
        <v>73351.970512453438</v>
      </c>
      <c r="K2365" s="5">
        <v>0.19034099605249946</v>
      </c>
      <c r="L2365" s="10">
        <v>513638.1507</v>
      </c>
    </row>
    <row r="2366" spans="1:12" x14ac:dyDescent="0.25">
      <c r="A2366">
        <v>2365</v>
      </c>
      <c r="B2366" s="3">
        <v>0.21473225567575832</v>
      </c>
      <c r="C2366" s="3">
        <v>4.7688627419403447E-2</v>
      </c>
      <c r="D2366" s="1">
        <v>100955.27002514928</v>
      </c>
      <c r="E2366" s="1">
        <v>4968906</v>
      </c>
      <c r="F2366" s="1">
        <v>27312569</v>
      </c>
      <c r="G2366" s="16">
        <v>20327.758017228862</v>
      </c>
      <c r="H2366">
        <v>166.04</v>
      </c>
      <c r="I2366" s="1">
        <v>441.16999999999996</v>
      </c>
      <c r="J2366" s="16">
        <v>121283.02804237814</v>
      </c>
      <c r="K2366" s="5">
        <v>0.14126273151226398</v>
      </c>
      <c r="L2366" s="10">
        <v>301693.1997</v>
      </c>
    </row>
    <row r="2367" spans="1:12" x14ac:dyDescent="0.25">
      <c r="A2367">
        <v>2366</v>
      </c>
      <c r="B2367" s="3">
        <v>0.22078323885761492</v>
      </c>
      <c r="C2367" s="3">
        <v>2.2537741770857166E-2</v>
      </c>
      <c r="D2367" s="1">
        <v>109490.99779696552</v>
      </c>
      <c r="E2367" s="1">
        <v>4331180</v>
      </c>
      <c r="F2367" s="1">
        <v>18745540</v>
      </c>
      <c r="G2367" s="16">
        <v>15641.470917044524</v>
      </c>
      <c r="H2367">
        <v>134.66</v>
      </c>
      <c r="I2367" s="1">
        <v>400.03</v>
      </c>
      <c r="J2367" s="16">
        <v>125132.46871401004</v>
      </c>
      <c r="K2367" s="5">
        <v>0.15817561283430775</v>
      </c>
      <c r="L2367" s="10">
        <v>766557.66280000005</v>
      </c>
    </row>
    <row r="2368" spans="1:12" x14ac:dyDescent="0.25">
      <c r="A2368">
        <v>2367</v>
      </c>
      <c r="B2368" s="3">
        <v>0.10707944053201035</v>
      </c>
      <c r="C2368" s="3">
        <v>7.5870287681759421E-2</v>
      </c>
      <c r="D2368" s="1">
        <v>1039684.2961786102</v>
      </c>
      <c r="E2368" s="1">
        <v>38390799</v>
      </c>
      <c r="F2368" s="1">
        <v>105960554</v>
      </c>
      <c r="G2368" s="16">
        <v>40637.719756476159</v>
      </c>
      <c r="H2368">
        <v>135.24</v>
      </c>
      <c r="I2368" s="1">
        <v>443.88</v>
      </c>
      <c r="J2368" s="16">
        <v>1080322.0159350864</v>
      </c>
      <c r="K2368" s="5">
        <v>3.0566301201075223E-2</v>
      </c>
      <c r="L2368" s="10">
        <v>359662.30989999999</v>
      </c>
    </row>
    <row r="2369" spans="1:12" x14ac:dyDescent="0.25">
      <c r="A2369">
        <v>2368</v>
      </c>
      <c r="B2369" s="3">
        <v>0.20893257917648783</v>
      </c>
      <c r="C2369" s="3">
        <v>3.1245342851175431E-2</v>
      </c>
      <c r="D2369" s="1">
        <v>110679.70523239992</v>
      </c>
      <c r="E2369" s="1">
        <v>4184370</v>
      </c>
      <c r="F2369" s="1">
        <v>17800604</v>
      </c>
      <c r="G2369" s="16">
        <v>17976.152209464708</v>
      </c>
      <c r="H2369">
        <v>110.63</v>
      </c>
      <c r="I2369" s="1">
        <v>299.41999999999996</v>
      </c>
      <c r="J2369" s="16">
        <v>128655.85744186463</v>
      </c>
      <c r="K2369" s="5">
        <v>3.158435405636642E-2</v>
      </c>
      <c r="L2369" s="10">
        <v>119322.83839999999</v>
      </c>
    </row>
    <row r="2370" spans="1:12" x14ac:dyDescent="0.25">
      <c r="A2370">
        <v>2369</v>
      </c>
      <c r="B2370" s="3">
        <v>0.11740904919737054</v>
      </c>
      <c r="C2370" s="3">
        <v>4.3309459043234515E-2</v>
      </c>
      <c r="D2370" s="1">
        <v>164909.06530948507</v>
      </c>
      <c r="E2370" s="1">
        <v>4489201</v>
      </c>
      <c r="F2370" s="1">
        <v>20978771</v>
      </c>
      <c r="G2370" s="16">
        <v>121926.56269699648</v>
      </c>
      <c r="H2370">
        <v>498.39</v>
      </c>
      <c r="I2370" s="1">
        <v>1418.27</v>
      </c>
      <c r="J2370" s="16">
        <v>286835.62800648157</v>
      </c>
      <c r="K2370" s="5">
        <v>1.6470096990675948E-2</v>
      </c>
      <c r="L2370" s="10">
        <v>106597.0888</v>
      </c>
    </row>
    <row r="2371" spans="1:12" x14ac:dyDescent="0.25">
      <c r="A2371">
        <v>2370</v>
      </c>
      <c r="B2371" s="3">
        <v>0.19713158861296642</v>
      </c>
      <c r="C2371" s="3">
        <v>4.8661368704406766E-2</v>
      </c>
      <c r="D2371" s="1">
        <v>90327.285943400755</v>
      </c>
      <c r="E2371" s="1">
        <v>3266548</v>
      </c>
      <c r="F2371" s="1">
        <v>21034716</v>
      </c>
      <c r="G2371" s="16">
        <v>52198.595342986737</v>
      </c>
      <c r="H2371">
        <v>454.56</v>
      </c>
      <c r="I2371" s="1">
        <v>1081.1500000000001</v>
      </c>
      <c r="J2371" s="16">
        <v>142525.88128638751</v>
      </c>
      <c r="K2371" s="5">
        <v>0.11788186324496129</v>
      </c>
      <c r="L2371" s="10">
        <v>271983.9656</v>
      </c>
    </row>
    <row r="2372" spans="1:12" x14ac:dyDescent="0.25">
      <c r="A2372">
        <v>2371</v>
      </c>
      <c r="B2372" s="3">
        <v>0.20217848667338456</v>
      </c>
      <c r="C2372" s="3">
        <v>6.0153621869514895E-2</v>
      </c>
      <c r="D2372" s="1">
        <v>137294.72048766419</v>
      </c>
      <c r="E2372" s="1">
        <v>6342118</v>
      </c>
      <c r="F2372" s="1">
        <v>23318800</v>
      </c>
      <c r="G2372" s="16">
        <v>29865.375004276761</v>
      </c>
      <c r="H2372">
        <v>218.34</v>
      </c>
      <c r="I2372" s="1">
        <v>609.5</v>
      </c>
      <c r="J2372" s="16">
        <v>167160.09549194094</v>
      </c>
      <c r="K2372" s="5">
        <v>0.11650685220287962</v>
      </c>
      <c r="L2372" s="10">
        <v>240716.5098</v>
      </c>
    </row>
    <row r="2373" spans="1:12" x14ac:dyDescent="0.25">
      <c r="A2373">
        <v>2372</v>
      </c>
      <c r="B2373" s="3">
        <v>0.14574147002557611</v>
      </c>
      <c r="C2373" s="3">
        <v>4.2929182462596707E-2</v>
      </c>
      <c r="D2373" s="1">
        <v>36776.692106727583</v>
      </c>
      <c r="E2373" s="1">
        <v>943185</v>
      </c>
      <c r="F2373" s="1">
        <v>7572859</v>
      </c>
      <c r="G2373" s="16">
        <v>32482.380499540133</v>
      </c>
      <c r="H2373">
        <v>125.59</v>
      </c>
      <c r="I2373" s="1">
        <v>319.80999999999995</v>
      </c>
      <c r="J2373" s="16">
        <v>69259.072606267713</v>
      </c>
      <c r="K2373" s="5">
        <v>7.4694581122188311E-2</v>
      </c>
      <c r="L2373" s="10">
        <v>118730.08530000001</v>
      </c>
    </row>
    <row r="2374" spans="1:12" x14ac:dyDescent="0.25">
      <c r="A2374">
        <v>2373</v>
      </c>
      <c r="B2374" s="3">
        <v>0.12672364714695994</v>
      </c>
      <c r="C2374" s="3">
        <v>4.258306219573825E-2</v>
      </c>
      <c r="D2374" s="1">
        <v>421921.25542630779</v>
      </c>
      <c r="E2374" s="1">
        <v>15548053</v>
      </c>
      <c r="F2374" s="1">
        <v>56895071</v>
      </c>
      <c r="G2374" s="16">
        <v>71290.051100764511</v>
      </c>
      <c r="H2374">
        <v>316.97000000000003</v>
      </c>
      <c r="I2374" s="1">
        <v>834.95</v>
      </c>
      <c r="J2374" s="16">
        <v>493211.30652707233</v>
      </c>
      <c r="K2374" s="5">
        <v>0.2513758303257666</v>
      </c>
      <c r="L2374" s="10">
        <v>2202764.3440999999</v>
      </c>
    </row>
    <row r="2375" spans="1:12" x14ac:dyDescent="0.25">
      <c r="A2375">
        <v>2374</v>
      </c>
      <c r="B2375" s="3">
        <v>0.23899153241924179</v>
      </c>
      <c r="C2375" s="3">
        <v>3.079495864070015E-2</v>
      </c>
      <c r="D2375" s="1">
        <v>68841.691020587183</v>
      </c>
      <c r="E2375" s="1">
        <v>3841462</v>
      </c>
      <c r="F2375" s="1">
        <v>21568083</v>
      </c>
      <c r="G2375" s="16">
        <v>13485.971459747945</v>
      </c>
      <c r="H2375">
        <v>137.26</v>
      </c>
      <c r="I2375" s="1">
        <v>590.61</v>
      </c>
      <c r="J2375" s="16">
        <v>82327.66248033513</v>
      </c>
      <c r="K2375" s="5">
        <v>-5.9386865471758143E-2</v>
      </c>
      <c r="L2375" s="10">
        <v>-123479.5285</v>
      </c>
    </row>
    <row r="2376" spans="1:12" x14ac:dyDescent="0.25">
      <c r="A2376">
        <v>2375</v>
      </c>
      <c r="B2376" s="3">
        <v>0.13905631331985102</v>
      </c>
      <c r="C2376" s="3">
        <v>7.1236549339794633E-2</v>
      </c>
      <c r="D2376" s="1">
        <v>39087.254929124276</v>
      </c>
      <c r="E2376" s="1">
        <v>986935</v>
      </c>
      <c r="F2376" s="1">
        <v>7943951</v>
      </c>
      <c r="G2376" s="16">
        <v>36524.317108940792</v>
      </c>
      <c r="H2376">
        <v>156.96</v>
      </c>
      <c r="I2376" s="1">
        <v>508.91000000000008</v>
      </c>
      <c r="J2376" s="16">
        <v>75611.57203806506</v>
      </c>
      <c r="K2376" s="5">
        <v>0.10953188779114971</v>
      </c>
      <c r="L2376" s="10">
        <v>82011.930699999997</v>
      </c>
    </row>
    <row r="2377" spans="1:12" x14ac:dyDescent="0.25">
      <c r="A2377">
        <v>2376</v>
      </c>
      <c r="B2377" s="3">
        <v>0.24540563985979097</v>
      </c>
      <c r="C2377" s="3">
        <v>3.0514741598278716E-2</v>
      </c>
      <c r="D2377" s="1">
        <v>126039.81723248001</v>
      </c>
      <c r="E2377" s="1">
        <v>5489973</v>
      </c>
      <c r="F2377" s="1">
        <v>21126660</v>
      </c>
      <c r="G2377" s="16">
        <v>22877.501176082511</v>
      </c>
      <c r="H2377">
        <v>246.93</v>
      </c>
      <c r="I2377" s="1">
        <v>704.95</v>
      </c>
      <c r="J2377" s="16">
        <v>148917.31840856251</v>
      </c>
      <c r="K2377" s="5">
        <v>2.3093872639135656E-2</v>
      </c>
      <c r="L2377" s="10">
        <v>88329.400399999999</v>
      </c>
    </row>
    <row r="2378" spans="1:12" x14ac:dyDescent="0.25">
      <c r="A2378">
        <v>2377</v>
      </c>
      <c r="B2378" s="3">
        <v>0.24687439042036291</v>
      </c>
      <c r="C2378" s="3">
        <v>7.5119937832934761E-2</v>
      </c>
      <c r="D2378" s="1">
        <v>36893.739277019136</v>
      </c>
      <c r="E2378" s="1">
        <v>1217360</v>
      </c>
      <c r="F2378" s="1">
        <v>7375329</v>
      </c>
      <c r="G2378" s="16">
        <v>9338.6590333188942</v>
      </c>
      <c r="H2378">
        <v>76.91</v>
      </c>
      <c r="I2378" s="1">
        <v>241.72</v>
      </c>
      <c r="J2378" s="16">
        <v>46232.398310338031</v>
      </c>
      <c r="K2378" s="5">
        <v>0.11024396964926461</v>
      </c>
      <c r="L2378" s="10">
        <v>59423.5651</v>
      </c>
    </row>
    <row r="2379" spans="1:12" x14ac:dyDescent="0.25">
      <c r="A2379">
        <v>2378</v>
      </c>
      <c r="B2379" s="3">
        <v>0.18063048263283499</v>
      </c>
      <c r="C2379" s="3">
        <v>3.58517082377591E-2</v>
      </c>
      <c r="D2379" s="1">
        <v>130003.06414554565</v>
      </c>
      <c r="E2379" s="1">
        <v>5398054</v>
      </c>
      <c r="F2379" s="1">
        <v>28879577</v>
      </c>
      <c r="G2379" s="16">
        <v>27740.696369695066</v>
      </c>
      <c r="H2379">
        <v>168.54</v>
      </c>
      <c r="I2379" s="1">
        <v>471.53999999999996</v>
      </c>
      <c r="J2379" s="16">
        <v>157743.76051524072</v>
      </c>
      <c r="K2379" s="5">
        <v>0.19114920679411401</v>
      </c>
      <c r="L2379" s="10">
        <v>731890.97959999996</v>
      </c>
    </row>
    <row r="2380" spans="1:12" x14ac:dyDescent="0.25">
      <c r="A2380">
        <v>2379</v>
      </c>
      <c r="B2380" s="3">
        <v>0.18089016855341283</v>
      </c>
      <c r="C2380" s="3">
        <v>7.130421323206132E-2</v>
      </c>
      <c r="D2380" s="1">
        <v>62821.236035783666</v>
      </c>
      <c r="E2380" s="1">
        <v>2139358</v>
      </c>
      <c r="F2380" s="1">
        <v>12027389</v>
      </c>
      <c r="G2380" s="16">
        <v>24130.99542551384</v>
      </c>
      <c r="H2380">
        <v>146.76</v>
      </c>
      <c r="I2380" s="1">
        <v>472.59000000000003</v>
      </c>
      <c r="J2380" s="16">
        <v>86952.231461297502</v>
      </c>
      <c r="K2380" s="5">
        <v>0.23815601883408494</v>
      </c>
      <c r="L2380" s="10">
        <v>197473.4497</v>
      </c>
    </row>
    <row r="2381" spans="1:12" x14ac:dyDescent="0.25">
      <c r="A2381">
        <v>2380</v>
      </c>
      <c r="B2381" s="3">
        <v>0.17205773189631876</v>
      </c>
      <c r="C2381" s="3">
        <v>3.1976888402969195E-2</v>
      </c>
      <c r="D2381" s="1">
        <v>54180.342828446017</v>
      </c>
      <c r="E2381" s="1">
        <v>1786672</v>
      </c>
      <c r="F2381" s="1">
        <v>13481014</v>
      </c>
      <c r="G2381" s="16">
        <v>33098.607786091947</v>
      </c>
      <c r="H2381">
        <v>225.54</v>
      </c>
      <c r="I2381" s="1">
        <v>775.8</v>
      </c>
      <c r="J2381" s="16">
        <v>87278.950614537956</v>
      </c>
      <c r="K2381" s="5">
        <v>6.3624751497570853E-2</v>
      </c>
      <c r="L2381" s="10">
        <v>170883.5607</v>
      </c>
    </row>
    <row r="2382" spans="1:12" x14ac:dyDescent="0.25">
      <c r="A2382">
        <v>2381</v>
      </c>
      <c r="B2382" s="3">
        <v>0.17222452192985199</v>
      </c>
      <c r="C2382" s="3">
        <v>6.1910348450946714E-2</v>
      </c>
      <c r="D2382" s="1">
        <v>300190.35098954121</v>
      </c>
      <c r="E2382" s="1">
        <v>14455611</v>
      </c>
      <c r="F2382" s="1">
        <v>50451025</v>
      </c>
      <c r="G2382" s="16">
        <v>30887.693440660405</v>
      </c>
      <c r="H2382">
        <v>174.16</v>
      </c>
      <c r="I2382" s="1">
        <v>429.51</v>
      </c>
      <c r="J2382" s="16">
        <v>331078.04443020164</v>
      </c>
      <c r="K2382" s="5">
        <v>0.30587263627889993</v>
      </c>
      <c r="L2382" s="10">
        <v>1103506.9475</v>
      </c>
    </row>
    <row r="2383" spans="1:12" x14ac:dyDescent="0.25">
      <c r="A2383">
        <v>2382</v>
      </c>
      <c r="B2383" s="3">
        <v>0.15517856422323104</v>
      </c>
      <c r="C2383" s="3">
        <v>4.7795158146785532E-2</v>
      </c>
      <c r="D2383" s="1">
        <v>74873.381157289201</v>
      </c>
      <c r="E2383" s="1">
        <v>2323998</v>
      </c>
      <c r="F2383" s="1">
        <v>12580166</v>
      </c>
      <c r="G2383" s="16">
        <v>14185.785908538848</v>
      </c>
      <c r="H2383">
        <v>58.72</v>
      </c>
      <c r="I2383" s="1">
        <v>237.28</v>
      </c>
      <c r="J2383" s="16">
        <v>89059.167065828049</v>
      </c>
      <c r="K2383" s="5">
        <v>7.6835868027891163E-2</v>
      </c>
      <c r="L2383" s="10">
        <v>110358.89780000001</v>
      </c>
    </row>
    <row r="2384" spans="1:12" x14ac:dyDescent="0.25">
      <c r="A2384">
        <v>2383</v>
      </c>
      <c r="B2384" s="3">
        <v>0.23902616117278913</v>
      </c>
      <c r="C2384" s="3">
        <v>2.18713123523652E-2</v>
      </c>
      <c r="D2384" s="1">
        <v>198473.6213598774</v>
      </c>
      <c r="E2384" s="1">
        <v>14556491</v>
      </c>
      <c r="F2384" s="1">
        <v>46064748</v>
      </c>
      <c r="G2384" s="16">
        <v>13614.881297750217</v>
      </c>
      <c r="H2384">
        <v>105.74</v>
      </c>
      <c r="I2384" s="1">
        <v>309.87</v>
      </c>
      <c r="J2384" s="16">
        <v>212088.50265762763</v>
      </c>
      <c r="K2384" s="5">
        <v>0.12538480898985715</v>
      </c>
      <c r="L2384" s="10">
        <v>1063580.6140000001</v>
      </c>
    </row>
    <row r="2385" spans="1:12" x14ac:dyDescent="0.25">
      <c r="A2385">
        <v>2384</v>
      </c>
      <c r="B2385" s="3">
        <v>0.10667415283152097</v>
      </c>
      <c r="C2385" s="3">
        <v>4.1205826550152466E-2</v>
      </c>
      <c r="D2385" s="1">
        <v>371022.36320905742</v>
      </c>
      <c r="E2385" s="1">
        <v>12205438</v>
      </c>
      <c r="F2385" s="1">
        <v>44582768</v>
      </c>
      <c r="G2385" s="16">
        <v>22431.01394837242</v>
      </c>
      <c r="H2385">
        <v>66.41</v>
      </c>
      <c r="I2385" s="1">
        <v>271.76</v>
      </c>
      <c r="J2385" s="16">
        <v>393453.37715742982</v>
      </c>
      <c r="K2385" s="5">
        <v>1.2571995069168514E-2</v>
      </c>
      <c r="L2385" s="10">
        <v>148661.4203</v>
      </c>
    </row>
    <row r="2386" spans="1:12" x14ac:dyDescent="0.25">
      <c r="A2386">
        <v>2385</v>
      </c>
      <c r="B2386" s="3">
        <v>0.22261416822892388</v>
      </c>
      <c r="C2386" s="3">
        <v>6.1373660728386917E-2</v>
      </c>
      <c r="D2386" s="1">
        <v>191268.42758173871</v>
      </c>
      <c r="E2386" s="1">
        <v>9801665</v>
      </c>
      <c r="F2386" s="1">
        <v>37634631</v>
      </c>
      <c r="G2386" s="16">
        <v>47685.275370192925</v>
      </c>
      <c r="H2386">
        <v>691.39</v>
      </c>
      <c r="I2386" s="1">
        <v>1740.06</v>
      </c>
      <c r="J2386" s="16">
        <v>238953.70295193163</v>
      </c>
      <c r="K2386" s="5">
        <v>0.14063198176805405</v>
      </c>
      <c r="L2386" s="10">
        <v>410252.2267</v>
      </c>
    </row>
    <row r="2387" spans="1:12" x14ac:dyDescent="0.25">
      <c r="A2387">
        <v>2386</v>
      </c>
      <c r="B2387" s="3">
        <v>0.18648941891741538</v>
      </c>
      <c r="C2387" s="3">
        <v>5.1672938247380631E-2</v>
      </c>
      <c r="D2387" s="1">
        <v>308495.6375067886</v>
      </c>
      <c r="E2387" s="1">
        <v>16204496</v>
      </c>
      <c r="F2387" s="1">
        <v>52297360</v>
      </c>
      <c r="G2387" s="16">
        <v>19384.721806560578</v>
      </c>
      <c r="H2387">
        <v>123.7</v>
      </c>
      <c r="I2387" s="1">
        <v>421.47999999999996</v>
      </c>
      <c r="J2387" s="16">
        <v>327880.35931334918</v>
      </c>
      <c r="K2387" s="5">
        <v>-6.4405846868392319E-2</v>
      </c>
      <c r="L2387" s="10">
        <v>-256910.2818</v>
      </c>
    </row>
    <row r="2388" spans="1:12" x14ac:dyDescent="0.25">
      <c r="A2388">
        <v>2387</v>
      </c>
      <c r="B2388" s="3">
        <v>0.23911187995407079</v>
      </c>
      <c r="C2388" s="3">
        <v>7.0314380279116587E-2</v>
      </c>
      <c r="D2388" s="1">
        <v>150668.33782364559</v>
      </c>
      <c r="E2388" s="1">
        <v>8412823</v>
      </c>
      <c r="F2388" s="1">
        <v>40326548</v>
      </c>
      <c r="G2388" s="16">
        <v>14791.376397052187</v>
      </c>
      <c r="H2388">
        <v>150.77000000000001</v>
      </c>
      <c r="I2388" s="1">
        <v>510.51</v>
      </c>
      <c r="J2388" s="16">
        <v>165459.71422069779</v>
      </c>
      <c r="K2388" s="5">
        <v>2.8895597458489887E-2</v>
      </c>
      <c r="L2388" s="10">
        <v>72780.117599999998</v>
      </c>
    </row>
    <row r="2389" spans="1:12" x14ac:dyDescent="0.25">
      <c r="A2389">
        <v>2388</v>
      </c>
      <c r="B2389" s="3">
        <v>0.10077970011810612</v>
      </c>
      <c r="C2389" s="3">
        <v>2.6644814469678833E-2</v>
      </c>
      <c r="D2389" s="1">
        <v>151570.73654988827</v>
      </c>
      <c r="E2389" s="1">
        <v>4338640</v>
      </c>
      <c r="F2389" s="1">
        <v>27288093</v>
      </c>
      <c r="G2389" s="16">
        <v>18470.218759803629</v>
      </c>
      <c r="H2389">
        <v>47.25</v>
      </c>
      <c r="I2389" s="1">
        <v>158.29000000000002</v>
      </c>
      <c r="J2389" s="16">
        <v>170040.9553096919</v>
      </c>
      <c r="K2389" s="5">
        <v>7.6646216170423567E-2</v>
      </c>
      <c r="L2389" s="10">
        <v>457618.9155</v>
      </c>
    </row>
    <row r="2390" spans="1:12" x14ac:dyDescent="0.25">
      <c r="A2390">
        <v>2389</v>
      </c>
      <c r="B2390" s="3">
        <v>0.11390007275010272</v>
      </c>
      <c r="C2390" s="3">
        <v>3.3491277123755034E-2</v>
      </c>
      <c r="D2390" s="1">
        <v>68467.093917919527</v>
      </c>
      <c r="E2390" s="1">
        <v>1841775</v>
      </c>
      <c r="F2390" s="1">
        <v>11022364</v>
      </c>
      <c r="G2390" s="16">
        <v>33021.615368791296</v>
      </c>
      <c r="H2390">
        <v>102.58</v>
      </c>
      <c r="I2390" s="1">
        <v>258.45</v>
      </c>
      <c r="J2390" s="16">
        <v>101488.70928671083</v>
      </c>
      <c r="K2390" s="5">
        <v>-9.6261033875335474E-3</v>
      </c>
      <c r="L2390" s="10">
        <v>-10290.978499999999</v>
      </c>
    </row>
    <row r="2391" spans="1:12" x14ac:dyDescent="0.25">
      <c r="A2391">
        <v>2390</v>
      </c>
      <c r="B2391" s="3">
        <v>0.13989574363769336</v>
      </c>
      <c r="C2391" s="3">
        <v>7.7913091553029348E-2</v>
      </c>
      <c r="D2391" s="1">
        <v>110169.93857128116</v>
      </c>
      <c r="E2391" s="1">
        <v>3240504</v>
      </c>
      <c r="F2391" s="1">
        <v>20405096</v>
      </c>
      <c r="G2391" s="16">
        <v>53893.209015395099</v>
      </c>
      <c r="H2391">
        <v>232.8</v>
      </c>
      <c r="I2391" s="1">
        <v>618.62000000000012</v>
      </c>
      <c r="J2391" s="16">
        <v>164063.14758667626</v>
      </c>
      <c r="K2391" s="5">
        <v>0.19237699926467489</v>
      </c>
      <c r="L2391" s="10">
        <v>278932.11109999998</v>
      </c>
    </row>
    <row r="2392" spans="1:12" x14ac:dyDescent="0.25">
      <c r="A2392">
        <v>2391</v>
      </c>
      <c r="B2392" s="3">
        <v>0.10582029314536981</v>
      </c>
      <c r="C2392" s="3">
        <v>4.0610601693574479E-2</v>
      </c>
      <c r="D2392" s="1">
        <v>219813.62710290289</v>
      </c>
      <c r="E2392" s="1">
        <v>6435143</v>
      </c>
      <c r="F2392" s="1">
        <v>38269780</v>
      </c>
      <c r="G2392" s="16">
        <v>68507.838268182721</v>
      </c>
      <c r="H2392">
        <v>252.25</v>
      </c>
      <c r="I2392" s="1">
        <v>845.82999999999993</v>
      </c>
      <c r="J2392" s="16">
        <v>288321.46537108562</v>
      </c>
      <c r="K2392" s="5">
        <v>1.6782962268014533E-2</v>
      </c>
      <c r="L2392" s="10">
        <v>109183.5518</v>
      </c>
    </row>
    <row r="2393" spans="1:12" x14ac:dyDescent="0.25">
      <c r="A2393">
        <v>2392</v>
      </c>
      <c r="B2393" s="3">
        <v>0.20679141585889854</v>
      </c>
      <c r="C2393" s="3">
        <v>7.3269626838150387E-2</v>
      </c>
      <c r="D2393" s="1">
        <v>134277.26630607655</v>
      </c>
      <c r="E2393" s="1">
        <v>8003287</v>
      </c>
      <c r="F2393" s="1">
        <v>43180343</v>
      </c>
      <c r="G2393" s="16">
        <v>15412.560663775661</v>
      </c>
      <c r="H2393">
        <v>93.01</v>
      </c>
      <c r="I2393" s="1">
        <v>307.70999999999998</v>
      </c>
      <c r="J2393" s="16">
        <v>149689.82696985221</v>
      </c>
      <c r="K2393" s="5">
        <v>0.13722585540000584</v>
      </c>
      <c r="L2393" s="10">
        <v>234959.04070000001</v>
      </c>
    </row>
    <row r="2394" spans="1:12" x14ac:dyDescent="0.25">
      <c r="A2394">
        <v>2393</v>
      </c>
      <c r="B2394" s="3">
        <v>0.17856654613870121</v>
      </c>
      <c r="C2394" s="3">
        <v>5.7606445418014615E-2</v>
      </c>
      <c r="D2394" s="1">
        <v>482987.16822523827</v>
      </c>
      <c r="E2394" s="1">
        <v>24170018</v>
      </c>
      <c r="F2394" s="1">
        <v>76223061</v>
      </c>
      <c r="G2394" s="16">
        <v>29059.256395697172</v>
      </c>
      <c r="H2394">
        <v>173.24</v>
      </c>
      <c r="I2394" s="1">
        <v>567.29999999999995</v>
      </c>
      <c r="J2394" s="16">
        <v>512046.42462093546</v>
      </c>
      <c r="K2394" s="5">
        <v>0.2129060767660434</v>
      </c>
      <c r="L2394" s="10">
        <v>1257105.2934000001</v>
      </c>
    </row>
    <row r="2395" spans="1:12" x14ac:dyDescent="0.25">
      <c r="A2395">
        <v>2394</v>
      </c>
      <c r="B2395" s="3">
        <v>0.11902880026119837</v>
      </c>
      <c r="C2395" s="3">
        <v>3.0544708072552256E-2</v>
      </c>
      <c r="D2395" s="1">
        <v>253009.61361559146</v>
      </c>
      <c r="E2395" s="1">
        <v>7861274</v>
      </c>
      <c r="F2395" s="1">
        <v>36605166</v>
      </c>
      <c r="G2395" s="16">
        <v>77709.291225354857</v>
      </c>
      <c r="H2395">
        <v>322.33</v>
      </c>
      <c r="I2395" s="1">
        <v>1110.74</v>
      </c>
      <c r="J2395" s="16">
        <v>330718.90484094631</v>
      </c>
      <c r="K2395" s="5">
        <v>0.10293343664091514</v>
      </c>
      <c r="L2395" s="10">
        <v>943049.52949999995</v>
      </c>
    </row>
    <row r="2396" spans="1:12" x14ac:dyDescent="0.25">
      <c r="A2396">
        <v>2395</v>
      </c>
      <c r="B2396" s="3">
        <v>0.24747686756305301</v>
      </c>
      <c r="C2396" s="3">
        <v>4.3748949864371139E-2</v>
      </c>
      <c r="D2396" s="1">
        <v>119666.02410061839</v>
      </c>
      <c r="E2396" s="1">
        <v>9280568</v>
      </c>
      <c r="F2396" s="1">
        <v>55091046</v>
      </c>
      <c r="G2396" s="16">
        <v>12765.353847697254</v>
      </c>
      <c r="H2396">
        <v>105.82</v>
      </c>
      <c r="I2396" s="1">
        <v>346.07</v>
      </c>
      <c r="J2396" s="16">
        <v>132431.37794831564</v>
      </c>
      <c r="K2396" s="5">
        <v>0.14720205579301063</v>
      </c>
      <c r="L2396" s="10">
        <v>404206.40259999997</v>
      </c>
    </row>
    <row r="2397" spans="1:12" x14ac:dyDescent="0.25">
      <c r="A2397">
        <v>2396</v>
      </c>
      <c r="B2397" s="3">
        <v>0.13410207359974938</v>
      </c>
      <c r="C2397" s="3">
        <v>2.3518971756597375E-2</v>
      </c>
      <c r="D2397" s="1">
        <v>382806.42229436233</v>
      </c>
      <c r="E2397" s="1">
        <v>14718000</v>
      </c>
      <c r="F2397" s="1">
        <v>61542087</v>
      </c>
      <c r="G2397" s="16">
        <v>64521.54587985875</v>
      </c>
      <c r="H2397">
        <v>307.02999999999997</v>
      </c>
      <c r="I2397" s="1">
        <v>1093.3499999999999</v>
      </c>
      <c r="J2397" s="16">
        <v>447327.96817422111</v>
      </c>
      <c r="K2397" s="5">
        <v>0.13360069081598933</v>
      </c>
      <c r="L2397" s="10">
        <v>2255271.5602000002</v>
      </c>
    </row>
    <row r="2398" spans="1:12" x14ac:dyDescent="0.25">
      <c r="A2398">
        <v>2397</v>
      </c>
      <c r="B2398" s="3">
        <v>0.18368874449494094</v>
      </c>
      <c r="C2398" s="3">
        <v>2.6583769296780638E-2</v>
      </c>
      <c r="D2398" s="1">
        <v>114490.47130874748</v>
      </c>
      <c r="E2398" s="1">
        <v>5911441</v>
      </c>
      <c r="F2398" s="1">
        <v>45286829</v>
      </c>
      <c r="G2398" s="16">
        <v>21441.538375970984</v>
      </c>
      <c r="H2398">
        <v>133.68</v>
      </c>
      <c r="I2398" s="1">
        <v>511.15000000000003</v>
      </c>
      <c r="J2398" s="16">
        <v>135932.00968471848</v>
      </c>
      <c r="K2398" s="5">
        <v>0.23625759958192594</v>
      </c>
      <c r="L2398" s="10">
        <v>1136642.0168000001</v>
      </c>
    </row>
    <row r="2399" spans="1:12" x14ac:dyDescent="0.25">
      <c r="A2399">
        <v>2398</v>
      </c>
      <c r="B2399" s="3">
        <v>0.15006760527194829</v>
      </c>
      <c r="C2399" s="3">
        <v>5.08058739050474E-2</v>
      </c>
      <c r="D2399" s="1">
        <v>100294.41936486677</v>
      </c>
      <c r="E2399" s="1">
        <v>3057222</v>
      </c>
      <c r="F2399" s="1">
        <v>14810887</v>
      </c>
      <c r="G2399" s="16">
        <v>52967.751003135738</v>
      </c>
      <c r="H2399">
        <v>249.21</v>
      </c>
      <c r="I2399" s="1">
        <v>703.42000000000007</v>
      </c>
      <c r="J2399" s="16">
        <v>153262.17036800249</v>
      </c>
      <c r="K2399" s="5">
        <v>-8.4197811069976827E-3</v>
      </c>
      <c r="L2399" s="10">
        <v>-2074.0320999999999</v>
      </c>
    </row>
    <row r="2400" spans="1:12" x14ac:dyDescent="0.25">
      <c r="A2400">
        <v>2399</v>
      </c>
      <c r="B2400" s="3">
        <v>0.22594889894938286</v>
      </c>
      <c r="C2400" s="3">
        <v>2.79609996063327E-2</v>
      </c>
      <c r="D2400" s="1">
        <v>107992.99332377191</v>
      </c>
      <c r="E2400" s="1">
        <v>5630148</v>
      </c>
      <c r="F2400" s="1">
        <v>24339438</v>
      </c>
      <c r="G2400" s="16">
        <v>18555.825281825913</v>
      </c>
      <c r="H2400">
        <v>129.86000000000001</v>
      </c>
      <c r="I2400" s="1">
        <v>315.26</v>
      </c>
      <c r="J2400" s="16">
        <v>126548.81860559783</v>
      </c>
      <c r="K2400" s="5">
        <v>0.1822158782847737</v>
      </c>
      <c r="L2400" s="10">
        <v>698253.41850000003</v>
      </c>
    </row>
    <row r="2401" spans="1:12" x14ac:dyDescent="0.25">
      <c r="A2401">
        <v>2400</v>
      </c>
      <c r="B2401" s="3">
        <v>0.15930463619473267</v>
      </c>
      <c r="C2401" s="3">
        <v>6.8322386183241199E-2</v>
      </c>
      <c r="D2401" s="1">
        <v>102580.78694106954</v>
      </c>
      <c r="E2401" s="1">
        <v>3231119</v>
      </c>
      <c r="F2401" s="1">
        <v>19834768</v>
      </c>
      <c r="G2401" s="16">
        <v>24833.780931131354</v>
      </c>
      <c r="H2401">
        <v>105.89</v>
      </c>
      <c r="I2401" s="1">
        <v>372.89</v>
      </c>
      <c r="J2401" s="16">
        <v>127414.56787220089</v>
      </c>
      <c r="K2401" s="5">
        <v>0.2644647893024285</v>
      </c>
      <c r="L2401" s="10">
        <v>369109.2917</v>
      </c>
    </row>
    <row r="2402" spans="1:12" x14ac:dyDescent="0.25">
      <c r="A2402">
        <v>2401</v>
      </c>
      <c r="B2402" s="3">
        <v>0.12782532106036953</v>
      </c>
      <c r="C2402" s="3">
        <v>2.4023364453247244E-2</v>
      </c>
      <c r="D2402" s="1">
        <v>204647.41260476009</v>
      </c>
      <c r="E2402" s="1">
        <v>6619035</v>
      </c>
      <c r="F2402" s="1">
        <v>37566597</v>
      </c>
      <c r="G2402" s="16">
        <v>107155.0218666508</v>
      </c>
      <c r="H2402">
        <v>481.6</v>
      </c>
      <c r="I2402" s="1">
        <v>1199.9499999999998</v>
      </c>
      <c r="J2402" s="16">
        <v>311802.43447141087</v>
      </c>
      <c r="K2402" s="5">
        <v>0.13144332212403897</v>
      </c>
      <c r="L2402" s="10">
        <v>1506122.0418</v>
      </c>
    </row>
    <row r="2403" spans="1:12" x14ac:dyDescent="0.25">
      <c r="A2403">
        <v>2402</v>
      </c>
      <c r="B2403" s="3">
        <v>0.2087261787888284</v>
      </c>
      <c r="C2403" s="3">
        <v>6.4132952792781209E-2</v>
      </c>
      <c r="D2403" s="1">
        <v>113070.85252946345</v>
      </c>
      <c r="E2403" s="1">
        <v>5398164</v>
      </c>
      <c r="F2403" s="1">
        <v>25635514</v>
      </c>
      <c r="G2403" s="16">
        <v>12838.458309122889</v>
      </c>
      <c r="H2403">
        <v>78.739999999999995</v>
      </c>
      <c r="I2403" s="1">
        <v>318.60000000000002</v>
      </c>
      <c r="J2403" s="16">
        <v>125909.31083858633</v>
      </c>
      <c r="K2403" s="5">
        <v>0.22232641933647335</v>
      </c>
      <c r="L2403" s="10">
        <v>310307.03960000002</v>
      </c>
    </row>
    <row r="2404" spans="1:12" x14ac:dyDescent="0.25">
      <c r="A2404">
        <v>2403</v>
      </c>
      <c r="B2404" s="3">
        <v>0.19082473285879986</v>
      </c>
      <c r="C2404" s="3">
        <v>6.9846649533574445E-2</v>
      </c>
      <c r="D2404" s="1">
        <v>306494.1276564849</v>
      </c>
      <c r="E2404" s="1">
        <v>16535292</v>
      </c>
      <c r="F2404" s="1">
        <v>51319755</v>
      </c>
      <c r="G2404" s="16">
        <v>34756.990595379684</v>
      </c>
      <c r="H2404">
        <v>230.36</v>
      </c>
      <c r="I2404" s="1">
        <v>715.43000000000006</v>
      </c>
      <c r="J2404" s="16">
        <v>341251.11825186457</v>
      </c>
      <c r="K2404" s="5">
        <v>0.17732936719070364</v>
      </c>
      <c r="L2404" s="10">
        <v>614015.23450000002</v>
      </c>
    </row>
    <row r="2405" spans="1:12" x14ac:dyDescent="0.25">
      <c r="A2405">
        <v>2404</v>
      </c>
      <c r="B2405" s="3">
        <v>0.18357100836779586</v>
      </c>
      <c r="C2405" s="3">
        <v>3.0067024126876452E-2</v>
      </c>
      <c r="D2405" s="1">
        <v>122900.6146044114</v>
      </c>
      <c r="E2405" s="1">
        <v>5177064</v>
      </c>
      <c r="F2405" s="1">
        <v>25132746</v>
      </c>
      <c r="G2405" s="16">
        <v>13237.268834125032</v>
      </c>
      <c r="H2405">
        <v>82.39</v>
      </c>
      <c r="I2405" s="1">
        <v>448.42999999999995</v>
      </c>
      <c r="J2405" s="16">
        <v>136137.88343853643</v>
      </c>
      <c r="K2405" s="5">
        <v>3.0934615354950002E-2</v>
      </c>
      <c r="L2405" s="10">
        <v>117339.56879999999</v>
      </c>
    </row>
    <row r="2406" spans="1:12" x14ac:dyDescent="0.25">
      <c r="A2406">
        <v>2405</v>
      </c>
      <c r="B2406" s="3">
        <v>0.22460415399453126</v>
      </c>
      <c r="C2406" s="3">
        <v>5.4541373279698019E-2</v>
      </c>
      <c r="D2406" s="1">
        <v>166402.85575095969</v>
      </c>
      <c r="E2406" s="1">
        <v>8615286</v>
      </c>
      <c r="F2406" s="1">
        <v>35999087</v>
      </c>
      <c r="G2406" s="16">
        <v>15063.069876444559</v>
      </c>
      <c r="H2406">
        <v>104.2</v>
      </c>
      <c r="I2406" s="1">
        <v>348.83</v>
      </c>
      <c r="J2406" s="16">
        <v>181465.92562740424</v>
      </c>
      <c r="K2406" s="5">
        <v>0.20114112269010742</v>
      </c>
      <c r="L2406" s="10">
        <v>520258.75510000001</v>
      </c>
    </row>
    <row r="2407" spans="1:12" x14ac:dyDescent="0.25">
      <c r="A2407">
        <v>2406</v>
      </c>
      <c r="B2407" s="3">
        <v>0.21014433978145294</v>
      </c>
      <c r="C2407" s="3">
        <v>2.5569401102221903E-2</v>
      </c>
      <c r="D2407" s="1">
        <v>84113.969738801534</v>
      </c>
      <c r="E2407" s="1">
        <v>4044643</v>
      </c>
      <c r="F2407" s="1">
        <v>23851187</v>
      </c>
      <c r="G2407" s="16">
        <v>16954.155915053685</v>
      </c>
      <c r="H2407">
        <v>133.01</v>
      </c>
      <c r="I2407" s="1">
        <v>448.16999999999996</v>
      </c>
      <c r="J2407" s="16">
        <v>101068.12565385521</v>
      </c>
      <c r="K2407" s="5">
        <v>0.17813345588495608</v>
      </c>
      <c r="L2407" s="10">
        <v>604925.81839999999</v>
      </c>
    </row>
    <row r="2408" spans="1:12" x14ac:dyDescent="0.25">
      <c r="A2408">
        <v>2407</v>
      </c>
      <c r="B2408" s="3">
        <v>0.20213654408189025</v>
      </c>
      <c r="C2408" s="3">
        <v>7.9194061708104432E-2</v>
      </c>
      <c r="D2408" s="1">
        <v>293737.84529425373</v>
      </c>
      <c r="E2408" s="1">
        <v>13565897</v>
      </c>
      <c r="F2408" s="1">
        <v>42913912</v>
      </c>
      <c r="G2408" s="16">
        <v>11731.879075695999</v>
      </c>
      <c r="H2408">
        <v>68.31</v>
      </c>
      <c r="I2408" s="1">
        <v>213.59</v>
      </c>
      <c r="J2408" s="16">
        <v>305469.72436994972</v>
      </c>
      <c r="K2408" s="5">
        <v>0.20870627959527727</v>
      </c>
      <c r="L2408" s="10">
        <v>467266.48229999997</v>
      </c>
    </row>
    <row r="2409" spans="1:12" x14ac:dyDescent="0.25">
      <c r="A2409">
        <v>2408</v>
      </c>
      <c r="B2409" s="3">
        <v>0.2315965477456127</v>
      </c>
      <c r="C2409" s="3">
        <v>3.3634039367228349E-2</v>
      </c>
      <c r="D2409" s="1">
        <v>75544.941678228672</v>
      </c>
      <c r="E2409" s="1">
        <v>3116308</v>
      </c>
      <c r="F2409" s="1">
        <v>15589067</v>
      </c>
      <c r="G2409" s="16">
        <v>18180.403877440905</v>
      </c>
      <c r="H2409">
        <v>132.79</v>
      </c>
      <c r="I2409" s="1">
        <v>364.70000000000005</v>
      </c>
      <c r="J2409" s="16">
        <v>93725.34555566957</v>
      </c>
      <c r="K2409" s="5">
        <v>7.627308315164584E-2</v>
      </c>
      <c r="L2409" s="10">
        <v>197895.2856</v>
      </c>
    </row>
    <row r="2410" spans="1:12" x14ac:dyDescent="0.25">
      <c r="A2410">
        <v>2409</v>
      </c>
      <c r="B2410" s="3">
        <v>0.16420735531145131</v>
      </c>
      <c r="C2410" s="3">
        <v>5.0782962431968878E-2</v>
      </c>
      <c r="D2410" s="1">
        <v>206493.49413288766</v>
      </c>
      <c r="E2410" s="1">
        <v>7919820</v>
      </c>
      <c r="F2410" s="1">
        <v>33925816</v>
      </c>
      <c r="G2410" s="16">
        <v>26941.471961976964</v>
      </c>
      <c r="H2410">
        <v>142.21</v>
      </c>
      <c r="I2410" s="1">
        <v>449.65</v>
      </c>
      <c r="J2410" s="16">
        <v>233434.96609486462</v>
      </c>
      <c r="K2410" s="5">
        <v>3.2112516306946365E-2</v>
      </c>
      <c r="L2410" s="10">
        <v>141621.34520000001</v>
      </c>
    </row>
    <row r="2411" spans="1:12" x14ac:dyDescent="0.25">
      <c r="A2411">
        <v>2410</v>
      </c>
      <c r="B2411" s="3">
        <v>0.13050409727489082</v>
      </c>
      <c r="C2411" s="3">
        <v>5.8081880639472935E-2</v>
      </c>
      <c r="D2411" s="1">
        <v>130017.8957562875</v>
      </c>
      <c r="E2411" s="1">
        <v>3701716</v>
      </c>
      <c r="F2411" s="1">
        <v>17433413</v>
      </c>
      <c r="G2411" s="16">
        <v>90642.209450579147</v>
      </c>
      <c r="H2411">
        <v>417.67</v>
      </c>
      <c r="I2411" s="1">
        <v>1207.29</v>
      </c>
      <c r="J2411" s="16">
        <v>220660.10520686663</v>
      </c>
      <c r="K2411" s="5">
        <v>4.2845718802288359E-2</v>
      </c>
      <c r="L2411" s="10">
        <v>127046.8236</v>
      </c>
    </row>
    <row r="2412" spans="1:12" x14ac:dyDescent="0.25">
      <c r="A2412">
        <v>2411</v>
      </c>
      <c r="B2412" s="3">
        <v>0.14267618343517685</v>
      </c>
      <c r="C2412" s="3">
        <v>5.3501970364583748E-2</v>
      </c>
      <c r="D2412" s="1">
        <v>208791.72584296277</v>
      </c>
      <c r="E2412" s="1">
        <v>7233307</v>
      </c>
      <c r="F2412" s="1">
        <v>37791613</v>
      </c>
      <c r="G2412" s="16">
        <v>43735.398600305889</v>
      </c>
      <c r="H2412">
        <v>193.2</v>
      </c>
      <c r="I2412" s="1">
        <v>548.26</v>
      </c>
      <c r="J2412" s="16">
        <v>252527.12444326867</v>
      </c>
      <c r="K2412" s="5">
        <v>0.21052600717785572</v>
      </c>
      <c r="L2412" s="10">
        <v>749092.58539999998</v>
      </c>
    </row>
    <row r="2413" spans="1:12" x14ac:dyDescent="0.25">
      <c r="A2413">
        <v>2412</v>
      </c>
      <c r="B2413" s="3">
        <v>0.12534813916641177</v>
      </c>
      <c r="C2413" s="3">
        <v>6.8170114711567545E-2</v>
      </c>
      <c r="D2413" s="1">
        <v>72790.97552329248</v>
      </c>
      <c r="E2413" s="1">
        <v>2035984</v>
      </c>
      <c r="F2413" s="1">
        <v>15629777</v>
      </c>
      <c r="G2413" s="16">
        <v>40332.00225614605</v>
      </c>
      <c r="H2413">
        <v>155.05000000000001</v>
      </c>
      <c r="I2413" s="1">
        <v>456.63000000000005</v>
      </c>
      <c r="J2413" s="16">
        <v>113122.97777943853</v>
      </c>
      <c r="K2413" s="5">
        <v>0.13572422053192487</v>
      </c>
      <c r="L2413" s="10">
        <v>161819.6447</v>
      </c>
    </row>
    <row r="2414" spans="1:12" x14ac:dyDescent="0.25">
      <c r="A2414">
        <v>2413</v>
      </c>
      <c r="B2414" s="3">
        <v>0.16255048701083002</v>
      </c>
      <c r="C2414" s="3">
        <v>5.2563562492532662E-2</v>
      </c>
      <c r="D2414" s="1">
        <v>324929.24600841769</v>
      </c>
      <c r="E2414" s="1">
        <v>12363938</v>
      </c>
      <c r="F2414" s="1">
        <v>38555573</v>
      </c>
      <c r="G2414" s="16">
        <v>70343.219872753514</v>
      </c>
      <c r="H2414">
        <v>437.28</v>
      </c>
      <c r="I2414" s="1">
        <v>1159.3699999999999</v>
      </c>
      <c r="J2414" s="16">
        <v>395272.46588117117</v>
      </c>
      <c r="K2414" s="5">
        <v>-1.0374568734357881E-3</v>
      </c>
      <c r="L2414" s="10">
        <v>56714.151400000002</v>
      </c>
    </row>
    <row r="2415" spans="1:12" x14ac:dyDescent="0.25">
      <c r="A2415">
        <v>2414</v>
      </c>
      <c r="B2415" s="3">
        <v>0.21807996692903775</v>
      </c>
      <c r="C2415" s="3">
        <v>3.4664948239124665E-2</v>
      </c>
      <c r="D2415" s="1">
        <v>419481.69984500163</v>
      </c>
      <c r="E2415" s="1">
        <v>34351207</v>
      </c>
      <c r="F2415" s="1">
        <v>99400006</v>
      </c>
      <c r="G2415" s="16">
        <v>8312.8251177585571</v>
      </c>
      <c r="H2415">
        <v>54.67</v>
      </c>
      <c r="I2415" s="1">
        <v>257</v>
      </c>
      <c r="J2415" s="16">
        <v>427794.52496276016</v>
      </c>
      <c r="K2415" s="5">
        <v>0.1678003625566673</v>
      </c>
      <c r="L2415" s="10">
        <v>1616194.3840999999</v>
      </c>
    </row>
    <row r="2416" spans="1:12" x14ac:dyDescent="0.25">
      <c r="A2416">
        <v>2415</v>
      </c>
      <c r="B2416" s="3">
        <v>0.24896349504013379</v>
      </c>
      <c r="C2416" s="3">
        <v>7.9188213695970192E-2</v>
      </c>
      <c r="D2416" s="1">
        <v>66846.525510922045</v>
      </c>
      <c r="E2416" s="1">
        <v>2953241</v>
      </c>
      <c r="F2416" s="1">
        <v>17222524</v>
      </c>
      <c r="G2416" s="16">
        <v>13861.99246094813</v>
      </c>
      <c r="H2416">
        <v>116.08</v>
      </c>
      <c r="I2416" s="1">
        <v>301.31</v>
      </c>
      <c r="J2416" s="16">
        <v>80708.517971870169</v>
      </c>
      <c r="K2416" s="5">
        <v>0.21765116512529273</v>
      </c>
      <c r="L2416" s="10">
        <v>157156.51240000001</v>
      </c>
    </row>
    <row r="2417" spans="1:12" x14ac:dyDescent="0.25">
      <c r="A2417">
        <v>2416</v>
      </c>
      <c r="B2417" s="3">
        <v>0.234266455456973</v>
      </c>
      <c r="C2417" s="3">
        <v>7.6658874615559799E-2</v>
      </c>
      <c r="D2417" s="1">
        <v>183431.87351537895</v>
      </c>
      <c r="E2417" s="1">
        <v>9985430</v>
      </c>
      <c r="F2417" s="1">
        <v>32779144</v>
      </c>
      <c r="G2417" s="16">
        <v>11955.853290304472</v>
      </c>
      <c r="H2417">
        <v>116.72</v>
      </c>
      <c r="I2417" s="1">
        <v>451.28</v>
      </c>
      <c r="J2417" s="16">
        <v>195387.72680568343</v>
      </c>
      <c r="K2417" s="5">
        <v>9.2066296293268596E-2</v>
      </c>
      <c r="L2417" s="10">
        <v>163141.60130000001</v>
      </c>
    </row>
    <row r="2418" spans="1:12" x14ac:dyDescent="0.25">
      <c r="A2418">
        <v>2417</v>
      </c>
      <c r="B2418" s="3">
        <v>0.24788295487748785</v>
      </c>
      <c r="C2418" s="3">
        <v>6.3269353388961891E-2</v>
      </c>
      <c r="D2418" s="1">
        <v>155372.84401653602</v>
      </c>
      <c r="E2418" s="1">
        <v>9087321</v>
      </c>
      <c r="F2418" s="1">
        <v>30125384</v>
      </c>
      <c r="G2418" s="16">
        <v>22650.782634351548</v>
      </c>
      <c r="H2418">
        <v>333.13</v>
      </c>
      <c r="I2418" s="1">
        <v>876.68</v>
      </c>
      <c r="J2418" s="16">
        <v>178023.62665088757</v>
      </c>
      <c r="K2418" s="5">
        <v>8.546249030656812E-2</v>
      </c>
      <c r="L2418" s="10">
        <v>184830.93299999999</v>
      </c>
    </row>
    <row r="2419" spans="1:12" x14ac:dyDescent="0.25">
      <c r="A2419">
        <v>2418</v>
      </c>
      <c r="B2419" s="3">
        <v>0.24901312226184236</v>
      </c>
      <c r="C2419" s="3">
        <v>2.8847705190980469E-2</v>
      </c>
      <c r="D2419" s="1">
        <v>43971.713280843331</v>
      </c>
      <c r="E2419" s="1">
        <v>1943027</v>
      </c>
      <c r="F2419" s="1">
        <v>11145308</v>
      </c>
      <c r="G2419" s="16">
        <v>14656.409161351479</v>
      </c>
      <c r="H2419">
        <v>217.97</v>
      </c>
      <c r="I2419" s="1">
        <v>779.86</v>
      </c>
      <c r="J2419" s="16">
        <v>58628.122442194814</v>
      </c>
      <c r="K2419" s="5">
        <v>0.14659308070377738</v>
      </c>
      <c r="L2419" s="10">
        <v>260921.7916</v>
      </c>
    </row>
    <row r="2420" spans="1:12" x14ac:dyDescent="0.25">
      <c r="A2420">
        <v>2419</v>
      </c>
      <c r="B2420" s="3">
        <v>0.2114188661420271</v>
      </c>
      <c r="C2420" s="3">
        <v>7.0764465390445924E-2</v>
      </c>
      <c r="D2420" s="1">
        <v>148976.89485014888</v>
      </c>
      <c r="E2420" s="1">
        <v>7210011</v>
      </c>
      <c r="F2420" s="1">
        <v>34422944</v>
      </c>
      <c r="G2420" s="16">
        <v>14766.233105866915</v>
      </c>
      <c r="H2420">
        <v>92.43</v>
      </c>
      <c r="I2420" s="1">
        <v>256.84000000000003</v>
      </c>
      <c r="J2420" s="16">
        <v>163743.12795601579</v>
      </c>
      <c r="K2420" s="5">
        <v>0.1180242446524972</v>
      </c>
      <c r="L2420" s="10">
        <v>200481.2702</v>
      </c>
    </row>
    <row r="2421" spans="1:12" x14ac:dyDescent="0.25">
      <c r="A2421">
        <v>2420</v>
      </c>
      <c r="B2421" s="3">
        <v>0.1503217426453351</v>
      </c>
      <c r="C2421" s="3">
        <v>6.9607839545939756E-2</v>
      </c>
      <c r="D2421" s="1">
        <v>82888.790677699581</v>
      </c>
      <c r="E2421" s="1">
        <v>2528914</v>
      </c>
      <c r="F2421" s="1">
        <v>13964854</v>
      </c>
      <c r="G2421" s="16">
        <v>45788.748138123941</v>
      </c>
      <c r="H2421">
        <v>215.89</v>
      </c>
      <c r="I2421" s="1">
        <v>694.25</v>
      </c>
      <c r="J2421" s="16">
        <v>128677.53881582353</v>
      </c>
      <c r="K2421" s="5">
        <v>0.27998275231550079</v>
      </c>
      <c r="L2421" s="10">
        <v>358102.32490000001</v>
      </c>
    </row>
    <row r="2422" spans="1:12" x14ac:dyDescent="0.25">
      <c r="A2422">
        <v>2421</v>
      </c>
      <c r="B2422" s="3">
        <v>0.18953306759534538</v>
      </c>
      <c r="C2422" s="3">
        <v>3.8543760203747862E-2</v>
      </c>
      <c r="D2422" s="1">
        <v>113835.72044845247</v>
      </c>
      <c r="E2422" s="1">
        <v>4001991</v>
      </c>
      <c r="F2422" s="1">
        <v>19123922</v>
      </c>
      <c r="G2422" s="16">
        <v>20916.63099948928</v>
      </c>
      <c r="H2422">
        <v>136.94999999999999</v>
      </c>
      <c r="I2422" s="1">
        <v>412.09999999999997</v>
      </c>
      <c r="J2422" s="16">
        <v>134752.35144794174</v>
      </c>
      <c r="K2422" s="5">
        <v>2.7852128083118224E-2</v>
      </c>
      <c r="L2422" s="10">
        <v>86431.140799999994</v>
      </c>
    </row>
    <row r="2423" spans="1:12" x14ac:dyDescent="0.25">
      <c r="A2423">
        <v>2422</v>
      </c>
      <c r="B2423" s="3">
        <v>0.14327914188850116</v>
      </c>
      <c r="C2423" s="3">
        <v>3.0824216253587583E-2</v>
      </c>
      <c r="D2423" s="1">
        <v>238557.1273136831</v>
      </c>
      <c r="E2423" s="1">
        <v>8287771</v>
      </c>
      <c r="F2423" s="1">
        <v>37783412</v>
      </c>
      <c r="G2423" s="16">
        <v>19615.203512839733</v>
      </c>
      <c r="H2423">
        <v>74.58</v>
      </c>
      <c r="I2423" s="1">
        <v>245.05</v>
      </c>
      <c r="J2423" s="16">
        <v>258172.33082652284</v>
      </c>
      <c r="K2423" s="5">
        <v>0.18745761892716215</v>
      </c>
      <c r="L2423" s="10">
        <v>1290712.5759000001</v>
      </c>
    </row>
    <row r="2424" spans="1:12" x14ac:dyDescent="0.25">
      <c r="A2424">
        <v>2423</v>
      </c>
      <c r="B2424" s="3">
        <v>0.22753075015455856</v>
      </c>
      <c r="C2424" s="3">
        <v>7.8932295464330698E-2</v>
      </c>
      <c r="D2424" s="1">
        <v>162133.92427236697</v>
      </c>
      <c r="E2424" s="1">
        <v>8522206</v>
      </c>
      <c r="F2424" s="1">
        <v>31292456</v>
      </c>
      <c r="G2424" s="16">
        <v>28219.965216949608</v>
      </c>
      <c r="H2424">
        <v>334.84</v>
      </c>
      <c r="I2424" s="1">
        <v>874.02</v>
      </c>
      <c r="J2424" s="16">
        <v>190353.88948931659</v>
      </c>
      <c r="K2424" s="5">
        <v>4.5616221663197558E-2</v>
      </c>
      <c r="L2424" s="10">
        <v>116757.5168</v>
      </c>
    </row>
    <row r="2425" spans="1:12" x14ac:dyDescent="0.25">
      <c r="A2425">
        <v>2424</v>
      </c>
      <c r="B2425" s="3">
        <v>0.16974571548876272</v>
      </c>
      <c r="C2425" s="3">
        <v>2.7985460301711514E-2</v>
      </c>
      <c r="D2425" s="1">
        <v>346469.71899982874</v>
      </c>
      <c r="E2425" s="1">
        <v>16436617</v>
      </c>
      <c r="F2425" s="1">
        <v>61027734</v>
      </c>
      <c r="G2425" s="16">
        <v>18056.004816422159</v>
      </c>
      <c r="H2425">
        <v>83</v>
      </c>
      <c r="I2425" s="1">
        <v>254.43</v>
      </c>
      <c r="J2425" s="16">
        <v>364525.72381625092</v>
      </c>
      <c r="K2425" s="5">
        <v>6.7713938079340952E-2</v>
      </c>
      <c r="L2425" s="10">
        <v>815844.66570000001</v>
      </c>
    </row>
    <row r="2426" spans="1:12" x14ac:dyDescent="0.25">
      <c r="A2426">
        <v>2425</v>
      </c>
      <c r="B2426" s="3">
        <v>0.11433430290251792</v>
      </c>
      <c r="C2426" s="3">
        <v>7.8438585547209852E-2</v>
      </c>
      <c r="D2426" s="1">
        <v>131550.62122710643</v>
      </c>
      <c r="E2426" s="1">
        <v>3543938</v>
      </c>
      <c r="F2426" s="1">
        <v>17598844</v>
      </c>
      <c r="G2426" s="16">
        <v>30392.696075821001</v>
      </c>
      <c r="H2426">
        <v>107.04</v>
      </c>
      <c r="I2426" s="1">
        <v>414.93</v>
      </c>
      <c r="J2426" s="16">
        <v>161943.31730292743</v>
      </c>
      <c r="K2426" s="5">
        <v>0.25317920662500459</v>
      </c>
      <c r="L2426" s="10">
        <v>347313.47779999999</v>
      </c>
    </row>
    <row r="2427" spans="1:12" x14ac:dyDescent="0.25">
      <c r="A2427">
        <v>2426</v>
      </c>
      <c r="B2427" s="3">
        <v>0.14050861451554292</v>
      </c>
      <c r="C2427" s="3">
        <v>6.8759491626893335E-2</v>
      </c>
      <c r="D2427" s="1">
        <v>386827.62272657157</v>
      </c>
      <c r="E2427" s="1">
        <v>15435214</v>
      </c>
      <c r="F2427" s="1">
        <v>47052982</v>
      </c>
      <c r="G2427" s="16">
        <v>24829.022984115232</v>
      </c>
      <c r="H2427">
        <v>107.69</v>
      </c>
      <c r="I2427" s="1">
        <v>440.14</v>
      </c>
      <c r="J2427" s="16">
        <v>411656.6457106868</v>
      </c>
      <c r="K2427" s="5">
        <v>0.16536746106372205</v>
      </c>
      <c r="L2427" s="10">
        <v>633353.40650000004</v>
      </c>
    </row>
    <row r="2428" spans="1:12" x14ac:dyDescent="0.25">
      <c r="A2428">
        <v>2427</v>
      </c>
      <c r="B2428" s="3">
        <v>0.17883542325175739</v>
      </c>
      <c r="C2428" s="3">
        <v>4.3481758181920613E-2</v>
      </c>
      <c r="D2428" s="1">
        <v>329763.53271951637</v>
      </c>
      <c r="E2428" s="1">
        <v>16529312</v>
      </c>
      <c r="F2428" s="1">
        <v>48633841</v>
      </c>
      <c r="G2428" s="16">
        <v>45896.404167680252</v>
      </c>
      <c r="H2428">
        <v>274.08</v>
      </c>
      <c r="I2428" s="1">
        <v>740.64</v>
      </c>
      <c r="J2428" s="16">
        <v>375659.93688719661</v>
      </c>
      <c r="K2428" s="5">
        <v>0.1866907183065771</v>
      </c>
      <c r="L2428" s="10">
        <v>1207463.3130000001</v>
      </c>
    </row>
    <row r="2429" spans="1:12" x14ac:dyDescent="0.25">
      <c r="A2429">
        <v>2428</v>
      </c>
      <c r="B2429" s="3">
        <v>0.1572680433328201</v>
      </c>
      <c r="C2429" s="3">
        <v>7.621750754985232E-2</v>
      </c>
      <c r="D2429" s="1">
        <v>190984.22270567063</v>
      </c>
      <c r="E2429" s="1">
        <v>7086677</v>
      </c>
      <c r="F2429" s="1">
        <v>27521834</v>
      </c>
      <c r="G2429" s="16">
        <v>37557.144290753291</v>
      </c>
      <c r="H2429">
        <v>157.86000000000001</v>
      </c>
      <c r="I2429" s="1">
        <v>365.36</v>
      </c>
      <c r="J2429" s="16">
        <v>228541.36699642392</v>
      </c>
      <c r="K2429" s="5">
        <v>4.9516435598204699E-3</v>
      </c>
      <c r="L2429" s="10">
        <v>14513.6173</v>
      </c>
    </row>
    <row r="2430" spans="1:12" x14ac:dyDescent="0.25">
      <c r="A2430">
        <v>2429</v>
      </c>
      <c r="B2430" s="3">
        <v>0.12383231107829659</v>
      </c>
      <c r="C2430" s="3">
        <v>6.0092395575760085E-2</v>
      </c>
      <c r="D2430" s="1">
        <v>340498.26982326905</v>
      </c>
      <c r="E2430" s="1">
        <v>10813552</v>
      </c>
      <c r="F2430" s="1">
        <v>36083249</v>
      </c>
      <c r="G2430" s="16">
        <v>17269.195282082757</v>
      </c>
      <c r="H2430">
        <v>57.44</v>
      </c>
      <c r="I2430" s="1">
        <v>262.29000000000002</v>
      </c>
      <c r="J2430" s="16">
        <v>357767.46510535182</v>
      </c>
      <c r="K2430" s="5">
        <v>9.1972105829437711E-2</v>
      </c>
      <c r="L2430" s="10">
        <v>401450.17229999998</v>
      </c>
    </row>
    <row r="2431" spans="1:12" x14ac:dyDescent="0.25">
      <c r="A2431">
        <v>2430</v>
      </c>
      <c r="B2431" s="3">
        <v>0.13487044736618214</v>
      </c>
      <c r="C2431" s="3">
        <v>7.774289044820637E-2</v>
      </c>
      <c r="D2431" s="1">
        <v>225197.38812290688</v>
      </c>
      <c r="E2431" s="1">
        <v>7523880</v>
      </c>
      <c r="F2431" s="1">
        <v>34368996</v>
      </c>
      <c r="G2431" s="16">
        <v>16713.106320262334</v>
      </c>
      <c r="H2431">
        <v>59.96</v>
      </c>
      <c r="I2431" s="1">
        <v>245.00000000000003</v>
      </c>
      <c r="J2431" s="16">
        <v>241910.49444316921</v>
      </c>
      <c r="K2431" s="5">
        <v>0.16381206451633601</v>
      </c>
      <c r="L2431" s="10">
        <v>344980.36190000002</v>
      </c>
    </row>
    <row r="2432" spans="1:12" x14ac:dyDescent="0.25">
      <c r="A2432">
        <v>2431</v>
      </c>
      <c r="B2432" s="3">
        <v>0.22845912063014254</v>
      </c>
      <c r="C2432" s="3">
        <v>7.3829292257211451E-2</v>
      </c>
      <c r="D2432" s="1">
        <v>69849.057781384967</v>
      </c>
      <c r="E2432" s="1">
        <v>3689163</v>
      </c>
      <c r="F2432" s="1">
        <v>22813415</v>
      </c>
      <c r="G2432" s="16">
        <v>8364.3028181201662</v>
      </c>
      <c r="H2432">
        <v>59.68</v>
      </c>
      <c r="I2432" s="1">
        <v>193.43</v>
      </c>
      <c r="J2432" s="16">
        <v>78213.360599505133</v>
      </c>
      <c r="K2432" s="5">
        <v>0.20733141366332936</v>
      </c>
      <c r="L2432" s="10">
        <v>187597.6985</v>
      </c>
    </row>
    <row r="2433" spans="1:12" x14ac:dyDescent="0.25">
      <c r="A2433">
        <v>2432</v>
      </c>
      <c r="B2433" s="3">
        <v>0.1909387961164315</v>
      </c>
      <c r="C2433" s="3">
        <v>2.1238272496421771E-2</v>
      </c>
      <c r="D2433" s="1">
        <v>242677.62408352213</v>
      </c>
      <c r="E2433" s="1">
        <v>10600024</v>
      </c>
      <c r="F2433" s="1">
        <v>36276189</v>
      </c>
      <c r="G2433" s="16">
        <v>25432.915917954637</v>
      </c>
      <c r="H2433">
        <v>168.42</v>
      </c>
      <c r="I2433" s="1">
        <v>592.76</v>
      </c>
      <c r="J2433" s="16">
        <v>268110.54000147677</v>
      </c>
      <c r="K2433" s="5">
        <v>0.11163580513164875</v>
      </c>
      <c r="L2433" s="10">
        <v>1275675.4053</v>
      </c>
    </row>
    <row r="2434" spans="1:12" x14ac:dyDescent="0.25">
      <c r="A2434">
        <v>2433</v>
      </c>
      <c r="B2434" s="3">
        <v>0.21228377930461839</v>
      </c>
      <c r="C2434" s="3">
        <v>3.8344826193312059E-2</v>
      </c>
      <c r="D2434" s="1">
        <v>96129.702320578508</v>
      </c>
      <c r="E2434" s="1">
        <v>4672842</v>
      </c>
      <c r="F2434" s="1">
        <v>25322298</v>
      </c>
      <c r="G2434" s="16">
        <v>21136.661351145132</v>
      </c>
      <c r="H2434">
        <v>168.77</v>
      </c>
      <c r="I2434" s="1">
        <v>638.11</v>
      </c>
      <c r="J2434" s="16">
        <v>117266.36367172364</v>
      </c>
      <c r="K2434" s="5">
        <v>-4.4287919663083715E-2</v>
      </c>
      <c r="L2434" s="10">
        <v>-85570.231700000004</v>
      </c>
    </row>
    <row r="2435" spans="1:12" x14ac:dyDescent="0.25">
      <c r="A2435">
        <v>2434</v>
      </c>
      <c r="B2435" s="3">
        <v>0.22054274844586064</v>
      </c>
      <c r="C2435" s="3">
        <v>5.3840073701146102E-2</v>
      </c>
      <c r="D2435" s="1">
        <v>164610.46931199156</v>
      </c>
      <c r="E2435" s="1">
        <v>8346253</v>
      </c>
      <c r="F2435" s="1">
        <v>33117903</v>
      </c>
      <c r="G2435" s="16">
        <v>17553.314870770369</v>
      </c>
      <c r="H2435">
        <v>151.09</v>
      </c>
      <c r="I2435" s="1">
        <v>451.73</v>
      </c>
      <c r="J2435" s="16">
        <v>182163.78418276194</v>
      </c>
      <c r="K2435" s="5">
        <v>5.0145749951429286E-2</v>
      </c>
      <c r="L2435" s="10">
        <v>113335.2001</v>
      </c>
    </row>
    <row r="2436" spans="1:12" x14ac:dyDescent="0.25">
      <c r="A2436">
        <v>2435</v>
      </c>
      <c r="B2436" s="3">
        <v>0.15350534534378307</v>
      </c>
      <c r="C2436" s="3">
        <v>5.9310059945155591E-2</v>
      </c>
      <c r="D2436" s="1">
        <v>64759.559873549908</v>
      </c>
      <c r="E2436" s="1">
        <v>1998178</v>
      </c>
      <c r="F2436" s="1">
        <v>17802940</v>
      </c>
      <c r="G2436" s="16">
        <v>33076.939614082788</v>
      </c>
      <c r="H2436">
        <v>159.72999999999999</v>
      </c>
      <c r="I2436" s="1">
        <v>524.08000000000004</v>
      </c>
      <c r="J2436" s="16">
        <v>97836.499487632696</v>
      </c>
      <c r="K2436" s="5">
        <v>8.2209613108943591E-2</v>
      </c>
      <c r="L2436" s="10">
        <v>132752.32740000001</v>
      </c>
    </row>
    <row r="2437" spans="1:12" x14ac:dyDescent="0.25">
      <c r="A2437">
        <v>2436</v>
      </c>
      <c r="B2437" s="3">
        <v>0.12973111515937408</v>
      </c>
      <c r="C2437" s="3">
        <v>4.4257025279741367E-2</v>
      </c>
      <c r="D2437" s="1">
        <v>267298.60266476206</v>
      </c>
      <c r="E2437" s="1">
        <v>8721386</v>
      </c>
      <c r="F2437" s="1">
        <v>30777291</v>
      </c>
      <c r="G2437" s="16">
        <v>9885.7713639768608</v>
      </c>
      <c r="H2437">
        <v>29.83</v>
      </c>
      <c r="I2437" s="1">
        <v>146.45999999999998</v>
      </c>
      <c r="J2437" s="16">
        <v>277184.37402873894</v>
      </c>
      <c r="K2437" s="5">
        <v>0.19557458489663043</v>
      </c>
      <c r="L2437" s="10">
        <v>935713.65300000005</v>
      </c>
    </row>
    <row r="2438" spans="1:12" x14ac:dyDescent="0.25">
      <c r="A2438">
        <v>2437</v>
      </c>
      <c r="B2438" s="3">
        <v>0.16350105831572476</v>
      </c>
      <c r="C2438" s="3">
        <v>2.2173914737319632E-2</v>
      </c>
      <c r="D2438" s="1">
        <v>75632.556123683666</v>
      </c>
      <c r="E2438" s="1">
        <v>2418327</v>
      </c>
      <c r="F2438" s="1">
        <v>16472493</v>
      </c>
      <c r="G2438" s="16">
        <v>12040.346806412317</v>
      </c>
      <c r="H2438">
        <v>44.22</v>
      </c>
      <c r="I2438" s="1">
        <v>149.34</v>
      </c>
      <c r="J2438" s="16">
        <v>87672.902930095981</v>
      </c>
      <c r="K2438" s="5">
        <v>0.16836113703884706</v>
      </c>
      <c r="L2438" s="10">
        <v>595473.38</v>
      </c>
    </row>
    <row r="2439" spans="1:12" x14ac:dyDescent="0.25">
      <c r="A2439">
        <v>2438</v>
      </c>
      <c r="B2439" s="3">
        <v>0.14463388124701596</v>
      </c>
      <c r="C2439" s="3">
        <v>6.9236940841596789E-2</v>
      </c>
      <c r="D2439" s="1">
        <v>126199.62473580388</v>
      </c>
      <c r="E2439" s="1">
        <v>3774029</v>
      </c>
      <c r="F2439" s="1">
        <v>18166420</v>
      </c>
      <c r="G2439" s="16">
        <v>21622.233146280752</v>
      </c>
      <c r="H2439">
        <v>96.97</v>
      </c>
      <c r="I2439" s="1">
        <v>434.51</v>
      </c>
      <c r="J2439" s="16">
        <v>147821.85788208465</v>
      </c>
      <c r="K2439" s="5">
        <v>2.4097828779331362E-2</v>
      </c>
      <c r="L2439" s="10">
        <v>41837.944199999998</v>
      </c>
    </row>
    <row r="2440" spans="1:12" x14ac:dyDescent="0.25">
      <c r="A2440">
        <v>2439</v>
      </c>
      <c r="B2440" s="3">
        <v>0.23552973357210891</v>
      </c>
      <c r="C2440" s="3">
        <v>4.5119877942263693E-2</v>
      </c>
      <c r="D2440" s="1">
        <v>141027.08132159279</v>
      </c>
      <c r="E2440" s="1">
        <v>7727930</v>
      </c>
      <c r="F2440" s="1">
        <v>36627912</v>
      </c>
      <c r="G2440" s="16">
        <v>18761.457962097236</v>
      </c>
      <c r="H2440">
        <v>185.16</v>
      </c>
      <c r="I2440" s="1">
        <v>594.17999999999995</v>
      </c>
      <c r="J2440" s="16">
        <v>159788.53928369004</v>
      </c>
      <c r="K2440" s="5">
        <v>-2.0405730446110236E-3</v>
      </c>
      <c r="L2440" s="10">
        <v>16710.4087</v>
      </c>
    </row>
    <row r="2441" spans="1:12" x14ac:dyDescent="0.25">
      <c r="A2441">
        <v>2440</v>
      </c>
      <c r="B2441" s="3">
        <v>0.23659972890161307</v>
      </c>
      <c r="C2441" s="3">
        <v>7.8683234272577285E-2</v>
      </c>
      <c r="D2441" s="1">
        <v>132771.48902349727</v>
      </c>
      <c r="E2441" s="1">
        <v>7316424</v>
      </c>
      <c r="F2441" s="1">
        <v>30828117</v>
      </c>
      <c r="G2441" s="16">
        <v>19262.841588100073</v>
      </c>
      <c r="H2441">
        <v>191.69</v>
      </c>
      <c r="I2441" s="1">
        <v>602.92000000000007</v>
      </c>
      <c r="J2441" s="16">
        <v>152034.33061159734</v>
      </c>
      <c r="K2441" s="5">
        <v>0.2204493594905601</v>
      </c>
      <c r="L2441" s="10">
        <v>287678.81050000002</v>
      </c>
    </row>
    <row r="2442" spans="1:12" x14ac:dyDescent="0.25">
      <c r="A2442">
        <v>2441</v>
      </c>
      <c r="B2442" s="3">
        <v>0.24198175794892257</v>
      </c>
      <c r="C2442" s="3">
        <v>6.4423617111793466E-2</v>
      </c>
      <c r="D2442" s="1">
        <v>75939.235585057846</v>
      </c>
      <c r="E2442" s="1">
        <v>3263102</v>
      </c>
      <c r="F2442" s="1">
        <v>17426202</v>
      </c>
      <c r="G2442" s="16">
        <v>17383.838094719529</v>
      </c>
      <c r="H2442">
        <v>137.78</v>
      </c>
      <c r="I2442" s="1">
        <v>350.41999999999996</v>
      </c>
      <c r="J2442" s="16">
        <v>93323.073679777372</v>
      </c>
      <c r="K2442" s="5">
        <v>8.7758900340089027E-2</v>
      </c>
      <c r="L2442" s="10">
        <v>92032.926699999996</v>
      </c>
    </row>
    <row r="2443" spans="1:12" x14ac:dyDescent="0.25">
      <c r="A2443">
        <v>2442</v>
      </c>
      <c r="B2443" s="3">
        <v>0.17569970139138283</v>
      </c>
      <c r="C2443" s="3">
        <v>4.7803176951008858E-2</v>
      </c>
      <c r="D2443" s="1">
        <v>236127.10996904763</v>
      </c>
      <c r="E2443" s="1">
        <v>11612383</v>
      </c>
      <c r="F2443" s="1">
        <v>46883563</v>
      </c>
      <c r="G2443" s="16">
        <v>23830.573826317301</v>
      </c>
      <c r="H2443">
        <v>138.63</v>
      </c>
      <c r="I2443" s="1">
        <v>406.31</v>
      </c>
      <c r="J2443" s="16">
        <v>259957.68379536492</v>
      </c>
      <c r="K2443" s="5">
        <v>0.14545836312209887</v>
      </c>
      <c r="L2443" s="10">
        <v>580358.79200000002</v>
      </c>
    </row>
    <row r="2444" spans="1:12" x14ac:dyDescent="0.25">
      <c r="A2444">
        <v>2443</v>
      </c>
      <c r="B2444" s="3">
        <v>0.23162710027852362</v>
      </c>
      <c r="C2444" s="3">
        <v>6.8044911917718859E-2</v>
      </c>
      <c r="D2444" s="1">
        <v>76573.867880535414</v>
      </c>
      <c r="E2444" s="1">
        <v>4111448</v>
      </c>
      <c r="F2444" s="1">
        <v>25075324</v>
      </c>
      <c r="G2444" s="16">
        <v>13366.439760560499</v>
      </c>
      <c r="H2444">
        <v>97.66</v>
      </c>
      <c r="I2444" s="1">
        <v>323.2</v>
      </c>
      <c r="J2444" s="16">
        <v>89940.307641095918</v>
      </c>
      <c r="K2444" s="5">
        <v>5.4329594876658976E-2</v>
      </c>
      <c r="L2444" s="10">
        <v>56071.231899999999</v>
      </c>
    </row>
    <row r="2445" spans="1:12" x14ac:dyDescent="0.25">
      <c r="A2445">
        <v>2444</v>
      </c>
      <c r="B2445" s="3">
        <v>0.11030314859516083</v>
      </c>
      <c r="C2445" s="3">
        <v>6.4467547979043346E-2</v>
      </c>
      <c r="D2445" s="1">
        <v>340137.49542357819</v>
      </c>
      <c r="E2445" s="1">
        <v>11419493</v>
      </c>
      <c r="F2445" s="1">
        <v>44795694</v>
      </c>
      <c r="G2445" s="16">
        <v>14201.571827067432</v>
      </c>
      <c r="H2445">
        <v>38.299999999999997</v>
      </c>
      <c r="I2445" s="1">
        <v>174.42000000000002</v>
      </c>
      <c r="J2445" s="16">
        <v>354339.0672506456</v>
      </c>
      <c r="K2445" s="5">
        <v>-3.5807579351043547E-2</v>
      </c>
      <c r="L2445" s="10">
        <v>-121094.54300000001</v>
      </c>
    </row>
    <row r="2446" spans="1:12" x14ac:dyDescent="0.25">
      <c r="A2446">
        <v>2445</v>
      </c>
      <c r="B2446" s="3">
        <v>0.16088860322977389</v>
      </c>
      <c r="C2446" s="3">
        <v>5.8250590874325769E-2</v>
      </c>
      <c r="D2446" s="1">
        <v>138641.07174944988</v>
      </c>
      <c r="E2446" s="1">
        <v>5233789</v>
      </c>
      <c r="F2446" s="1">
        <v>38416693</v>
      </c>
      <c r="G2446" s="16">
        <v>21059.680175578877</v>
      </c>
      <c r="H2446">
        <v>90.79</v>
      </c>
      <c r="I2446" s="1">
        <v>319.54000000000002</v>
      </c>
      <c r="J2446" s="16">
        <v>159700.75192502874</v>
      </c>
      <c r="K2446" s="5">
        <v>0.12811222448024048</v>
      </c>
      <c r="L2446" s="10">
        <v>275694.1286</v>
      </c>
    </row>
    <row r="2447" spans="1:12" x14ac:dyDescent="0.25">
      <c r="A2447">
        <v>2446</v>
      </c>
      <c r="B2447" s="3">
        <v>0.11641360512486582</v>
      </c>
      <c r="C2447" s="3">
        <v>5.2299094976018312E-2</v>
      </c>
      <c r="D2447" s="1">
        <v>50820.612432680871</v>
      </c>
      <c r="E2447" s="1">
        <v>1378781</v>
      </c>
      <c r="F2447" s="1">
        <v>11443293</v>
      </c>
      <c r="G2447" s="16">
        <v>98142.25816368268</v>
      </c>
      <c r="H2447">
        <v>397.31</v>
      </c>
      <c r="I2447" s="1">
        <v>1160.6099999999999</v>
      </c>
      <c r="J2447" s="16">
        <v>148962.87059636356</v>
      </c>
      <c r="K2447" s="5">
        <v>-7.2897234551590195E-3</v>
      </c>
      <c r="L2447" s="10">
        <v>5506.9183000000003</v>
      </c>
    </row>
    <row r="2448" spans="1:12" x14ac:dyDescent="0.25">
      <c r="A2448">
        <v>2447</v>
      </c>
      <c r="B2448" s="3">
        <v>0.19703902048551936</v>
      </c>
      <c r="C2448" s="3">
        <v>3.3165931254072106E-2</v>
      </c>
      <c r="D2448" s="1">
        <v>81186.551788389741</v>
      </c>
      <c r="E2448" s="1">
        <v>2934972</v>
      </c>
      <c r="F2448" s="1">
        <v>16493523</v>
      </c>
      <c r="G2448" s="16">
        <v>42477.636991979467</v>
      </c>
      <c r="H2448">
        <v>297.14</v>
      </c>
      <c r="I2448" s="1">
        <v>762.61</v>
      </c>
      <c r="J2448" s="16">
        <v>123664.18878036921</v>
      </c>
      <c r="K2448" s="5">
        <v>-0.11534139383344033</v>
      </c>
      <c r="L2448" s="10">
        <v>-344542.54800000001</v>
      </c>
    </row>
    <row r="2449" spans="1:12" x14ac:dyDescent="0.25">
      <c r="A2449">
        <v>2448</v>
      </c>
      <c r="B2449" s="3">
        <v>0.23492051021332438</v>
      </c>
      <c r="C2449" s="3">
        <v>2.5567989118697527E-2</v>
      </c>
      <c r="D2449" s="1">
        <v>418150.67334402323</v>
      </c>
      <c r="E2449" s="1">
        <v>29854025</v>
      </c>
      <c r="F2449" s="1">
        <v>77824487</v>
      </c>
      <c r="G2449" s="16">
        <v>17039.29054705437</v>
      </c>
      <c r="H2449">
        <v>167.06</v>
      </c>
      <c r="I2449" s="1">
        <v>473</v>
      </c>
      <c r="J2449" s="16">
        <v>435189.96389107761</v>
      </c>
      <c r="K2449" s="5">
        <v>0.13079731624979912</v>
      </c>
      <c r="L2449" s="10">
        <v>1904905.0279999999</v>
      </c>
    </row>
    <row r="2450" spans="1:12" x14ac:dyDescent="0.25">
      <c r="A2450">
        <v>2449</v>
      </c>
      <c r="B2450" s="3">
        <v>0.18274952200082273</v>
      </c>
      <c r="C2450" s="3">
        <v>4.5086581440469856E-2</v>
      </c>
      <c r="D2450" s="1">
        <v>219298.89870536583</v>
      </c>
      <c r="E2450" s="1">
        <v>9200649</v>
      </c>
      <c r="F2450" s="1">
        <v>39532912</v>
      </c>
      <c r="G2450" s="16">
        <v>17547.197503161322</v>
      </c>
      <c r="H2450">
        <v>88.65</v>
      </c>
      <c r="I2450" s="1">
        <v>239.72</v>
      </c>
      <c r="J2450" s="16">
        <v>236846.09620852716</v>
      </c>
      <c r="K2450" s="5">
        <v>0.2063140780974379</v>
      </c>
      <c r="L2450" s="10">
        <v>825906.39110000001</v>
      </c>
    </row>
    <row r="2451" spans="1:12" x14ac:dyDescent="0.25">
      <c r="A2451">
        <v>2450</v>
      </c>
      <c r="B2451" s="3">
        <v>0.12875737575410751</v>
      </c>
      <c r="C2451" s="3">
        <v>2.9045301932748274E-2</v>
      </c>
      <c r="D2451" s="1">
        <v>384569.28620067541</v>
      </c>
      <c r="E2451" s="1">
        <v>14337771</v>
      </c>
      <c r="F2451" s="1">
        <v>44105886</v>
      </c>
      <c r="G2451" s="16">
        <v>27441.049552149729</v>
      </c>
      <c r="H2451">
        <v>108.36</v>
      </c>
      <c r="I2451" s="1">
        <v>393.84000000000003</v>
      </c>
      <c r="J2451" s="16">
        <v>412010.33575282514</v>
      </c>
      <c r="K2451" s="5">
        <v>6.3361802197443418E-2</v>
      </c>
      <c r="L2451" s="10">
        <v>748137.34080000001</v>
      </c>
    </row>
    <row r="2452" spans="1:12" x14ac:dyDescent="0.25">
      <c r="A2452">
        <v>2451</v>
      </c>
      <c r="B2452" s="3">
        <v>0.23118754252031154</v>
      </c>
      <c r="C2452" s="3">
        <v>4.3303161134426338E-2</v>
      </c>
      <c r="D2452" s="1">
        <v>114376.20919411378</v>
      </c>
      <c r="E2452" s="1">
        <v>6127127</v>
      </c>
      <c r="F2452" s="1">
        <v>34511585</v>
      </c>
      <c r="G2452" s="16">
        <v>15322.648864136132</v>
      </c>
      <c r="H2452">
        <v>111.83</v>
      </c>
      <c r="I2452" s="1">
        <v>372.15999999999997</v>
      </c>
      <c r="J2452" s="16">
        <v>129698.85805824991</v>
      </c>
      <c r="K2452" s="5">
        <v>0.19135229592111563</v>
      </c>
      <c r="L2452" s="10">
        <v>453767.59580000001</v>
      </c>
    </row>
    <row r="2453" spans="1:12" x14ac:dyDescent="0.25">
      <c r="A2453">
        <v>2452</v>
      </c>
      <c r="B2453" s="3">
        <v>0.24176148250492485</v>
      </c>
      <c r="C2453" s="3">
        <v>5.4501522212266257E-2</v>
      </c>
      <c r="D2453" s="1">
        <v>123223.19852955898</v>
      </c>
      <c r="E2453" s="1">
        <v>6977052</v>
      </c>
      <c r="F2453" s="1">
        <v>25765652</v>
      </c>
      <c r="G2453" s="16">
        <v>15231.414756497639</v>
      </c>
      <c r="H2453">
        <v>159.1</v>
      </c>
      <c r="I2453" s="1">
        <v>495.95999999999992</v>
      </c>
      <c r="J2453" s="16">
        <v>138454.61328605661</v>
      </c>
      <c r="K2453" s="5">
        <v>0.15920542069014923</v>
      </c>
      <c r="L2453" s="10">
        <v>295089.02059999999</v>
      </c>
    </row>
    <row r="2454" spans="1:12" x14ac:dyDescent="0.25">
      <c r="A2454">
        <v>2453</v>
      </c>
      <c r="B2454" s="3">
        <v>0.18887221031771734</v>
      </c>
      <c r="C2454" s="3">
        <v>5.1292712937736587E-2</v>
      </c>
      <c r="D2454" s="1">
        <v>103212.28476890692</v>
      </c>
      <c r="E2454" s="1">
        <v>4462486</v>
      </c>
      <c r="F2454" s="1">
        <v>24241313</v>
      </c>
      <c r="G2454" s="16">
        <v>15846.096078670442</v>
      </c>
      <c r="H2454">
        <v>83.68</v>
      </c>
      <c r="I2454" s="1">
        <v>258.15999999999997</v>
      </c>
      <c r="J2454" s="16">
        <v>119058.38084757735</v>
      </c>
      <c r="K2454" s="5">
        <v>0.12729831968463182</v>
      </c>
      <c r="L2454" s="10">
        <v>237774.00320000001</v>
      </c>
    </row>
    <row r="2455" spans="1:12" x14ac:dyDescent="0.25">
      <c r="A2455">
        <v>2454</v>
      </c>
      <c r="B2455" s="3">
        <v>0.16245116346428087</v>
      </c>
      <c r="C2455" s="3">
        <v>4.8556038156526454E-2</v>
      </c>
      <c r="D2455" s="1">
        <v>88822.519710198423</v>
      </c>
      <c r="E2455" s="1">
        <v>2829407</v>
      </c>
      <c r="F2455" s="1">
        <v>14540035</v>
      </c>
      <c r="G2455" s="16">
        <v>28026.442602374253</v>
      </c>
      <c r="H2455">
        <v>145.85</v>
      </c>
      <c r="I2455" s="1">
        <v>620.46</v>
      </c>
      <c r="J2455" s="16">
        <v>116848.96231257268</v>
      </c>
      <c r="K2455" s="5">
        <v>-3.5123607282222857E-2</v>
      </c>
      <c r="L2455" s="10">
        <v>-53819.171499999997</v>
      </c>
    </row>
    <row r="2456" spans="1:12" x14ac:dyDescent="0.25">
      <c r="A2456">
        <v>2455</v>
      </c>
      <c r="B2456" s="3">
        <v>0.1402916012900853</v>
      </c>
      <c r="C2456" s="3">
        <v>7.0677477721977758E-2</v>
      </c>
      <c r="D2456" s="1">
        <v>236931.1418843873</v>
      </c>
      <c r="E2456" s="1">
        <v>8117471</v>
      </c>
      <c r="F2456" s="1">
        <v>36910576</v>
      </c>
      <c r="G2456" s="16">
        <v>33141.259269556911</v>
      </c>
      <c r="H2456">
        <v>143.82</v>
      </c>
      <c r="I2456" s="1">
        <v>497.34</v>
      </c>
      <c r="J2456" s="16">
        <v>270072.4011539442</v>
      </c>
      <c r="K2456" s="5">
        <v>0.23661338825990158</v>
      </c>
      <c r="L2456" s="10">
        <v>628837.36750000005</v>
      </c>
    </row>
    <row r="2457" spans="1:12" x14ac:dyDescent="0.25">
      <c r="A2457">
        <v>2456</v>
      </c>
      <c r="B2457" s="3">
        <v>0.14094224345402337</v>
      </c>
      <c r="C2457" s="3">
        <v>2.5044756231410378E-2</v>
      </c>
      <c r="D2457" s="1">
        <v>232398.16385792388</v>
      </c>
      <c r="E2457" s="1">
        <v>7986300</v>
      </c>
      <c r="F2457" s="1">
        <v>40677905</v>
      </c>
      <c r="G2457" s="16">
        <v>91248.300570751264</v>
      </c>
      <c r="H2457">
        <v>463.19</v>
      </c>
      <c r="I2457" s="1">
        <v>1141.1200000000001</v>
      </c>
      <c r="J2457" s="16">
        <v>323646.46442867513</v>
      </c>
      <c r="K2457" s="5">
        <v>0.25693288780374202</v>
      </c>
      <c r="L2457" s="10">
        <v>2918075.6283999998</v>
      </c>
    </row>
    <row r="2458" spans="1:12" x14ac:dyDescent="0.25">
      <c r="A2458">
        <v>2457</v>
      </c>
      <c r="B2458" s="3">
        <v>0.14653625273056584</v>
      </c>
      <c r="C2458" s="3">
        <v>3.6489425211359922E-2</v>
      </c>
      <c r="D2458" s="1">
        <v>121327.80608592872</v>
      </c>
      <c r="E2458" s="1">
        <v>3652656</v>
      </c>
      <c r="F2458" s="1">
        <v>15078555</v>
      </c>
      <c r="G2458" s="16">
        <v>25294.75463603875</v>
      </c>
      <c r="H2458">
        <v>98.48</v>
      </c>
      <c r="I2458" s="1">
        <v>252.56</v>
      </c>
      <c r="J2458" s="16">
        <v>146622.56072196749</v>
      </c>
      <c r="K2458" s="5">
        <v>7.0692320415925609E-3</v>
      </c>
      <c r="L2458" s="10">
        <v>28026.767899999999</v>
      </c>
    </row>
    <row r="2459" spans="1:12" x14ac:dyDescent="0.25">
      <c r="A2459">
        <v>2458</v>
      </c>
      <c r="B2459" s="3">
        <v>0.24837045496087165</v>
      </c>
      <c r="C2459" s="3">
        <v>3.4564045973827812E-2</v>
      </c>
      <c r="D2459" s="1">
        <v>122973.49165211366</v>
      </c>
      <c r="E2459" s="1">
        <v>7211054</v>
      </c>
      <c r="F2459" s="1">
        <v>26801317</v>
      </c>
      <c r="G2459" s="16">
        <v>20282.752964683768</v>
      </c>
      <c r="H2459">
        <v>225.34</v>
      </c>
      <c r="I2459" s="1">
        <v>725.13</v>
      </c>
      <c r="J2459" s="16">
        <v>143256.24461679743</v>
      </c>
      <c r="K2459" s="5">
        <v>2.7425318380659494E-3</v>
      </c>
      <c r="L2459" s="10">
        <v>2723.4023999999999</v>
      </c>
    </row>
    <row r="2460" spans="1:12" x14ac:dyDescent="0.25">
      <c r="A2460">
        <v>2459</v>
      </c>
      <c r="B2460" s="3">
        <v>0.10312815003527362</v>
      </c>
      <c r="C2460" s="3">
        <v>7.4078117256312553E-2</v>
      </c>
      <c r="D2460" s="1">
        <v>281058.48459050903</v>
      </c>
      <c r="E2460" s="1">
        <v>8129761</v>
      </c>
      <c r="F2460" s="1">
        <v>31094202</v>
      </c>
      <c r="G2460" s="16">
        <v>36152.842142938724</v>
      </c>
      <c r="H2460">
        <v>104.44</v>
      </c>
      <c r="I2460" s="1">
        <v>275.54999999999995</v>
      </c>
      <c r="J2460" s="16">
        <v>317211.32673344773</v>
      </c>
      <c r="K2460" s="5">
        <v>0.10632346884241825</v>
      </c>
      <c r="L2460" s="10">
        <v>315776.61839999998</v>
      </c>
    </row>
    <row r="2461" spans="1:12" x14ac:dyDescent="0.25">
      <c r="A2461">
        <v>2460</v>
      </c>
      <c r="B2461" s="3">
        <v>0.13535061500950424</v>
      </c>
      <c r="C2461" s="3">
        <v>2.2996253824002715E-2</v>
      </c>
      <c r="D2461" s="1">
        <v>326961.55758716766</v>
      </c>
      <c r="E2461" s="1">
        <v>12661906</v>
      </c>
      <c r="F2461" s="1">
        <v>45151779</v>
      </c>
      <c r="G2461" s="16">
        <v>49503.300400096006</v>
      </c>
      <c r="H2461">
        <v>206.35</v>
      </c>
      <c r="I2461" s="1">
        <v>643.65</v>
      </c>
      <c r="J2461" s="16">
        <v>376464.85798726365</v>
      </c>
      <c r="K2461" s="5">
        <v>-2.6887942712581686E-2</v>
      </c>
      <c r="L2461" s="10">
        <v>-350652.19679999998</v>
      </c>
    </row>
    <row r="2462" spans="1:12" x14ac:dyDescent="0.25">
      <c r="A2462">
        <v>2461</v>
      </c>
      <c r="B2462" s="3">
        <v>0.17671483580503097</v>
      </c>
      <c r="C2462" s="3">
        <v>4.4550308258984761E-2</v>
      </c>
      <c r="D2462" s="1">
        <v>74854.959695117621</v>
      </c>
      <c r="E2462" s="1">
        <v>2510575</v>
      </c>
      <c r="F2462" s="1">
        <v>14485540</v>
      </c>
      <c r="G2462" s="16">
        <v>66505.043930632586</v>
      </c>
      <c r="H2462">
        <v>473.33</v>
      </c>
      <c r="I2462" s="1">
        <v>1031.8399999999999</v>
      </c>
      <c r="J2462" s="16">
        <v>141360.00362575019</v>
      </c>
      <c r="K2462" s="5">
        <v>0.21347365739485058</v>
      </c>
      <c r="L2462" s="10">
        <v>504126.2855</v>
      </c>
    </row>
    <row r="2463" spans="1:12" x14ac:dyDescent="0.25">
      <c r="A2463">
        <v>2462</v>
      </c>
      <c r="B2463" s="3">
        <v>0.19304641448601728</v>
      </c>
      <c r="C2463" s="3">
        <v>3.7049428393864978E-2</v>
      </c>
      <c r="D2463" s="1">
        <v>147669.0680130634</v>
      </c>
      <c r="E2463" s="1">
        <v>6517758</v>
      </c>
      <c r="F2463" s="1">
        <v>30742591</v>
      </c>
      <c r="G2463" s="16">
        <v>33699.192974052748</v>
      </c>
      <c r="H2463">
        <v>227.63</v>
      </c>
      <c r="I2463" s="1">
        <v>650.06999999999994</v>
      </c>
      <c r="J2463" s="16">
        <v>181368.26098711614</v>
      </c>
      <c r="K2463" s="5">
        <v>0.12897407187114246</v>
      </c>
      <c r="L2463" s="10">
        <v>529823.30799999996</v>
      </c>
    </row>
    <row r="2464" spans="1:12" x14ac:dyDescent="0.25">
      <c r="A2464">
        <v>2463</v>
      </c>
      <c r="B2464" s="3">
        <v>0.16313100107209361</v>
      </c>
      <c r="C2464" s="3">
        <v>6.5973545330056532E-2</v>
      </c>
      <c r="D2464" s="1">
        <v>138456.06409272147</v>
      </c>
      <c r="E2464" s="1">
        <v>5283051</v>
      </c>
      <c r="F2464" s="1">
        <v>23174433</v>
      </c>
      <c r="G2464" s="16">
        <v>43135.228294001099</v>
      </c>
      <c r="H2464">
        <v>225.98</v>
      </c>
      <c r="I2464" s="1">
        <v>657.15</v>
      </c>
      <c r="J2464" s="16">
        <v>181591.29238672258</v>
      </c>
      <c r="K2464" s="5">
        <v>9.5220458862692689E-2</v>
      </c>
      <c r="L2464" s="10">
        <v>180999.41010000001</v>
      </c>
    </row>
    <row r="2465" spans="1:12" x14ac:dyDescent="0.25">
      <c r="A2465">
        <v>2464</v>
      </c>
      <c r="B2465" s="3">
        <v>0.11823837006656203</v>
      </c>
      <c r="C2465" s="3">
        <v>6.5101395917865582E-2</v>
      </c>
      <c r="D2465" s="1">
        <v>375343.57372211927</v>
      </c>
      <c r="E2465" s="1">
        <v>13178781</v>
      </c>
      <c r="F2465" s="1">
        <v>44944202</v>
      </c>
      <c r="G2465" s="16">
        <v>73288.584712955577</v>
      </c>
      <c r="H2465">
        <v>265.97000000000003</v>
      </c>
      <c r="I2465" s="1">
        <v>711.82</v>
      </c>
      <c r="J2465" s="16">
        <v>448632.15843507485</v>
      </c>
      <c r="K2465" s="5">
        <v>0.10966846635537751</v>
      </c>
      <c r="L2465" s="10">
        <v>511165.07919999998</v>
      </c>
    </row>
    <row r="2466" spans="1:12" x14ac:dyDescent="0.25">
      <c r="A2466">
        <v>2465</v>
      </c>
      <c r="B2466" s="3">
        <v>0.19233074326352784</v>
      </c>
      <c r="C2466" s="3">
        <v>2.2720214799319551E-2</v>
      </c>
      <c r="D2466" s="1">
        <v>134651.88367302626</v>
      </c>
      <c r="E2466" s="1">
        <v>5922172</v>
      </c>
      <c r="F2466" s="1">
        <v>23584752</v>
      </c>
      <c r="G2466" s="16">
        <v>34543.121401651457</v>
      </c>
      <c r="H2466">
        <v>231.96</v>
      </c>
      <c r="I2466" s="1">
        <v>686.79000000000008</v>
      </c>
      <c r="J2466" s="16">
        <v>169195.0050746777</v>
      </c>
      <c r="K2466" s="5">
        <v>0.20463864586532829</v>
      </c>
      <c r="L2466" s="10">
        <v>1294821.8448000001</v>
      </c>
    </row>
    <row r="2467" spans="1:12" x14ac:dyDescent="0.25">
      <c r="A2467">
        <v>2466</v>
      </c>
      <c r="B2467" s="3">
        <v>0.18376162357371761</v>
      </c>
      <c r="C2467" s="3">
        <v>6.7363630708440855E-2</v>
      </c>
      <c r="D2467" s="1">
        <v>230635.85853691882</v>
      </c>
      <c r="E2467" s="1">
        <v>9724373</v>
      </c>
      <c r="F2467" s="1">
        <v>35080910</v>
      </c>
      <c r="G2467" s="16">
        <v>18132.105216154188</v>
      </c>
      <c r="H2467">
        <v>113.04</v>
      </c>
      <c r="I2467" s="1">
        <v>387.39000000000004</v>
      </c>
      <c r="J2467" s="16">
        <v>248767.96375307301</v>
      </c>
      <c r="K2467" s="5">
        <v>4.2950016781453312E-3</v>
      </c>
      <c r="L2467" s="10">
        <v>34971.082499999997</v>
      </c>
    </row>
    <row r="2468" spans="1:12" x14ac:dyDescent="0.25">
      <c r="A2468">
        <v>2467</v>
      </c>
      <c r="B2468" s="3">
        <v>0.13733476292082997</v>
      </c>
      <c r="C2468" s="3">
        <v>3.1026497407620555E-2</v>
      </c>
      <c r="D2468" s="1">
        <v>240041.98263712344</v>
      </c>
      <c r="E2468" s="1">
        <v>8111867</v>
      </c>
      <c r="F2468" s="1">
        <v>37267140</v>
      </c>
      <c r="G2468" s="16">
        <v>26471.322404904418</v>
      </c>
      <c r="H2468">
        <v>111.94</v>
      </c>
      <c r="I2468" s="1">
        <v>415.09999999999997</v>
      </c>
      <c r="J2468" s="16">
        <v>266513.30504202785</v>
      </c>
      <c r="K2468" s="5">
        <v>8.0407171366599001E-2</v>
      </c>
      <c r="L2468" s="10">
        <v>609041.64850000001</v>
      </c>
    </row>
    <row r="2469" spans="1:12" x14ac:dyDescent="0.25">
      <c r="A2469">
        <v>2468</v>
      </c>
      <c r="B2469" s="3">
        <v>0.18870777284974372</v>
      </c>
      <c r="C2469" s="3">
        <v>2.3142025951536107E-2</v>
      </c>
      <c r="D2469" s="1">
        <v>42259.855663808215</v>
      </c>
      <c r="E2469" s="1">
        <v>1481148</v>
      </c>
      <c r="F2469" s="1">
        <v>13607158</v>
      </c>
      <c r="G2469" s="16">
        <v>21715.593945817989</v>
      </c>
      <c r="H2469">
        <v>140.88</v>
      </c>
      <c r="I2469" s="1">
        <v>414.07</v>
      </c>
      <c r="J2469" s="16">
        <v>63975.449609626201</v>
      </c>
      <c r="K2469" s="5">
        <v>0.27358885057330795</v>
      </c>
      <c r="L2469" s="10">
        <v>698898.33239999996</v>
      </c>
    </row>
    <row r="2470" spans="1:12" x14ac:dyDescent="0.25">
      <c r="A2470">
        <v>2469</v>
      </c>
      <c r="B2470" s="3">
        <v>0.16180429977704996</v>
      </c>
      <c r="C2470" s="3">
        <v>6.5257600536802393E-2</v>
      </c>
      <c r="D2470" s="1">
        <v>148991.73199273561</v>
      </c>
      <c r="E2470" s="1">
        <v>4735088</v>
      </c>
      <c r="F2470" s="1">
        <v>19472526</v>
      </c>
      <c r="G2470" s="16">
        <v>54237.352549163283</v>
      </c>
      <c r="H2470">
        <v>334.79</v>
      </c>
      <c r="I2470" s="1">
        <v>827.06</v>
      </c>
      <c r="J2470" s="16">
        <v>203229.08454189889</v>
      </c>
      <c r="K2470" s="5">
        <v>0.14059077090034947</v>
      </c>
      <c r="L2470" s="10">
        <v>300615.74070000002</v>
      </c>
    </row>
    <row r="2471" spans="1:12" x14ac:dyDescent="0.25">
      <c r="A2471">
        <v>2470</v>
      </c>
      <c r="B2471" s="3">
        <v>0.22381649837242074</v>
      </c>
      <c r="C2471" s="3">
        <v>2.2023551891537641E-2</v>
      </c>
      <c r="D2471" s="1">
        <v>93050.351312561441</v>
      </c>
      <c r="E2471" s="1">
        <v>3724150</v>
      </c>
      <c r="F2471" s="1">
        <v>17046450</v>
      </c>
      <c r="G2471" s="16">
        <v>11992.525855448377</v>
      </c>
      <c r="H2471">
        <v>106.35</v>
      </c>
      <c r="I2471" s="1">
        <v>425.74</v>
      </c>
      <c r="J2471" s="16">
        <v>105042.87716800981</v>
      </c>
      <c r="K2471" s="5">
        <v>0.18856901180522365</v>
      </c>
      <c r="L2471" s="10">
        <v>802998.93350000004</v>
      </c>
    </row>
    <row r="2472" spans="1:12" x14ac:dyDescent="0.25">
      <c r="A2472">
        <v>2471</v>
      </c>
      <c r="B2472" s="3">
        <v>0.19244619900960888</v>
      </c>
      <c r="C2472" s="3">
        <v>5.7065019181261278E-2</v>
      </c>
      <c r="D2472" s="1">
        <v>227066.40360869019</v>
      </c>
      <c r="E2472" s="1">
        <v>9992392</v>
      </c>
      <c r="F2472" s="1">
        <v>33610677</v>
      </c>
      <c r="G2472" s="16">
        <v>30044.17274685952</v>
      </c>
      <c r="H2472">
        <v>250.15</v>
      </c>
      <c r="I2472" s="1">
        <v>818.67</v>
      </c>
      <c r="J2472" s="16">
        <v>257110.57635554971</v>
      </c>
      <c r="K2472" s="5">
        <v>0.19966649192104277</v>
      </c>
      <c r="L2472" s="10">
        <v>645208.07440000004</v>
      </c>
    </row>
    <row r="2473" spans="1:12" x14ac:dyDescent="0.25">
      <c r="A2473">
        <v>2472</v>
      </c>
      <c r="B2473" s="3">
        <v>0.21495627912920878</v>
      </c>
      <c r="C2473" s="3">
        <v>4.319455304795633E-2</v>
      </c>
      <c r="D2473" s="1">
        <v>136374.96734173072</v>
      </c>
      <c r="E2473" s="1">
        <v>6719887</v>
      </c>
      <c r="F2473" s="1">
        <v>22047788</v>
      </c>
      <c r="G2473" s="16">
        <v>9485.7627003436737</v>
      </c>
      <c r="H2473">
        <v>61.06</v>
      </c>
      <c r="I2473" s="1">
        <v>207.28</v>
      </c>
      <c r="J2473" s="16">
        <v>145860.7300420744</v>
      </c>
      <c r="K2473" s="5">
        <v>-9.2155728173299659E-3</v>
      </c>
      <c r="L2473" s="10">
        <v>-6255.8923999999997</v>
      </c>
    </row>
    <row r="2474" spans="1:12" x14ac:dyDescent="0.25">
      <c r="A2474">
        <v>2473</v>
      </c>
      <c r="B2474" s="3">
        <v>0.11425298477675194</v>
      </c>
      <c r="C2474" s="3">
        <v>6.5755281486520781E-2</v>
      </c>
      <c r="D2474" s="1">
        <v>333404.30424305523</v>
      </c>
      <c r="E2474" s="1">
        <v>10137590</v>
      </c>
      <c r="F2474" s="1">
        <v>41476287</v>
      </c>
      <c r="G2474" s="16">
        <v>41679.575814417301</v>
      </c>
      <c r="H2474">
        <v>146.72</v>
      </c>
      <c r="I2474" s="1">
        <v>486.05000000000007</v>
      </c>
      <c r="J2474" s="16">
        <v>375083.8800574725</v>
      </c>
      <c r="K2474" s="5">
        <v>0.16828450467619799</v>
      </c>
      <c r="L2474" s="10">
        <v>727462.79429999995</v>
      </c>
    </row>
    <row r="2475" spans="1:12" x14ac:dyDescent="0.25">
      <c r="A2475">
        <v>2474</v>
      </c>
      <c r="B2475" s="3">
        <v>0.20289856590537159</v>
      </c>
      <c r="C2475" s="3">
        <v>7.9974112333788899E-2</v>
      </c>
      <c r="D2475" s="1">
        <v>34369.813020681337</v>
      </c>
      <c r="E2475" s="1">
        <v>1012401</v>
      </c>
      <c r="F2475" s="1">
        <v>9143718</v>
      </c>
      <c r="G2475" s="16">
        <v>36105.75449487818</v>
      </c>
      <c r="H2475">
        <v>265.86</v>
      </c>
      <c r="I2475" s="1">
        <v>742.77</v>
      </c>
      <c r="J2475" s="16">
        <v>70475.567515559524</v>
      </c>
      <c r="K2475" s="5">
        <v>8.3653870092406921E-2</v>
      </c>
      <c r="L2475" s="10">
        <v>57394.367299999998</v>
      </c>
    </row>
    <row r="2476" spans="1:12" x14ac:dyDescent="0.25">
      <c r="A2476">
        <v>2475</v>
      </c>
      <c r="B2476" s="3">
        <v>0.24796737764752905</v>
      </c>
      <c r="C2476" s="3">
        <v>2.849319997248969E-2</v>
      </c>
      <c r="D2476" s="1">
        <v>159714.38951177493</v>
      </c>
      <c r="E2476" s="1">
        <v>12426921</v>
      </c>
      <c r="F2476" s="1">
        <v>57056674</v>
      </c>
      <c r="G2476" s="16">
        <v>21277.76704727532</v>
      </c>
      <c r="H2476">
        <v>235.31</v>
      </c>
      <c r="I2476" s="1">
        <v>667.93000000000006</v>
      </c>
      <c r="J2476" s="16">
        <v>180992.15655905026</v>
      </c>
      <c r="K2476" s="5">
        <v>-2.3030916093343019E-2</v>
      </c>
      <c r="L2476" s="10">
        <v>-74135.202499999999</v>
      </c>
    </row>
    <row r="2477" spans="1:12" x14ac:dyDescent="0.25">
      <c r="A2477">
        <v>2476</v>
      </c>
      <c r="B2477" s="3">
        <v>0.24067227857867668</v>
      </c>
      <c r="C2477" s="3">
        <v>2.7931474851604337E-2</v>
      </c>
      <c r="D2477" s="1">
        <v>138915.49858905966</v>
      </c>
      <c r="E2477" s="1">
        <v>7820536</v>
      </c>
      <c r="F2477" s="1">
        <v>38895863</v>
      </c>
      <c r="G2477" s="16">
        <v>14047.73375822554</v>
      </c>
      <c r="H2477">
        <v>144.99</v>
      </c>
      <c r="I2477" s="1">
        <v>481.94000000000005</v>
      </c>
      <c r="J2477" s="16">
        <v>152963.2323472852</v>
      </c>
      <c r="K2477" s="5">
        <v>6.3368638097678967E-2</v>
      </c>
      <c r="L2477" s="10">
        <v>320898.25150000001</v>
      </c>
    </row>
    <row r="2478" spans="1:12" x14ac:dyDescent="0.25">
      <c r="A2478">
        <v>2477</v>
      </c>
      <c r="B2478" s="3">
        <v>0.20482320985613661</v>
      </c>
      <c r="C2478" s="3">
        <v>2.5998881402939475E-2</v>
      </c>
      <c r="D2478" s="1">
        <v>178060.11530360428</v>
      </c>
      <c r="E2478" s="1">
        <v>8335173</v>
      </c>
      <c r="F2478" s="1">
        <v>33784575</v>
      </c>
      <c r="G2478" s="16">
        <v>9963.0494171922965</v>
      </c>
      <c r="H2478">
        <v>59.24</v>
      </c>
      <c r="I2478" s="1">
        <v>200.75</v>
      </c>
      <c r="J2478" s="16">
        <v>188023.16472079657</v>
      </c>
      <c r="K2478" s="5">
        <v>0.21426016862959282</v>
      </c>
      <c r="L2478" s="10">
        <v>1321393.6939000001</v>
      </c>
    </row>
    <row r="2479" spans="1:12" x14ac:dyDescent="0.25">
      <c r="A2479">
        <v>2478</v>
      </c>
      <c r="B2479" s="3">
        <v>0.15348545704804048</v>
      </c>
      <c r="C2479" s="3">
        <v>7.749877497535447E-2</v>
      </c>
      <c r="D2479" s="1">
        <v>143569.30310101184</v>
      </c>
      <c r="E2479" s="1">
        <v>5232709</v>
      </c>
      <c r="F2479" s="1">
        <v>28604112</v>
      </c>
      <c r="G2479" s="16">
        <v>51433.99311411797</v>
      </c>
      <c r="H2479">
        <v>293.19</v>
      </c>
      <c r="I2479" s="1">
        <v>850.72</v>
      </c>
      <c r="J2479" s="16">
        <v>195003.29621512981</v>
      </c>
      <c r="K2479" s="5">
        <v>0.16571663408466189</v>
      </c>
      <c r="L2479" s="10">
        <v>292977.79979999998</v>
      </c>
    </row>
    <row r="2480" spans="1:12" x14ac:dyDescent="0.25">
      <c r="A2480">
        <v>2479</v>
      </c>
      <c r="B2480" s="3">
        <v>0.16767446630501104</v>
      </c>
      <c r="C2480" s="3">
        <v>3.92312395749006E-2</v>
      </c>
      <c r="D2480" s="1">
        <v>215465.88390480349</v>
      </c>
      <c r="E2480" s="1">
        <v>8402489</v>
      </c>
      <c r="F2480" s="1">
        <v>25015650</v>
      </c>
      <c r="G2480" s="16">
        <v>23175.904411847627</v>
      </c>
      <c r="H2480">
        <v>125.91</v>
      </c>
      <c r="I2480" s="1">
        <v>426.6</v>
      </c>
      <c r="J2480" s="16">
        <v>238641.7883166511</v>
      </c>
      <c r="K2480" s="5">
        <v>0.25690850848732816</v>
      </c>
      <c r="L2480" s="10">
        <v>1193728.7897999999</v>
      </c>
    </row>
    <row r="2481" spans="1:12" x14ac:dyDescent="0.25">
      <c r="A2481">
        <v>2480</v>
      </c>
      <c r="B2481" s="3">
        <v>0.13300415324600537</v>
      </c>
      <c r="C2481" s="3">
        <v>5.8022619150089466E-2</v>
      </c>
      <c r="D2481" s="1">
        <v>39722.549415453432</v>
      </c>
      <c r="E2481" s="1">
        <v>989023</v>
      </c>
      <c r="F2481" s="1">
        <v>8132194</v>
      </c>
      <c r="G2481" s="16">
        <v>77399.60021502836</v>
      </c>
      <c r="H2481">
        <v>364.29</v>
      </c>
      <c r="I2481" s="1">
        <v>1070.02</v>
      </c>
      <c r="J2481" s="16">
        <v>117122.14963048178</v>
      </c>
      <c r="K2481" s="5">
        <v>-0.12727895200720152</v>
      </c>
      <c r="L2481" s="10">
        <v>-160234.05160000001</v>
      </c>
    </row>
    <row r="2482" spans="1:12" x14ac:dyDescent="0.25">
      <c r="A2482">
        <v>2481</v>
      </c>
      <c r="B2482" s="3">
        <v>0.13045498453018498</v>
      </c>
      <c r="C2482" s="3">
        <v>2.4773326637816336E-2</v>
      </c>
      <c r="D2482" s="1">
        <v>258691.18143673311</v>
      </c>
      <c r="E2482" s="1">
        <v>9739221</v>
      </c>
      <c r="F2482" s="1">
        <v>44015140</v>
      </c>
      <c r="G2482" s="16">
        <v>77864.334465189953</v>
      </c>
      <c r="H2482">
        <v>358.54</v>
      </c>
      <c r="I2482" s="1">
        <v>908.62999999999988</v>
      </c>
      <c r="J2482" s="16">
        <v>336555.51590192306</v>
      </c>
      <c r="K2482" s="5">
        <v>0.18952752590658423</v>
      </c>
      <c r="L2482" s="10">
        <v>2216124.3256999999</v>
      </c>
    </row>
    <row r="2483" spans="1:12" x14ac:dyDescent="0.25">
      <c r="A2483">
        <v>2482</v>
      </c>
      <c r="B2483" s="3">
        <v>0.12222246968029368</v>
      </c>
      <c r="C2483" s="3">
        <v>7.2679032437030444E-2</v>
      </c>
      <c r="D2483" s="1">
        <v>134054.5294927214</v>
      </c>
      <c r="E2483" s="1">
        <v>4226169</v>
      </c>
      <c r="F2483" s="1">
        <v>24082717</v>
      </c>
      <c r="G2483" s="16">
        <v>33795.783898485148</v>
      </c>
      <c r="H2483">
        <v>111.27</v>
      </c>
      <c r="I2483" s="1">
        <v>366.97999999999996</v>
      </c>
      <c r="J2483" s="16">
        <v>167850.31339120655</v>
      </c>
      <c r="K2483" s="5">
        <v>9.3543309444623995E-2</v>
      </c>
      <c r="L2483" s="10">
        <v>179617.06409999999</v>
      </c>
    </row>
    <row r="2484" spans="1:12" x14ac:dyDescent="0.25">
      <c r="A2484">
        <v>2483</v>
      </c>
      <c r="B2484" s="3">
        <v>0.23376790050089927</v>
      </c>
      <c r="C2484" s="3">
        <v>7.0644380107915031E-2</v>
      </c>
      <c r="D2484" s="1">
        <v>74614.240274290642</v>
      </c>
      <c r="E2484" s="1">
        <v>3104151</v>
      </c>
      <c r="F2484" s="1">
        <v>14309110</v>
      </c>
      <c r="G2484" s="16">
        <v>6511.5640834676478</v>
      </c>
      <c r="H2484">
        <v>37.08</v>
      </c>
      <c r="I2484" s="1">
        <v>130.81</v>
      </c>
      <c r="J2484" s="16">
        <v>81125.804357758287</v>
      </c>
      <c r="K2484" s="5">
        <v>0.26605843264649648</v>
      </c>
      <c r="L2484" s="10">
        <v>222146.44959999999</v>
      </c>
    </row>
    <row r="2485" spans="1:12" x14ac:dyDescent="0.25">
      <c r="A2485">
        <v>2484</v>
      </c>
      <c r="B2485" s="3">
        <v>0.13699562705341145</v>
      </c>
      <c r="C2485" s="3">
        <v>2.7090449630110022E-2</v>
      </c>
      <c r="D2485" s="1">
        <v>268281.9554482348</v>
      </c>
      <c r="E2485" s="1">
        <v>10488878</v>
      </c>
      <c r="F2485" s="1">
        <v>44867347</v>
      </c>
      <c r="G2485" s="16">
        <v>32629.021685503347</v>
      </c>
      <c r="H2485">
        <v>118.83</v>
      </c>
      <c r="I2485" s="1">
        <v>358.76</v>
      </c>
      <c r="J2485" s="16">
        <v>300910.97713373817</v>
      </c>
      <c r="K2485" s="5">
        <v>5.6081494332724038E-2</v>
      </c>
      <c r="L2485" s="10">
        <v>556381.05619999999</v>
      </c>
    </row>
    <row r="2486" spans="1:12" x14ac:dyDescent="0.25">
      <c r="A2486">
        <v>2485</v>
      </c>
      <c r="B2486" s="3">
        <v>0.2299750882753808</v>
      </c>
      <c r="C2486" s="3">
        <v>3.6322184604256048E-2</v>
      </c>
      <c r="D2486" s="1">
        <v>84016.909344293497</v>
      </c>
      <c r="E2486" s="1">
        <v>3443935</v>
      </c>
      <c r="F2486" s="1">
        <v>19012357</v>
      </c>
      <c r="G2486" s="16">
        <v>13624.084063249315</v>
      </c>
      <c r="H2486">
        <v>98.39</v>
      </c>
      <c r="I2486" s="1">
        <v>306.74</v>
      </c>
      <c r="J2486" s="16">
        <v>97640.993407542817</v>
      </c>
      <c r="K2486" s="5">
        <v>6.8528385072225723E-2</v>
      </c>
      <c r="L2486" s="10">
        <v>172824.51809999999</v>
      </c>
    </row>
    <row r="2487" spans="1:12" x14ac:dyDescent="0.25">
      <c r="A2487">
        <v>2486</v>
      </c>
      <c r="B2487" s="3">
        <v>0.13834013533404199</v>
      </c>
      <c r="C2487" s="3">
        <v>3.9145074250381474E-2</v>
      </c>
      <c r="D2487" s="1">
        <v>141366.15826282059</v>
      </c>
      <c r="E2487" s="1">
        <v>4799604</v>
      </c>
      <c r="F2487" s="1">
        <v>22577148</v>
      </c>
      <c r="G2487" s="16">
        <v>36733.319538389122</v>
      </c>
      <c r="H2487">
        <v>156.91</v>
      </c>
      <c r="I2487" s="1">
        <v>508.24</v>
      </c>
      <c r="J2487" s="16">
        <v>178099.47780120972</v>
      </c>
      <c r="K2487" s="5">
        <v>0.10782243061143082</v>
      </c>
      <c r="L2487" s="10">
        <v>367504.06150000001</v>
      </c>
    </row>
    <row r="2488" spans="1:12" x14ac:dyDescent="0.25">
      <c r="A2488">
        <v>2487</v>
      </c>
      <c r="B2488" s="3">
        <v>0.16212854168757365</v>
      </c>
      <c r="C2488" s="3">
        <v>6.6372159763732716E-2</v>
      </c>
      <c r="D2488" s="1">
        <v>153913.37662086351</v>
      </c>
      <c r="E2488" s="1">
        <v>5844798</v>
      </c>
      <c r="F2488" s="1">
        <v>24713789</v>
      </c>
      <c r="G2488" s="16">
        <v>32141.880756965533</v>
      </c>
      <c r="H2488">
        <v>166.69</v>
      </c>
      <c r="I2488" s="1">
        <v>525.54999999999995</v>
      </c>
      <c r="J2488" s="16">
        <v>186055.25737782905</v>
      </c>
      <c r="K2488" s="5">
        <v>8.961433868466348E-2</v>
      </c>
      <c r="L2488" s="10">
        <v>155758.0863</v>
      </c>
    </row>
    <row r="2489" spans="1:12" x14ac:dyDescent="0.25">
      <c r="A2489">
        <v>2488</v>
      </c>
      <c r="B2489" s="3">
        <v>0.12102622599408297</v>
      </c>
      <c r="C2489" s="3">
        <v>3.7236900966412287E-2</v>
      </c>
      <c r="D2489" s="1">
        <v>110647.00864499954</v>
      </c>
      <c r="E2489" s="1">
        <v>3049404</v>
      </c>
      <c r="F2489" s="1">
        <v>14247228</v>
      </c>
      <c r="G2489" s="16">
        <v>57727.569829858796</v>
      </c>
      <c r="H2489">
        <v>214.4</v>
      </c>
      <c r="I2489" s="1">
        <v>547.41000000000008</v>
      </c>
      <c r="J2489" s="16">
        <v>168374.57847485834</v>
      </c>
      <c r="K2489" s="5">
        <v>3.1300598905842081E-2</v>
      </c>
      <c r="L2489" s="10">
        <v>117979.7191</v>
      </c>
    </row>
    <row r="2490" spans="1:12" x14ac:dyDescent="0.25">
      <c r="A2490">
        <v>2489</v>
      </c>
      <c r="B2490" s="3">
        <v>0.14308505105138658</v>
      </c>
      <c r="C2490" s="3">
        <v>5.106585872886113E-2</v>
      </c>
      <c r="D2490" s="1">
        <v>237916.60125914493</v>
      </c>
      <c r="E2490" s="1">
        <v>8258033</v>
      </c>
      <c r="F2490" s="1">
        <v>29313367</v>
      </c>
      <c r="G2490" s="16">
        <v>42889.824229210448</v>
      </c>
      <c r="H2490">
        <v>189.88</v>
      </c>
      <c r="I2490" s="1">
        <v>485.57</v>
      </c>
      <c r="J2490" s="16">
        <v>280806.42548835539</v>
      </c>
      <c r="K2490" s="5">
        <v>-6.7752063134481372E-2</v>
      </c>
      <c r="L2490" s="10">
        <v>-243854.12179999999</v>
      </c>
    </row>
    <row r="2491" spans="1:12" x14ac:dyDescent="0.25">
      <c r="A2491">
        <v>2490</v>
      </c>
      <c r="B2491" s="3">
        <v>0.23304107181070102</v>
      </c>
      <c r="C2491" s="3">
        <v>2.9515818498953478E-2</v>
      </c>
      <c r="D2491" s="1">
        <v>67610.751285663195</v>
      </c>
      <c r="E2491" s="1">
        <v>3657043</v>
      </c>
      <c r="F2491" s="1">
        <v>22398505</v>
      </c>
      <c r="G2491" s="16">
        <v>14801.049664519835</v>
      </c>
      <c r="H2491">
        <v>142.46</v>
      </c>
      <c r="I2491" s="1">
        <v>430.96000000000004</v>
      </c>
      <c r="J2491" s="16">
        <v>82411.800950183024</v>
      </c>
      <c r="K2491" s="5">
        <v>0.14298707046024067</v>
      </c>
      <c r="L2491" s="10">
        <v>383808.86780000001</v>
      </c>
    </row>
    <row r="2492" spans="1:12" x14ac:dyDescent="0.25">
      <c r="A2492">
        <v>2491</v>
      </c>
      <c r="B2492" s="3">
        <v>0.19234160803847164</v>
      </c>
      <c r="C2492" s="3">
        <v>5.1284131299763905E-2</v>
      </c>
      <c r="D2492" s="1">
        <v>117025.08594999684</v>
      </c>
      <c r="E2492" s="1">
        <v>5147203</v>
      </c>
      <c r="F2492" s="1">
        <v>28529939</v>
      </c>
      <c r="G2492" s="16">
        <v>20382.787703013804</v>
      </c>
      <c r="H2492">
        <v>136.75</v>
      </c>
      <c r="I2492" s="1">
        <v>434.34999999999997</v>
      </c>
      <c r="J2492" s="16">
        <v>137407.87365301064</v>
      </c>
      <c r="K2492" s="5">
        <v>0.10327564434883758</v>
      </c>
      <c r="L2492" s="10">
        <v>233484.55619999999</v>
      </c>
    </row>
    <row r="2493" spans="1:12" x14ac:dyDescent="0.25">
      <c r="A2493">
        <v>2492</v>
      </c>
      <c r="B2493" s="3">
        <v>0.11696997307143049</v>
      </c>
      <c r="C2493" s="3">
        <v>2.0221069253475145E-2</v>
      </c>
      <c r="D2493" s="1">
        <v>319927.63453433424</v>
      </c>
      <c r="E2493" s="1">
        <v>9848103</v>
      </c>
      <c r="F2493" s="1">
        <v>30305421</v>
      </c>
      <c r="G2493" s="16">
        <v>41027.241459935554</v>
      </c>
      <c r="H2493">
        <v>147.59</v>
      </c>
      <c r="I2493" s="1">
        <v>492.9</v>
      </c>
      <c r="J2493" s="16">
        <v>360954.87599426979</v>
      </c>
      <c r="K2493" s="5">
        <v>9.2077508468993513E-2</v>
      </c>
      <c r="L2493" s="10">
        <v>1466463.9972000001</v>
      </c>
    </row>
    <row r="2494" spans="1:12" x14ac:dyDescent="0.25">
      <c r="A2494">
        <v>2493</v>
      </c>
      <c r="B2494" s="3">
        <v>0.2213784576444851</v>
      </c>
      <c r="C2494" s="3">
        <v>7.8342033706806771E-2</v>
      </c>
      <c r="D2494" s="1">
        <v>90347.131903612826</v>
      </c>
      <c r="E2494" s="1">
        <v>4600565</v>
      </c>
      <c r="F2494" s="1">
        <v>27177296</v>
      </c>
      <c r="G2494" s="16">
        <v>20555.655412043063</v>
      </c>
      <c r="H2494">
        <v>178.3</v>
      </c>
      <c r="I2494" s="1">
        <v>490.8</v>
      </c>
      <c r="J2494" s="16">
        <v>110902.78731565589</v>
      </c>
      <c r="K2494" s="5">
        <v>2.8582484396110976E-2</v>
      </c>
      <c r="L2494" s="10">
        <v>56323.712200000002</v>
      </c>
    </row>
    <row r="2495" spans="1:12" x14ac:dyDescent="0.25">
      <c r="A2495">
        <v>2494</v>
      </c>
      <c r="B2495" s="3">
        <v>0.16641434450741907</v>
      </c>
      <c r="C2495" s="3">
        <v>4.2163937264929813E-2</v>
      </c>
      <c r="D2495" s="1">
        <v>221205.04244227411</v>
      </c>
      <c r="E2495" s="1">
        <v>8574268</v>
      </c>
      <c r="F2495" s="1">
        <v>35627963</v>
      </c>
      <c r="G2495" s="16">
        <v>40725.077094714099</v>
      </c>
      <c r="H2495">
        <v>219.1</v>
      </c>
      <c r="I2495" s="1">
        <v>638.75</v>
      </c>
      <c r="J2495" s="16">
        <v>261930.1195369882</v>
      </c>
      <c r="K2495" s="5">
        <v>0.16585316643150458</v>
      </c>
      <c r="L2495" s="10">
        <v>788707.81350000005</v>
      </c>
    </row>
    <row r="2496" spans="1:12" x14ac:dyDescent="0.25">
      <c r="A2496">
        <v>2495</v>
      </c>
      <c r="B2496" s="3">
        <v>0.14131152735436539</v>
      </c>
      <c r="C2496" s="3">
        <v>6.5127427927415688E-2</v>
      </c>
      <c r="D2496" s="1">
        <v>503718.8953939426</v>
      </c>
      <c r="E2496" s="1">
        <v>20193538</v>
      </c>
      <c r="F2496" s="1">
        <v>58889489</v>
      </c>
      <c r="G2496" s="16">
        <v>70973.324651808842</v>
      </c>
      <c r="H2496">
        <v>361.47</v>
      </c>
      <c r="I2496" s="1">
        <v>1374.14</v>
      </c>
      <c r="J2496" s="16">
        <v>574692.22004575143</v>
      </c>
      <c r="K2496" s="5">
        <v>0.16129518026415862</v>
      </c>
      <c r="L2496" s="10">
        <v>957631.41269999999</v>
      </c>
    </row>
    <row r="2497" spans="1:12" x14ac:dyDescent="0.25">
      <c r="A2497">
        <v>2496</v>
      </c>
      <c r="B2497" s="3">
        <v>0.13992203962041252</v>
      </c>
      <c r="C2497" s="3">
        <v>2.0808412123052903E-2</v>
      </c>
      <c r="D2497" s="1">
        <v>64356.945748371967</v>
      </c>
      <c r="E2497" s="1">
        <v>1893146</v>
      </c>
      <c r="F2497" s="1">
        <v>12038241</v>
      </c>
      <c r="G2497" s="16">
        <v>29939.593997512424</v>
      </c>
      <c r="H2497">
        <v>111.25</v>
      </c>
      <c r="I2497" s="1">
        <v>351.41</v>
      </c>
      <c r="J2497" s="16">
        <v>94296.539745884395</v>
      </c>
      <c r="K2497" s="5">
        <v>0.10837055672370455</v>
      </c>
      <c r="L2497" s="10">
        <v>465242.8075</v>
      </c>
    </row>
    <row r="2498" spans="1:12" x14ac:dyDescent="0.25">
      <c r="A2498">
        <v>2497</v>
      </c>
      <c r="B2498" s="3">
        <v>0.21526208655392259</v>
      </c>
      <c r="C2498" s="3">
        <v>4.4285627099458651E-2</v>
      </c>
      <c r="D2498" s="1">
        <v>441074.76314404368</v>
      </c>
      <c r="E2498" s="1">
        <v>27739066</v>
      </c>
      <c r="F2498" s="1">
        <v>78247972</v>
      </c>
      <c r="G2498" s="16">
        <v>13202.310707572125</v>
      </c>
      <c r="H2498">
        <v>85.04</v>
      </c>
      <c r="I2498" s="1">
        <v>363.01000000000005</v>
      </c>
      <c r="J2498" s="16">
        <v>454277.07385161583</v>
      </c>
      <c r="K2498" s="5">
        <v>0.12804124902973976</v>
      </c>
      <c r="L2498" s="10">
        <v>989117.49690000003</v>
      </c>
    </row>
    <row r="2499" spans="1:12" x14ac:dyDescent="0.25">
      <c r="A2499">
        <v>2498</v>
      </c>
      <c r="B2499" s="3">
        <v>0.19079456302120268</v>
      </c>
      <c r="C2499" s="3">
        <v>7.2261208082509854E-2</v>
      </c>
      <c r="D2499" s="1">
        <v>285315.81425374723</v>
      </c>
      <c r="E2499" s="1">
        <v>15389855</v>
      </c>
      <c r="F2499" s="1">
        <v>54800820</v>
      </c>
      <c r="G2499" s="16">
        <v>24589.450525473763</v>
      </c>
      <c r="H2499">
        <v>162.69999999999999</v>
      </c>
      <c r="I2499" s="1">
        <v>442.46</v>
      </c>
      <c r="J2499" s="16">
        <v>309905.26477922098</v>
      </c>
      <c r="K2499" s="5">
        <v>0.14770623170534927</v>
      </c>
      <c r="L2499" s="10">
        <v>443442.85230000003</v>
      </c>
    </row>
    <row r="2500" spans="1:12" x14ac:dyDescent="0.25">
      <c r="A2500">
        <v>2499</v>
      </c>
      <c r="B2500" s="3">
        <v>0.17096191901214403</v>
      </c>
      <c r="C2500" s="3">
        <v>7.2391319198368234E-2</v>
      </c>
      <c r="D2500" s="1">
        <v>91520.931687454446</v>
      </c>
      <c r="E2500" s="1">
        <v>3625978</v>
      </c>
      <c r="F2500" s="1">
        <v>21482922</v>
      </c>
      <c r="G2500" s="16">
        <v>11991.51078790598</v>
      </c>
      <c r="H2500">
        <v>55.58</v>
      </c>
      <c r="I2500" s="1">
        <v>194.32999999999998</v>
      </c>
      <c r="J2500" s="16">
        <v>103512.44247536043</v>
      </c>
      <c r="K2500" s="5">
        <v>0.14230225644949301</v>
      </c>
      <c r="L2500" s="10">
        <v>171042.57180000001</v>
      </c>
    </row>
    <row r="2501" spans="1:12" x14ac:dyDescent="0.25">
      <c r="A2501">
        <v>2500</v>
      </c>
      <c r="B2501" s="3">
        <v>0.15821632686434928</v>
      </c>
      <c r="C2501" s="3">
        <v>7.4941379415080986E-2</v>
      </c>
      <c r="D2501" s="1">
        <v>107167.3906781829</v>
      </c>
      <c r="E2501" s="1">
        <v>3362516</v>
      </c>
      <c r="F2501" s="1">
        <v>21115305</v>
      </c>
      <c r="G2501" s="16">
        <v>50860.2263112211</v>
      </c>
      <c r="H2501">
        <v>255.24</v>
      </c>
      <c r="I2501" s="1">
        <v>632.56999999999994</v>
      </c>
      <c r="J2501" s="16">
        <v>158027.61698940399</v>
      </c>
      <c r="K2501" s="5">
        <v>-3.7633209386872743E-2</v>
      </c>
      <c r="L2501" s="10">
        <v>-15197.368200000001</v>
      </c>
    </row>
    <row r="2502" spans="1:12" x14ac:dyDescent="0.25">
      <c r="A2502">
        <v>2501</v>
      </c>
      <c r="B2502" s="3">
        <v>0.17924300331220477</v>
      </c>
      <c r="C2502" s="3">
        <v>3.2210839399247668E-2</v>
      </c>
      <c r="D2502" s="1">
        <v>123741.91430729481</v>
      </c>
      <c r="E2502" s="1">
        <v>5103412</v>
      </c>
      <c r="F2502" s="1">
        <v>27069515</v>
      </c>
      <c r="G2502" s="16">
        <v>39165.419706345456</v>
      </c>
      <c r="H2502">
        <v>234.94</v>
      </c>
      <c r="I2502" s="1">
        <v>609.42000000000007</v>
      </c>
      <c r="J2502" s="16">
        <v>162907.33401364027</v>
      </c>
      <c r="K2502" s="5">
        <v>3.593954076449251E-2</v>
      </c>
      <c r="L2502" s="10">
        <v>171578.2905</v>
      </c>
    </row>
    <row r="2503" spans="1:12" x14ac:dyDescent="0.25">
      <c r="A2503">
        <v>2502</v>
      </c>
      <c r="B2503" s="3">
        <v>0.13211723245227106</v>
      </c>
      <c r="C2503" s="3">
        <v>3.6702220930093149E-2</v>
      </c>
      <c r="D2503" s="1">
        <v>311743.82586776104</v>
      </c>
      <c r="E2503" s="1">
        <v>10283861</v>
      </c>
      <c r="F2503" s="1">
        <v>35769006</v>
      </c>
      <c r="G2503" s="16">
        <v>28599.807706338146</v>
      </c>
      <c r="H2503">
        <v>100.9</v>
      </c>
      <c r="I2503" s="1">
        <v>377.94000000000005</v>
      </c>
      <c r="J2503" s="16">
        <v>340343.63357409916</v>
      </c>
      <c r="K2503" s="5">
        <v>0.12981507729110958</v>
      </c>
      <c r="L2503" s="10">
        <v>952541.15240000002</v>
      </c>
    </row>
    <row r="2504" spans="1:12" x14ac:dyDescent="0.25">
      <c r="A2504">
        <v>2503</v>
      </c>
      <c r="B2504" s="3">
        <v>0.15914061807541635</v>
      </c>
      <c r="C2504" s="3">
        <v>5.0045693974573348E-2</v>
      </c>
      <c r="D2504" s="1">
        <v>35762.532060223413</v>
      </c>
      <c r="E2504" s="1">
        <v>946640</v>
      </c>
      <c r="F2504" s="1">
        <v>8272605</v>
      </c>
      <c r="G2504" s="16">
        <v>29365.906185901462</v>
      </c>
      <c r="H2504">
        <v>124.78</v>
      </c>
      <c r="I2504" s="1">
        <v>344.82</v>
      </c>
      <c r="J2504" s="16">
        <v>65128.438246124875</v>
      </c>
      <c r="K2504" s="5">
        <v>0.16875587719505236</v>
      </c>
      <c r="L2504" s="10">
        <v>175791.15609999999</v>
      </c>
    </row>
    <row r="2505" spans="1:12" x14ac:dyDescent="0.25">
      <c r="A2505">
        <v>2504</v>
      </c>
      <c r="B2505" s="3">
        <v>0.20459129133833809</v>
      </c>
      <c r="C2505" s="3">
        <v>6.8913740913105717E-2</v>
      </c>
      <c r="D2505" s="1">
        <v>84483.609252593349</v>
      </c>
      <c r="E2505" s="1">
        <v>3950154</v>
      </c>
      <c r="F2505" s="1">
        <v>24864721</v>
      </c>
      <c r="G2505" s="16">
        <v>16913.678430604996</v>
      </c>
      <c r="H2505">
        <v>126.22</v>
      </c>
      <c r="I2505" s="1">
        <v>472.06000000000006</v>
      </c>
      <c r="J2505" s="16">
        <v>101397.28768319834</v>
      </c>
      <c r="K2505" s="5">
        <v>0.26981338779344122</v>
      </c>
      <c r="L2505" s="10">
        <v>293661.93709999998</v>
      </c>
    </row>
    <row r="2506" spans="1:12" x14ac:dyDescent="0.25">
      <c r="A2506">
        <v>2505</v>
      </c>
      <c r="B2506" s="3">
        <v>0.24043389266569637</v>
      </c>
      <c r="C2506" s="3">
        <v>2.6861761131245276E-2</v>
      </c>
      <c r="D2506" s="1">
        <v>87915.468712883638</v>
      </c>
      <c r="E2506" s="1">
        <v>3754670</v>
      </c>
      <c r="F2506" s="1">
        <v>20001268</v>
      </c>
      <c r="G2506" s="16">
        <v>12272.309925594787</v>
      </c>
      <c r="H2506">
        <v>96.21</v>
      </c>
      <c r="I2506" s="1">
        <v>341.94</v>
      </c>
      <c r="J2506" s="16">
        <v>100187.77863847843</v>
      </c>
      <c r="K2506" s="5">
        <v>5.5644853390923892E-2</v>
      </c>
      <c r="L2506" s="10">
        <v>187900.2372</v>
      </c>
    </row>
    <row r="2507" spans="1:12" x14ac:dyDescent="0.25">
      <c r="A2507">
        <v>2506</v>
      </c>
      <c r="B2507" s="3">
        <v>0.15664267351752797</v>
      </c>
      <c r="C2507" s="3">
        <v>6.0138313468436552E-2</v>
      </c>
      <c r="D2507" s="1">
        <v>308733.40953478607</v>
      </c>
      <c r="E2507" s="1">
        <v>11421930</v>
      </c>
      <c r="F2507" s="1">
        <v>42083990</v>
      </c>
      <c r="G2507" s="16">
        <v>53489.220099712526</v>
      </c>
      <c r="H2507">
        <v>314.44</v>
      </c>
      <c r="I2507" s="1">
        <v>924.63000000000011</v>
      </c>
      <c r="J2507" s="16">
        <v>362222.62963449862</v>
      </c>
      <c r="K2507" s="5">
        <v>3.7706010728834019E-2</v>
      </c>
      <c r="L2507" s="10">
        <v>167033.6066</v>
      </c>
    </row>
    <row r="2508" spans="1:12" x14ac:dyDescent="0.25">
      <c r="A2508">
        <v>2507</v>
      </c>
      <c r="B2508" s="3">
        <v>0.20765459231686462</v>
      </c>
      <c r="C2508" s="3">
        <v>4.6370645277891871E-2</v>
      </c>
      <c r="D2508" s="1">
        <v>43109.776817054553</v>
      </c>
      <c r="E2508" s="1">
        <v>1621941</v>
      </c>
      <c r="F2508" s="1">
        <v>15321120</v>
      </c>
      <c r="G2508" s="16">
        <v>10860.198452132863</v>
      </c>
      <c r="H2508">
        <v>65.88</v>
      </c>
      <c r="I2508" s="1">
        <v>195.56</v>
      </c>
      <c r="J2508" s="16">
        <v>53969.975269187416</v>
      </c>
      <c r="K2508" s="5">
        <v>4.1070643329402245E-2</v>
      </c>
      <c r="L2508" s="10">
        <v>53401.550900000002</v>
      </c>
    </row>
    <row r="2509" spans="1:12" x14ac:dyDescent="0.25">
      <c r="A2509">
        <v>2508</v>
      </c>
      <c r="B2509" s="3">
        <v>0.10014350977069965</v>
      </c>
      <c r="C2509" s="3">
        <v>7.2996331535002901E-2</v>
      </c>
      <c r="D2509" s="1">
        <v>389109.52419635747</v>
      </c>
      <c r="E2509" s="1">
        <v>12342634</v>
      </c>
      <c r="F2509" s="1">
        <v>47048632</v>
      </c>
      <c r="G2509" s="16">
        <v>41782.961059798989</v>
      </c>
      <c r="H2509">
        <v>118.69</v>
      </c>
      <c r="I2509" s="1">
        <v>358.75</v>
      </c>
      <c r="J2509" s="16">
        <v>430892.48525615648</v>
      </c>
      <c r="K2509" s="5">
        <v>2.78497076227507E-2</v>
      </c>
      <c r="L2509" s="10">
        <v>107256.90150000001</v>
      </c>
    </row>
    <row r="2510" spans="1:12" x14ac:dyDescent="0.25">
      <c r="A2510">
        <v>2509</v>
      </c>
      <c r="B2510" s="3">
        <v>0.1848283382842914</v>
      </c>
      <c r="C2510" s="3">
        <v>6.1200518349062413E-2</v>
      </c>
      <c r="D2510" s="1">
        <v>164800.16634173834</v>
      </c>
      <c r="E2510" s="1">
        <v>6984960</v>
      </c>
      <c r="F2510" s="1">
        <v>24892843</v>
      </c>
      <c r="G2510" s="16">
        <v>41221.800720371968</v>
      </c>
      <c r="H2510">
        <v>259.44</v>
      </c>
      <c r="I2510" s="1">
        <v>676.40000000000009</v>
      </c>
      <c r="J2510" s="16">
        <v>206021.96706211031</v>
      </c>
      <c r="K2510" s="5">
        <v>7.3321251171216253E-2</v>
      </c>
      <c r="L2510" s="10">
        <v>212173.3615</v>
      </c>
    </row>
    <row r="2511" spans="1:12" x14ac:dyDescent="0.25">
      <c r="A2511">
        <v>2510</v>
      </c>
      <c r="B2511" s="3">
        <v>0.14001355923470418</v>
      </c>
      <c r="C2511" s="3">
        <v>6.7212297316833869E-2</v>
      </c>
      <c r="D2511" s="1">
        <v>161284.52741747134</v>
      </c>
      <c r="E2511" s="1">
        <v>5518603</v>
      </c>
      <c r="F2511" s="1">
        <v>22276117</v>
      </c>
      <c r="G2511" s="16">
        <v>85671.068903422594</v>
      </c>
      <c r="H2511">
        <v>430.38</v>
      </c>
      <c r="I2511" s="1">
        <v>1116.56</v>
      </c>
      <c r="J2511" s="16">
        <v>246955.59632089394</v>
      </c>
      <c r="K2511" s="5">
        <v>4.2971116686436245E-2</v>
      </c>
      <c r="L2511" s="10">
        <v>149520.0655</v>
      </c>
    </row>
    <row r="2512" spans="1:12" x14ac:dyDescent="0.25">
      <c r="A2512">
        <v>2511</v>
      </c>
      <c r="B2512" s="3">
        <v>0.24852674848882383</v>
      </c>
      <c r="C2512" s="3">
        <v>7.8711715233201682E-2</v>
      </c>
      <c r="D2512" s="1">
        <v>75999.611552232862</v>
      </c>
      <c r="E2512" s="1">
        <v>3351761</v>
      </c>
      <c r="F2512" s="1">
        <v>17976968</v>
      </c>
      <c r="G2512" s="16">
        <v>20428.167588660574</v>
      </c>
      <c r="H2512">
        <v>227.03</v>
      </c>
      <c r="I2512" s="1">
        <v>646.05999999999995</v>
      </c>
      <c r="J2512" s="16">
        <v>96427.779140893428</v>
      </c>
      <c r="K2512" s="5">
        <v>0.19471513887795872</v>
      </c>
      <c r="L2512" s="10">
        <v>151110.52710000001</v>
      </c>
    </row>
    <row r="2513" spans="1:12" x14ac:dyDescent="0.25">
      <c r="A2513">
        <v>2512</v>
      </c>
      <c r="B2513" s="3">
        <v>0.19541116270544542</v>
      </c>
      <c r="C2513" s="3">
        <v>4.750092392994433E-2</v>
      </c>
      <c r="D2513" s="1">
        <v>266487.18202267116</v>
      </c>
      <c r="E2513" s="1">
        <v>11900987</v>
      </c>
      <c r="F2513" s="1">
        <v>38906819</v>
      </c>
      <c r="G2513" s="16">
        <v>20886.524574742227</v>
      </c>
      <c r="H2513">
        <v>116.1</v>
      </c>
      <c r="I2513" s="1">
        <v>320.78999999999996</v>
      </c>
      <c r="J2513" s="16">
        <v>287373.7065974134</v>
      </c>
      <c r="K2513" s="5">
        <v>0.12845556742757849</v>
      </c>
      <c r="L2513" s="10">
        <v>585169.0736</v>
      </c>
    </row>
    <row r="2514" spans="1:12" x14ac:dyDescent="0.25">
      <c r="A2514">
        <v>2513</v>
      </c>
      <c r="B2514" s="3">
        <v>0.10492066531382015</v>
      </c>
      <c r="C2514" s="3">
        <v>2.0470843109100037E-2</v>
      </c>
      <c r="D2514" s="1">
        <v>124357.94094601051</v>
      </c>
      <c r="E2514" s="1">
        <v>3626022</v>
      </c>
      <c r="F2514" s="1">
        <v>26597156</v>
      </c>
      <c r="G2514" s="16">
        <v>39534.318973359463</v>
      </c>
      <c r="H2514">
        <v>115.9</v>
      </c>
      <c r="I2514" s="1">
        <v>315.86</v>
      </c>
      <c r="J2514" s="16">
        <v>163892.25991936997</v>
      </c>
      <c r="K2514" s="5">
        <v>6.1343926302556431E-2</v>
      </c>
      <c r="L2514" s="10">
        <v>487988.62579999998</v>
      </c>
    </row>
    <row r="2515" spans="1:12" x14ac:dyDescent="0.25">
      <c r="A2515">
        <v>2514</v>
      </c>
      <c r="B2515" s="3">
        <v>0.11025187052278318</v>
      </c>
      <c r="C2515" s="3">
        <v>4.4312696116556E-2</v>
      </c>
      <c r="D2515" s="1">
        <v>349888.05099593947</v>
      </c>
      <c r="E2515" s="1">
        <v>11743481</v>
      </c>
      <c r="F2515" s="1">
        <v>50594605</v>
      </c>
      <c r="G2515" s="16">
        <v>18821.111816470631</v>
      </c>
      <c r="H2515">
        <v>57.04</v>
      </c>
      <c r="I2515" s="1">
        <v>200.95000000000002</v>
      </c>
      <c r="J2515" s="16">
        <v>368709.1628124101</v>
      </c>
      <c r="K2515" s="5">
        <v>0.17059572597064687</v>
      </c>
      <c r="L2515" s="10">
        <v>1112056.2259</v>
      </c>
    </row>
    <row r="2516" spans="1:12" x14ac:dyDescent="0.25">
      <c r="A2516">
        <v>2515</v>
      </c>
      <c r="B2516" s="3">
        <v>0.1948547695769362</v>
      </c>
      <c r="C2516" s="3">
        <v>3.4858135605815882E-2</v>
      </c>
      <c r="D2516" s="1">
        <v>97646.789830403184</v>
      </c>
      <c r="E2516" s="1">
        <v>4348742</v>
      </c>
      <c r="F2516" s="1">
        <v>24755466</v>
      </c>
      <c r="G2516" s="16">
        <v>40946.919669310744</v>
      </c>
      <c r="H2516">
        <v>281.08</v>
      </c>
      <c r="I2516" s="1">
        <v>758.44</v>
      </c>
      <c r="J2516" s="16">
        <v>138593.70949971394</v>
      </c>
      <c r="K2516" s="5">
        <v>0.10078105254920579</v>
      </c>
      <c r="L2516" s="10">
        <v>365294.10389999999</v>
      </c>
    </row>
    <row r="2517" spans="1:12" x14ac:dyDescent="0.25">
      <c r="A2517">
        <v>2516</v>
      </c>
      <c r="B2517" s="3">
        <v>0.18053382590732947</v>
      </c>
      <c r="C2517" s="3">
        <v>2.2299644804264555E-2</v>
      </c>
      <c r="D2517" s="1">
        <v>243649.6205026606</v>
      </c>
      <c r="E2517" s="1">
        <v>10112169</v>
      </c>
      <c r="F2517" s="1">
        <v>29935490</v>
      </c>
      <c r="G2517" s="16">
        <v>46035.364494675545</v>
      </c>
      <c r="H2517">
        <v>279.32</v>
      </c>
      <c r="I2517" s="1">
        <v>687.76</v>
      </c>
      <c r="J2517" s="16">
        <v>289684.98499733617</v>
      </c>
      <c r="K2517" s="5">
        <v>-5.2697606500200618E-2</v>
      </c>
      <c r="L2517" s="10">
        <v>-583883.00410000002</v>
      </c>
    </row>
    <row r="2518" spans="1:12" x14ac:dyDescent="0.25">
      <c r="A2518">
        <v>2517</v>
      </c>
      <c r="B2518" s="3">
        <v>0.13209785753546927</v>
      </c>
      <c r="C2518" s="3">
        <v>5.3719891942173206E-2</v>
      </c>
      <c r="D2518" s="1">
        <v>106567.98259773631</v>
      </c>
      <c r="E2518" s="1">
        <v>3050828</v>
      </c>
      <c r="F2518" s="1">
        <v>16166784</v>
      </c>
      <c r="G2518" s="16">
        <v>26798.536228288838</v>
      </c>
      <c r="H2518">
        <v>94.27</v>
      </c>
      <c r="I2518" s="1">
        <v>335.63</v>
      </c>
      <c r="J2518" s="16">
        <v>133366.51882602513</v>
      </c>
      <c r="K2518" s="5">
        <v>0.14170243610650507</v>
      </c>
      <c r="L2518" s="10">
        <v>279095.54109999997</v>
      </c>
    </row>
    <row r="2519" spans="1:12" x14ac:dyDescent="0.25">
      <c r="A2519">
        <v>2518</v>
      </c>
      <c r="B2519" s="3">
        <v>0.16401164287191647</v>
      </c>
      <c r="C2519" s="3">
        <v>6.0825858992580334E-2</v>
      </c>
      <c r="D2519" s="1">
        <v>514591.08986272465</v>
      </c>
      <c r="E2519" s="1">
        <v>28213930</v>
      </c>
      <c r="F2519" s="1">
        <v>88051237</v>
      </c>
      <c r="G2519" s="16">
        <v>17887.114858999223</v>
      </c>
      <c r="H2519">
        <v>78.849999999999994</v>
      </c>
      <c r="I2519" s="1">
        <v>331.81</v>
      </c>
      <c r="J2519" s="16">
        <v>532478.20472172392</v>
      </c>
      <c r="K2519" s="5">
        <v>7.2703127217628755E-2</v>
      </c>
      <c r="L2519" s="10">
        <v>498868.25180000003</v>
      </c>
    </row>
    <row r="2520" spans="1:12" x14ac:dyDescent="0.25">
      <c r="A2520">
        <v>2519</v>
      </c>
      <c r="B2520" s="3">
        <v>0.23498769034045885</v>
      </c>
      <c r="C2520" s="3">
        <v>3.2086781340486023E-2</v>
      </c>
      <c r="D2520" s="1">
        <v>89161.120139377905</v>
      </c>
      <c r="E2520" s="1">
        <v>4871962</v>
      </c>
      <c r="F2520" s="1">
        <v>24596854</v>
      </c>
      <c r="G2520" s="16">
        <v>4499.6876756080983</v>
      </c>
      <c r="H2520">
        <v>19.739999999999998</v>
      </c>
      <c r="I2520" s="1">
        <v>79.28</v>
      </c>
      <c r="J2520" s="16">
        <v>93660.807814986008</v>
      </c>
      <c r="K2520" s="5">
        <v>-9.2605048985324068E-2</v>
      </c>
      <c r="L2520" s="10">
        <v>-212229.27979999999</v>
      </c>
    </row>
    <row r="2521" spans="1:12" x14ac:dyDescent="0.25">
      <c r="A2521">
        <v>2520</v>
      </c>
      <c r="B2521" s="3">
        <v>0.14807886847845481</v>
      </c>
      <c r="C2521" s="3">
        <v>6.7294403984712592E-2</v>
      </c>
      <c r="D2521" s="1">
        <v>306587.79221837915</v>
      </c>
      <c r="E2521" s="1">
        <v>10893326</v>
      </c>
      <c r="F2521" s="1">
        <v>42546925</v>
      </c>
      <c r="G2521" s="16">
        <v>19860.429152323526</v>
      </c>
      <c r="H2521">
        <v>78.3</v>
      </c>
      <c r="I2521" s="1">
        <v>229.99</v>
      </c>
      <c r="J2521" s="16">
        <v>326448.22137070267</v>
      </c>
      <c r="K2521" s="5">
        <v>0.2593097259261557</v>
      </c>
      <c r="L2521" s="10">
        <v>849038.02480000001</v>
      </c>
    </row>
    <row r="2522" spans="1:12" x14ac:dyDescent="0.25">
      <c r="A2522">
        <v>2521</v>
      </c>
      <c r="B2522" s="3">
        <v>0.23396377081634609</v>
      </c>
      <c r="C2522" s="3">
        <v>5.7590356382741084E-2</v>
      </c>
      <c r="D2522" s="1">
        <v>91931.472282525327</v>
      </c>
      <c r="E2522" s="1">
        <v>3827533</v>
      </c>
      <c r="F2522" s="1">
        <v>18979427</v>
      </c>
      <c r="G2522" s="16">
        <v>14614.019848737884</v>
      </c>
      <c r="H2522">
        <v>108.88</v>
      </c>
      <c r="I2522" s="1">
        <v>379.04999999999995</v>
      </c>
      <c r="J2522" s="16">
        <v>106545.49213126321</v>
      </c>
      <c r="K2522" s="5">
        <v>-5.9968997573017213E-2</v>
      </c>
      <c r="L2522" s="10">
        <v>-59170.990700000002</v>
      </c>
    </row>
    <row r="2523" spans="1:12" x14ac:dyDescent="0.25">
      <c r="A2523">
        <v>2522</v>
      </c>
      <c r="B2523" s="3">
        <v>0.14212597231363322</v>
      </c>
      <c r="C2523" s="3">
        <v>3.2905472420043387E-2</v>
      </c>
      <c r="D2523" s="1">
        <v>97207.501831455374</v>
      </c>
      <c r="E2523" s="1">
        <v>3358989</v>
      </c>
      <c r="F2523" s="1">
        <v>22836860</v>
      </c>
      <c r="G2523" s="16">
        <v>28105.7414800894</v>
      </c>
      <c r="H2523">
        <v>106.19</v>
      </c>
      <c r="I2523" s="1">
        <v>309.64999999999998</v>
      </c>
      <c r="J2523" s="16">
        <v>125313.24331154478</v>
      </c>
      <c r="K2523" s="5">
        <v>8.7575931086329051E-2</v>
      </c>
      <c r="L2523" s="10">
        <v>316645.70549999998</v>
      </c>
    </row>
    <row r="2524" spans="1:12" x14ac:dyDescent="0.25">
      <c r="A2524">
        <v>2523</v>
      </c>
      <c r="B2524" s="3">
        <v>0.13380374593415978</v>
      </c>
      <c r="C2524" s="3">
        <v>6.4087214915174398E-2</v>
      </c>
      <c r="D2524" s="1">
        <v>34552.734012158908</v>
      </c>
      <c r="E2524" s="1">
        <v>861892</v>
      </c>
      <c r="F2524" s="1">
        <v>5861312</v>
      </c>
      <c r="G2524" s="16">
        <v>34488.664023212048</v>
      </c>
      <c r="H2524">
        <v>141.94999999999999</v>
      </c>
      <c r="I2524" s="1">
        <v>468.15</v>
      </c>
      <c r="J2524" s="16">
        <v>69041.398035370948</v>
      </c>
      <c r="K2524" s="5">
        <v>0.18024999551013543</v>
      </c>
      <c r="L2524" s="10">
        <v>139697.4319</v>
      </c>
    </row>
    <row r="2525" spans="1:12" x14ac:dyDescent="0.25">
      <c r="A2525">
        <v>2524</v>
      </c>
      <c r="B2525" s="3">
        <v>0.11675881714401382</v>
      </c>
      <c r="C2525" s="3">
        <v>7.6982580342096402E-2</v>
      </c>
      <c r="D2525" s="1">
        <v>114766.77797538137</v>
      </c>
      <c r="E2525" s="1">
        <v>3529406</v>
      </c>
      <c r="F2525" s="1">
        <v>22767413</v>
      </c>
      <c r="G2525" s="16">
        <v>53731.709745018859</v>
      </c>
      <c r="H2525">
        <v>192.84</v>
      </c>
      <c r="I2525" s="1">
        <v>545.78</v>
      </c>
      <c r="J2525" s="16">
        <v>168498.48772040021</v>
      </c>
      <c r="K2525" s="5">
        <v>0.11697963366261958</v>
      </c>
      <c r="L2525" s="10">
        <v>155222.21090000001</v>
      </c>
    </row>
    <row r="2526" spans="1:12" x14ac:dyDescent="0.25">
      <c r="A2526">
        <v>2525</v>
      </c>
      <c r="B2526" s="3">
        <v>0.11347691159729278</v>
      </c>
      <c r="C2526" s="3">
        <v>6.0934752112795185E-2</v>
      </c>
      <c r="D2526" s="1">
        <v>466749.12263021438</v>
      </c>
      <c r="E2526" s="1">
        <v>15952755</v>
      </c>
      <c r="F2526" s="1">
        <v>54408058</v>
      </c>
      <c r="G2526" s="16">
        <v>58991.760733996496</v>
      </c>
      <c r="H2526">
        <v>232.74</v>
      </c>
      <c r="I2526" s="1">
        <v>920.57999999999993</v>
      </c>
      <c r="J2526" s="16">
        <v>525740.88336421084</v>
      </c>
      <c r="K2526" s="5">
        <v>0.12396635780138041</v>
      </c>
      <c r="L2526" s="10">
        <v>716430.02639999997</v>
      </c>
    </row>
    <row r="2527" spans="1:12" x14ac:dyDescent="0.25">
      <c r="A2527">
        <v>2526</v>
      </c>
      <c r="B2527" s="3">
        <v>0.13732289616029106</v>
      </c>
      <c r="C2527" s="3">
        <v>6.0566242546962801E-2</v>
      </c>
      <c r="D2527" s="1">
        <v>533472.72023695195</v>
      </c>
      <c r="E2527" s="1">
        <v>20896504</v>
      </c>
      <c r="F2527" s="1">
        <v>66835005</v>
      </c>
      <c r="G2527" s="16">
        <v>35843.271955998163</v>
      </c>
      <c r="H2527">
        <v>151.51</v>
      </c>
      <c r="I2527" s="1">
        <v>552.5</v>
      </c>
      <c r="J2527" s="16">
        <v>569315.9921929501</v>
      </c>
      <c r="K2527" s="5">
        <v>6.2565493357787827E-2</v>
      </c>
      <c r="L2527" s="10">
        <v>437159.97210000001</v>
      </c>
    </row>
    <row r="2528" spans="1:12" x14ac:dyDescent="0.25">
      <c r="A2528">
        <v>2527</v>
      </c>
      <c r="B2528" s="3">
        <v>0.22416621639718304</v>
      </c>
      <c r="C2528" s="3">
        <v>2.418258095902508E-2</v>
      </c>
      <c r="D2528" s="1">
        <v>173528.01115041808</v>
      </c>
      <c r="E2528" s="1">
        <v>11553919</v>
      </c>
      <c r="F2528" s="1">
        <v>47896230</v>
      </c>
      <c r="G2528" s="16">
        <v>24156.66985418558</v>
      </c>
      <c r="H2528">
        <v>276.77999999999997</v>
      </c>
      <c r="I2528" s="1">
        <v>794.05</v>
      </c>
      <c r="J2528" s="16">
        <v>197684.68100460366</v>
      </c>
      <c r="K2528" s="5">
        <v>0.17352104685829747</v>
      </c>
      <c r="L2528" s="10">
        <v>1264794.4867</v>
      </c>
    </row>
    <row r="2529" spans="1:12" x14ac:dyDescent="0.25">
      <c r="A2529">
        <v>2528</v>
      </c>
      <c r="B2529" s="3">
        <v>0.22020517589361571</v>
      </c>
      <c r="C2529" s="3">
        <v>7.4646426378353309E-2</v>
      </c>
      <c r="D2529" s="1">
        <v>158939.98932107684</v>
      </c>
      <c r="E2529" s="1">
        <v>8044783</v>
      </c>
      <c r="F2529" s="1">
        <v>29727300</v>
      </c>
      <c r="G2529" s="16">
        <v>22449.328500133455</v>
      </c>
      <c r="H2529">
        <v>247.26</v>
      </c>
      <c r="I2529" s="1">
        <v>768.61</v>
      </c>
      <c r="J2529" s="16">
        <v>181389.31782121028</v>
      </c>
      <c r="K2529" s="5">
        <v>3.8942876252858812E-2</v>
      </c>
      <c r="L2529" s="10">
        <v>78434.738700000002</v>
      </c>
    </row>
    <row r="2530" spans="1:12" x14ac:dyDescent="0.25">
      <c r="A2530">
        <v>2529</v>
      </c>
      <c r="B2530" s="3">
        <v>0.19324308702671722</v>
      </c>
      <c r="C2530" s="3">
        <v>2.1489079457816428E-2</v>
      </c>
      <c r="D2530" s="1">
        <v>42402.676621483304</v>
      </c>
      <c r="E2530" s="1">
        <v>1219299</v>
      </c>
      <c r="F2530" s="1">
        <v>9297723</v>
      </c>
      <c r="G2530" s="16">
        <v>24167.631050200416</v>
      </c>
      <c r="H2530">
        <v>163.4</v>
      </c>
      <c r="I2530" s="1">
        <v>476.77</v>
      </c>
      <c r="J2530" s="16">
        <v>66570.307671683724</v>
      </c>
      <c r="K2530" s="5">
        <v>-6.4845129149558436E-2</v>
      </c>
      <c r="L2530" s="10">
        <v>-162132.57449999999</v>
      </c>
    </row>
    <row r="2531" spans="1:12" x14ac:dyDescent="0.25">
      <c r="A2531">
        <v>2530</v>
      </c>
      <c r="B2531" s="3">
        <v>0.17942695906535444</v>
      </c>
      <c r="C2531" s="3">
        <v>4.6714709719193337E-2</v>
      </c>
      <c r="D2531" s="1">
        <v>202929.54527537731</v>
      </c>
      <c r="E2531" s="1">
        <v>10208507</v>
      </c>
      <c r="F2531" s="1">
        <v>52517505</v>
      </c>
      <c r="G2531" s="16">
        <v>23570.57348358526</v>
      </c>
      <c r="H2531">
        <v>141.4</v>
      </c>
      <c r="I2531" s="1">
        <v>407.01</v>
      </c>
      <c r="J2531" s="16">
        <v>226500.11875896258</v>
      </c>
      <c r="K2531" s="5">
        <v>-2.1544120357913074E-2</v>
      </c>
      <c r="L2531" s="10">
        <v>-116593.5493</v>
      </c>
    </row>
    <row r="2532" spans="1:12" x14ac:dyDescent="0.25">
      <c r="A2532">
        <v>2531</v>
      </c>
      <c r="B2532" s="3">
        <v>0.20842462723856336</v>
      </c>
      <c r="C2532" s="3">
        <v>3.7788073092804103E-2</v>
      </c>
      <c r="D2532" s="1">
        <v>287033.71431265504</v>
      </c>
      <c r="E2532" s="1">
        <v>17285201</v>
      </c>
      <c r="F2532" s="1">
        <v>65758981</v>
      </c>
      <c r="G2532" s="16">
        <v>32109.573656730448</v>
      </c>
      <c r="H2532">
        <v>313.22000000000003</v>
      </c>
      <c r="I2532" s="1">
        <v>890.1400000000001</v>
      </c>
      <c r="J2532" s="16">
        <v>319143.28796938551</v>
      </c>
      <c r="K2532" s="5">
        <v>0.24591807783916841</v>
      </c>
      <c r="L2532" s="10">
        <v>1601471.9426</v>
      </c>
    </row>
    <row r="2533" spans="1:12" x14ac:dyDescent="0.25">
      <c r="A2533">
        <v>2532</v>
      </c>
      <c r="B2533" s="3">
        <v>0.19452787467229396</v>
      </c>
      <c r="C2533" s="3">
        <v>3.3613383651194415E-2</v>
      </c>
      <c r="D2533" s="1">
        <v>54287.234475154226</v>
      </c>
      <c r="E2533" s="1">
        <v>1944238</v>
      </c>
      <c r="F2533" s="1">
        <v>14582295</v>
      </c>
      <c r="G2533" s="16">
        <v>31196.206174628118</v>
      </c>
      <c r="H2533">
        <v>213.25</v>
      </c>
      <c r="I2533" s="1">
        <v>610.99</v>
      </c>
      <c r="J2533" s="16">
        <v>85483.440649782337</v>
      </c>
      <c r="K2533" s="5">
        <v>8.568600707531486E-2</v>
      </c>
      <c r="L2533" s="10">
        <v>181142.30809999999</v>
      </c>
    </row>
    <row r="2534" spans="1:12" x14ac:dyDescent="0.25">
      <c r="A2534">
        <v>2533</v>
      </c>
      <c r="B2534" s="3">
        <v>0.17947620996413016</v>
      </c>
      <c r="C2534" s="3">
        <v>6.4065417316400378E-2</v>
      </c>
      <c r="D2534" s="1">
        <v>127903.94507391655</v>
      </c>
      <c r="E2534" s="1">
        <v>4333245</v>
      </c>
      <c r="F2534" s="1">
        <v>15869200</v>
      </c>
      <c r="G2534" s="16">
        <v>15530.528995876195</v>
      </c>
      <c r="H2534">
        <v>76.64</v>
      </c>
      <c r="I2534" s="1">
        <v>260.81</v>
      </c>
      <c r="J2534" s="16">
        <v>143434.47406979275</v>
      </c>
      <c r="K2534" s="5">
        <v>-3.1118953841717166E-2</v>
      </c>
      <c r="L2534" s="10">
        <v>-27954.415000000001</v>
      </c>
    </row>
    <row r="2535" spans="1:12" x14ac:dyDescent="0.25">
      <c r="A2535">
        <v>2534</v>
      </c>
      <c r="B2535" s="3">
        <v>0.12043386972174353</v>
      </c>
      <c r="C2535" s="3">
        <v>5.8742655709118657E-2</v>
      </c>
      <c r="D2535" s="1">
        <v>457300.14099832781</v>
      </c>
      <c r="E2535" s="1">
        <v>16257796</v>
      </c>
      <c r="F2535" s="1">
        <v>69336497</v>
      </c>
      <c r="G2535" s="16">
        <v>23906.278888642464</v>
      </c>
      <c r="H2535">
        <v>77.599999999999994</v>
      </c>
      <c r="I2535" s="1">
        <v>244.35</v>
      </c>
      <c r="J2535" s="16">
        <v>481206.41988697025</v>
      </c>
      <c r="K2535" s="5">
        <v>0.11475594836271885</v>
      </c>
      <c r="L2535" s="10">
        <v>643573.02280000004</v>
      </c>
    </row>
    <row r="2536" spans="1:12" x14ac:dyDescent="0.25">
      <c r="A2536">
        <v>2535</v>
      </c>
      <c r="B2536" s="3">
        <v>0.15557431927276649</v>
      </c>
      <c r="C2536" s="3">
        <v>7.0509483929220296E-2</v>
      </c>
      <c r="D2536" s="1">
        <v>186284.08539869016</v>
      </c>
      <c r="E2536" s="1">
        <v>6856978</v>
      </c>
      <c r="F2536" s="1">
        <v>30465063</v>
      </c>
      <c r="G2536" s="16">
        <v>31409.856106111827</v>
      </c>
      <c r="H2536">
        <v>154.43</v>
      </c>
      <c r="I2536" s="1">
        <v>544.37</v>
      </c>
      <c r="J2536" s="16">
        <v>217693.941504802</v>
      </c>
      <c r="K2536" s="5">
        <v>0.16231846840621075</v>
      </c>
      <c r="L2536" s="10">
        <v>358253.63860000001</v>
      </c>
    </row>
    <row r="2537" spans="1:12" x14ac:dyDescent="0.25">
      <c r="A2537">
        <v>2536</v>
      </c>
      <c r="B2537" s="3">
        <v>0.15794063486725712</v>
      </c>
      <c r="C2537" s="3">
        <v>7.9121047719347554E-2</v>
      </c>
      <c r="D2537" s="1">
        <v>183694.62106274324</v>
      </c>
      <c r="E2537" s="1">
        <v>5757996</v>
      </c>
      <c r="F2537" s="1">
        <v>19881414</v>
      </c>
      <c r="G2537" s="16">
        <v>79773.60699405738</v>
      </c>
      <c r="H2537">
        <v>475.81</v>
      </c>
      <c r="I2537" s="1">
        <v>1101.67</v>
      </c>
      <c r="J2537" s="16">
        <v>263468.22805680061</v>
      </c>
      <c r="K2537" s="5">
        <v>-1.6764675474787542E-2</v>
      </c>
      <c r="L2537" s="10">
        <v>-27513.356599999999</v>
      </c>
    </row>
    <row r="2538" spans="1:12" x14ac:dyDescent="0.25">
      <c r="A2538">
        <v>2537</v>
      </c>
      <c r="B2538" s="3">
        <v>0.16693762479905333</v>
      </c>
      <c r="C2538" s="3">
        <v>5.4346287409979169E-2</v>
      </c>
      <c r="D2538" s="1">
        <v>189860.21031202225</v>
      </c>
      <c r="E2538" s="1">
        <v>7377805</v>
      </c>
      <c r="F2538" s="1">
        <v>30288564</v>
      </c>
      <c r="G2538" s="16">
        <v>33499.179632247891</v>
      </c>
      <c r="H2538">
        <v>180.9</v>
      </c>
      <c r="I2538" s="1">
        <v>629.31000000000006</v>
      </c>
      <c r="J2538" s="16">
        <v>223359.38994427014</v>
      </c>
      <c r="K2538" s="5">
        <v>1.4192483456709981E-2</v>
      </c>
      <c r="L2538" s="10">
        <v>27756.1741</v>
      </c>
    </row>
    <row r="2539" spans="1:12" x14ac:dyDescent="0.25">
      <c r="A2539">
        <v>2538</v>
      </c>
      <c r="B2539" s="3">
        <v>0.17543283462093845</v>
      </c>
      <c r="C2539" s="3">
        <v>7.6648876752368603E-2</v>
      </c>
      <c r="D2539" s="1">
        <v>128650.72969419759</v>
      </c>
      <c r="E2539" s="1">
        <v>4294737</v>
      </c>
      <c r="F2539" s="1">
        <v>18120711</v>
      </c>
      <c r="G2539" s="16">
        <v>29689.135958219646</v>
      </c>
      <c r="H2539">
        <v>172.43</v>
      </c>
      <c r="I2539" s="1">
        <v>565.16000000000008</v>
      </c>
      <c r="J2539" s="16">
        <v>158339.86565241724</v>
      </c>
      <c r="K2539" s="5">
        <v>0.11782033861309969</v>
      </c>
      <c r="L2539" s="10">
        <v>161101.31469999999</v>
      </c>
    </row>
    <row r="2540" spans="1:12" x14ac:dyDescent="0.25">
      <c r="A2540">
        <v>2539</v>
      </c>
      <c r="B2540" s="3">
        <v>0.2293772842918797</v>
      </c>
      <c r="C2540" s="3">
        <v>5.9916476885203643E-2</v>
      </c>
      <c r="D2540" s="1">
        <v>97535.287657955385</v>
      </c>
      <c r="E2540" s="1">
        <v>3988773</v>
      </c>
      <c r="F2540" s="1">
        <v>20023136</v>
      </c>
      <c r="G2540" s="16">
        <v>38286.975436490509</v>
      </c>
      <c r="H2540">
        <v>463.09</v>
      </c>
      <c r="I2540" s="1">
        <v>1235.97</v>
      </c>
      <c r="J2540" s="16">
        <v>135822.26309444589</v>
      </c>
      <c r="K2540" s="5">
        <v>0.16421466633607487</v>
      </c>
      <c r="L2540" s="10">
        <v>271285.96409999998</v>
      </c>
    </row>
    <row r="2541" spans="1:12" x14ac:dyDescent="0.25">
      <c r="A2541">
        <v>2540</v>
      </c>
      <c r="B2541" s="3">
        <v>0.1858819568327465</v>
      </c>
      <c r="C2541" s="3">
        <v>3.7585337793676357E-2</v>
      </c>
      <c r="D2541" s="1">
        <v>166495.48096945579</v>
      </c>
      <c r="E2541" s="1">
        <v>7093424</v>
      </c>
      <c r="F2541" s="1">
        <v>33343606</v>
      </c>
      <c r="G2541" s="16">
        <v>24262.0159471484</v>
      </c>
      <c r="H2541">
        <v>125.45</v>
      </c>
      <c r="I2541" s="1">
        <v>330.95</v>
      </c>
      <c r="J2541" s="16">
        <v>190757.4969166042</v>
      </c>
      <c r="K2541" s="5">
        <v>0.28774397770574589</v>
      </c>
      <c r="L2541" s="10">
        <v>1175679.5307</v>
      </c>
    </row>
    <row r="2542" spans="1:12" x14ac:dyDescent="0.25">
      <c r="A2542">
        <v>2541</v>
      </c>
      <c r="B2542" s="3">
        <v>0.22841720227506418</v>
      </c>
      <c r="C2542" s="3">
        <v>6.0717954726498533E-2</v>
      </c>
      <c r="D2542" s="1">
        <v>117242.2090214983</v>
      </c>
      <c r="E2542" s="1">
        <v>6190940</v>
      </c>
      <c r="F2542" s="1">
        <v>29453536</v>
      </c>
      <c r="G2542" s="16">
        <v>13800.540304497003</v>
      </c>
      <c r="H2542">
        <v>127.54</v>
      </c>
      <c r="I2542" s="1">
        <v>449.43</v>
      </c>
      <c r="J2542" s="16">
        <v>131042.7493259953</v>
      </c>
      <c r="K2542" s="5">
        <v>0.13625611216749145</v>
      </c>
      <c r="L2542" s="10">
        <v>216115.76550000001</v>
      </c>
    </row>
    <row r="2543" spans="1:12" x14ac:dyDescent="0.25">
      <c r="A2543">
        <v>2542</v>
      </c>
      <c r="B2543" s="3">
        <v>0.21831967901406665</v>
      </c>
      <c r="C2543" s="3">
        <v>4.1062508128252379E-2</v>
      </c>
      <c r="D2543" s="1">
        <v>81471.240641535536</v>
      </c>
      <c r="E2543" s="1">
        <v>3192413</v>
      </c>
      <c r="F2543" s="1">
        <v>18824698</v>
      </c>
      <c r="G2543" s="16">
        <v>34675.659999473384</v>
      </c>
      <c r="H2543">
        <v>292.38</v>
      </c>
      <c r="I2543" s="1">
        <v>748.92000000000007</v>
      </c>
      <c r="J2543" s="16">
        <v>116146.90064100892</v>
      </c>
      <c r="K2543" s="5">
        <v>0.19607740343197033</v>
      </c>
      <c r="L2543" s="10">
        <v>470111.38929999998</v>
      </c>
    </row>
    <row r="2544" spans="1:12" x14ac:dyDescent="0.25">
      <c r="A2544">
        <v>2543</v>
      </c>
      <c r="B2544" s="3">
        <v>0.20867512931265969</v>
      </c>
      <c r="C2544" s="3">
        <v>2.2540019287182946E-2</v>
      </c>
      <c r="D2544" s="1">
        <v>66984.112246779623</v>
      </c>
      <c r="E2544" s="1">
        <v>2529940</v>
      </c>
      <c r="F2544" s="1">
        <v>15445417</v>
      </c>
      <c r="G2544" s="16">
        <v>7272.7476384570928</v>
      </c>
      <c r="H2544">
        <v>35.18</v>
      </c>
      <c r="I2544" s="1">
        <v>162.53</v>
      </c>
      <c r="J2544" s="16">
        <v>74256.859885236714</v>
      </c>
      <c r="K2544" s="5">
        <v>5.7465170638295461E-2</v>
      </c>
      <c r="L2544" s="10">
        <v>174667.53219999999</v>
      </c>
    </row>
    <row r="2545" spans="1:12" x14ac:dyDescent="0.25">
      <c r="A2545">
        <v>2544</v>
      </c>
      <c r="B2545" s="3">
        <v>0.14724325154844961</v>
      </c>
      <c r="C2545" s="3">
        <v>7.2255126731275154E-2</v>
      </c>
      <c r="D2545" s="1">
        <v>58149.348749224584</v>
      </c>
      <c r="E2545" s="1">
        <v>1496572</v>
      </c>
      <c r="F2545" s="1">
        <v>9572698</v>
      </c>
      <c r="G2545" s="16">
        <v>103117.84491920167</v>
      </c>
      <c r="H2545">
        <v>554.76</v>
      </c>
      <c r="I2545" s="1">
        <v>1420.8899999999999</v>
      </c>
      <c r="J2545" s="16">
        <v>161267.19366842625</v>
      </c>
      <c r="K2545" s="5">
        <v>0.16931193014621443</v>
      </c>
      <c r="L2545" s="10">
        <v>246877.77069999999</v>
      </c>
    </row>
    <row r="2546" spans="1:12" x14ac:dyDescent="0.25">
      <c r="A2546">
        <v>2545</v>
      </c>
      <c r="B2546" s="3">
        <v>0.10100588707944207</v>
      </c>
      <c r="C2546" s="3">
        <v>2.4476364938146457E-2</v>
      </c>
      <c r="D2546" s="1">
        <v>305113.17040377366</v>
      </c>
      <c r="E2546" s="1">
        <v>9724770</v>
      </c>
      <c r="F2546" s="1">
        <v>45694923</v>
      </c>
      <c r="G2546" s="16">
        <v>62568.124964417439</v>
      </c>
      <c r="H2546">
        <v>198.48</v>
      </c>
      <c r="I2546" s="1">
        <v>591.53</v>
      </c>
      <c r="J2546" s="16">
        <v>367681.29536819109</v>
      </c>
      <c r="K2546" s="5">
        <v>-1.5850921983267194E-3</v>
      </c>
      <c r="L2546" s="10">
        <v>-19050.843499999999</v>
      </c>
    </row>
    <row r="2547" spans="1:12" x14ac:dyDescent="0.25">
      <c r="A2547">
        <v>2546</v>
      </c>
      <c r="B2547" s="3">
        <v>0.19469845741142638</v>
      </c>
      <c r="C2547" s="3">
        <v>5.5784982226363994E-2</v>
      </c>
      <c r="D2547" s="1">
        <v>121757.92157358208</v>
      </c>
      <c r="E2547" s="1">
        <v>6728334</v>
      </c>
      <c r="F2547" s="1">
        <v>45406530</v>
      </c>
      <c r="G2547" s="16">
        <v>11615.519218419795</v>
      </c>
      <c r="H2547">
        <v>64.05</v>
      </c>
      <c r="I2547" s="1">
        <v>199.14999999999998</v>
      </c>
      <c r="J2547" s="16">
        <v>133373.44079200187</v>
      </c>
      <c r="K2547" s="5">
        <v>-1.4089705570865127E-2</v>
      </c>
      <c r="L2547" s="10">
        <v>21900.989300000001</v>
      </c>
    </row>
    <row r="2548" spans="1:12" x14ac:dyDescent="0.25">
      <c r="A2548">
        <v>2547</v>
      </c>
      <c r="B2548" s="3">
        <v>0.19806400039851549</v>
      </c>
      <c r="C2548" s="3">
        <v>7.4929030741298183E-2</v>
      </c>
      <c r="D2548" s="1">
        <v>138837.45182321873</v>
      </c>
      <c r="E2548" s="1">
        <v>6282764</v>
      </c>
      <c r="F2548" s="1">
        <v>29476048</v>
      </c>
      <c r="G2548" s="16">
        <v>25767.864268391852</v>
      </c>
      <c r="H2548">
        <v>181.79</v>
      </c>
      <c r="I2548" s="1">
        <v>632.02</v>
      </c>
      <c r="J2548" s="16">
        <v>164605.31609161058</v>
      </c>
      <c r="K2548" s="5">
        <v>0.10843065431665583</v>
      </c>
      <c r="L2548" s="10">
        <v>180218.80470000001</v>
      </c>
    </row>
    <row r="2549" spans="1:12" x14ac:dyDescent="0.25">
      <c r="A2549">
        <v>2548</v>
      </c>
      <c r="B2549" s="3">
        <v>0.2280064748151342</v>
      </c>
      <c r="C2549" s="3">
        <v>2.3379720495854867E-2</v>
      </c>
      <c r="D2549" s="1">
        <v>116858.75698114205</v>
      </c>
      <c r="E2549" s="1">
        <v>4753612</v>
      </c>
      <c r="F2549" s="1">
        <v>21421687</v>
      </c>
      <c r="G2549" s="16">
        <v>13808.434472110339</v>
      </c>
      <c r="H2549">
        <v>127.1</v>
      </c>
      <c r="I2549" s="1">
        <v>427.53999999999996</v>
      </c>
      <c r="J2549" s="16">
        <v>130667.1914532524</v>
      </c>
      <c r="K2549" s="5">
        <v>6.4713965643322408E-2</v>
      </c>
      <c r="L2549" s="10">
        <v>341508.20779999997</v>
      </c>
    </row>
    <row r="2550" spans="1:12" x14ac:dyDescent="0.25">
      <c r="A2550">
        <v>2549</v>
      </c>
      <c r="B2550" s="3">
        <v>0.20109344919159694</v>
      </c>
      <c r="C2550" s="3">
        <v>3.4691960935545677E-2</v>
      </c>
      <c r="D2550" s="1">
        <v>143652.17697476034</v>
      </c>
      <c r="E2550" s="1">
        <v>5272620</v>
      </c>
      <c r="F2550" s="1">
        <v>17310530</v>
      </c>
      <c r="G2550" s="16">
        <v>18440.93625855531</v>
      </c>
      <c r="H2550">
        <v>106.59</v>
      </c>
      <c r="I2550" s="1">
        <v>328.69000000000005</v>
      </c>
      <c r="J2550" s="16">
        <v>162093.11323331564</v>
      </c>
      <c r="K2550" s="5">
        <v>-1.025781290074974E-2</v>
      </c>
      <c r="L2550" s="10">
        <v>-16448.587899999999</v>
      </c>
    </row>
    <row r="2551" spans="1:12" x14ac:dyDescent="0.25">
      <c r="A2551">
        <v>2550</v>
      </c>
      <c r="B2551" s="3">
        <v>0.15501004080349615</v>
      </c>
      <c r="C2551" s="3">
        <v>7.6976161081635353E-2</v>
      </c>
      <c r="D2551" s="1">
        <v>106196.57668174121</v>
      </c>
      <c r="E2551" s="1">
        <v>3294265</v>
      </c>
      <c r="F2551" s="1">
        <v>15839763</v>
      </c>
      <c r="G2551" s="16">
        <v>69086.198722820467</v>
      </c>
      <c r="H2551">
        <v>399.41</v>
      </c>
      <c r="I2551" s="1">
        <v>1067.57</v>
      </c>
      <c r="J2551" s="16">
        <v>175282.77540456166</v>
      </c>
      <c r="K2551" s="5">
        <v>0.17605089343978489</v>
      </c>
      <c r="L2551" s="10">
        <v>263464.10190000001</v>
      </c>
    </row>
    <row r="2552" spans="1:12" x14ac:dyDescent="0.25">
      <c r="A2552">
        <v>2551</v>
      </c>
      <c r="B2552" s="3">
        <v>0.13327149736926744</v>
      </c>
      <c r="C2552" s="3">
        <v>4.0474049649644489E-2</v>
      </c>
      <c r="D2552" s="1">
        <v>162453.04438842449</v>
      </c>
      <c r="E2552" s="1">
        <v>4669617</v>
      </c>
      <c r="F2552" s="1">
        <v>20191963</v>
      </c>
      <c r="G2552" s="16">
        <v>19174.749314867822</v>
      </c>
      <c r="H2552">
        <v>68.08</v>
      </c>
      <c r="I2552" s="1">
        <v>240.87</v>
      </c>
      <c r="J2552" s="16">
        <v>181627.79370329232</v>
      </c>
      <c r="K2552" s="5">
        <v>0.15355665638034066</v>
      </c>
      <c r="L2552" s="10">
        <v>532419.68649999995</v>
      </c>
    </row>
    <row r="2553" spans="1:12" x14ac:dyDescent="0.25">
      <c r="A2553">
        <v>2552</v>
      </c>
      <c r="B2553" s="3">
        <v>0.2001621365486953</v>
      </c>
      <c r="C2553" s="3">
        <v>7.4111743709594696E-2</v>
      </c>
      <c r="D2553" s="1">
        <v>187697.92151283327</v>
      </c>
      <c r="E2553" s="1">
        <v>8583302</v>
      </c>
      <c r="F2553" s="1">
        <v>36706848</v>
      </c>
      <c r="G2553" s="16">
        <v>26559.138812790035</v>
      </c>
      <c r="H2553">
        <v>238.25</v>
      </c>
      <c r="I2553" s="1">
        <v>779.23</v>
      </c>
      <c r="J2553" s="16">
        <v>214257.06032562332</v>
      </c>
      <c r="K2553" s="5">
        <v>0.17534312921961404</v>
      </c>
      <c r="L2553" s="10">
        <v>372973.54060000001</v>
      </c>
    </row>
    <row r="2554" spans="1:12" x14ac:dyDescent="0.25">
      <c r="A2554">
        <v>2553</v>
      </c>
      <c r="B2554" s="3">
        <v>0.10960091102953201</v>
      </c>
      <c r="C2554" s="3">
        <v>5.2543426636716906E-2</v>
      </c>
      <c r="D2554" s="1">
        <v>276057.5386536147</v>
      </c>
      <c r="E2554" s="1">
        <v>8219838</v>
      </c>
      <c r="F2554" s="1">
        <v>38723553</v>
      </c>
      <c r="G2554" s="16">
        <v>50751.620906922646</v>
      </c>
      <c r="H2554">
        <v>172.04</v>
      </c>
      <c r="I2554" s="1">
        <v>551.41999999999996</v>
      </c>
      <c r="J2554" s="16">
        <v>326809.15956053731</v>
      </c>
      <c r="K2554" s="5">
        <v>-1.2148607391331279E-3</v>
      </c>
      <c r="L2554" s="10">
        <v>18301.485799999999</v>
      </c>
    </row>
    <row r="2555" spans="1:12" x14ac:dyDescent="0.25">
      <c r="A2555">
        <v>2554</v>
      </c>
      <c r="B2555" s="3">
        <v>0.13024745480138117</v>
      </c>
      <c r="C2555" s="3">
        <v>5.1198870636751284E-2</v>
      </c>
      <c r="D2555" s="1">
        <v>104931.12305180845</v>
      </c>
      <c r="E2555" s="1">
        <v>2984836</v>
      </c>
      <c r="F2555" s="1">
        <v>17542403</v>
      </c>
      <c r="G2555" s="16">
        <v>64586.930508025849</v>
      </c>
      <c r="H2555">
        <v>296.74</v>
      </c>
      <c r="I2555" s="1">
        <v>773.81</v>
      </c>
      <c r="J2555" s="16">
        <v>169518.05355983431</v>
      </c>
      <c r="K2555" s="5">
        <v>5.4142591957849158E-2</v>
      </c>
      <c r="L2555" s="10">
        <v>145539.15150000001</v>
      </c>
    </row>
    <row r="2556" spans="1:12" x14ac:dyDescent="0.25">
      <c r="A2556">
        <v>2555</v>
      </c>
      <c r="B2556" s="3">
        <v>0.14676413341300942</v>
      </c>
      <c r="C2556" s="3">
        <v>5.9348932135240215E-2</v>
      </c>
      <c r="D2556" s="1">
        <v>166488.86098825466</v>
      </c>
      <c r="E2556" s="1">
        <v>5879107</v>
      </c>
      <c r="F2556" s="1">
        <v>29777894</v>
      </c>
      <c r="G2556" s="16">
        <v>29807.563267609286</v>
      </c>
      <c r="H2556">
        <v>116.38</v>
      </c>
      <c r="I2556" s="1">
        <v>350.24</v>
      </c>
      <c r="J2556" s="16">
        <v>196296.42425586394</v>
      </c>
      <c r="K2556" s="5">
        <v>9.9212845060336841E-2</v>
      </c>
      <c r="L2556" s="10">
        <v>279345.52279999998</v>
      </c>
    </row>
    <row r="2557" spans="1:12" x14ac:dyDescent="0.25">
      <c r="A2557">
        <v>2556</v>
      </c>
      <c r="B2557" s="3">
        <v>0.23572302197329886</v>
      </c>
      <c r="C2557" s="3">
        <v>4.2321990399814921E-2</v>
      </c>
      <c r="D2557" s="1">
        <v>172754.62650316212</v>
      </c>
      <c r="E2557" s="1">
        <v>12398763</v>
      </c>
      <c r="F2557" s="1">
        <v>45032722</v>
      </c>
      <c r="G2557" s="16">
        <v>13385.056141120136</v>
      </c>
      <c r="H2557">
        <v>132.38</v>
      </c>
      <c r="I2557" s="1">
        <v>539.96</v>
      </c>
      <c r="J2557" s="16">
        <v>186139.68264428226</v>
      </c>
      <c r="K2557" s="5">
        <v>3.0035903560255213E-2</v>
      </c>
      <c r="L2557" s="10">
        <v>133388.19390000001</v>
      </c>
    </row>
    <row r="2558" spans="1:12" x14ac:dyDescent="0.25">
      <c r="A2558">
        <v>2557</v>
      </c>
      <c r="B2558" s="3">
        <v>0.16539416839605081</v>
      </c>
      <c r="C2558" s="3">
        <v>4.3973402152673854E-2</v>
      </c>
      <c r="D2558" s="1">
        <v>82933.525889159893</v>
      </c>
      <c r="E2558" s="1">
        <v>3198950</v>
      </c>
      <c r="F2558" s="1">
        <v>21866002</v>
      </c>
      <c r="G2558" s="16">
        <v>72243.734380079739</v>
      </c>
      <c r="H2558">
        <v>462</v>
      </c>
      <c r="I2558" s="1">
        <v>1105.45</v>
      </c>
      <c r="J2558" s="16">
        <v>155177.26026923963</v>
      </c>
      <c r="K2558" s="5">
        <v>-1.9626360331829473E-2</v>
      </c>
      <c r="L2558" s="10">
        <v>-15771.5075</v>
      </c>
    </row>
    <row r="2559" spans="1:12" x14ac:dyDescent="0.25">
      <c r="A2559">
        <v>2558</v>
      </c>
      <c r="B2559" s="3">
        <v>0.12260292886800028</v>
      </c>
      <c r="C2559" s="3">
        <v>2.424672350878225E-2</v>
      </c>
      <c r="D2559" s="1">
        <v>71210.845561362454</v>
      </c>
      <c r="E2559" s="1">
        <v>1973151</v>
      </c>
      <c r="F2559" s="1">
        <v>12754239</v>
      </c>
      <c r="G2559" s="16">
        <v>33126.49548197617</v>
      </c>
      <c r="H2559">
        <v>109.33</v>
      </c>
      <c r="I2559" s="1">
        <v>296.46999999999997</v>
      </c>
      <c r="J2559" s="16">
        <v>104337.34104333862</v>
      </c>
      <c r="K2559" s="5">
        <v>0.18366483194195776</v>
      </c>
      <c r="L2559" s="10">
        <v>699194.95550000004</v>
      </c>
    </row>
    <row r="2560" spans="1:12" x14ac:dyDescent="0.25">
      <c r="A2560">
        <v>2559</v>
      </c>
      <c r="B2560" s="3">
        <v>0.14023486760635404</v>
      </c>
      <c r="C2560" s="3">
        <v>7.5058388502649218E-2</v>
      </c>
      <c r="D2560" s="1">
        <v>98503.397290692999</v>
      </c>
      <c r="E2560" s="1">
        <v>2900778</v>
      </c>
      <c r="F2560" s="1">
        <v>18733339</v>
      </c>
      <c r="G2560" s="16">
        <v>49616.644550829151</v>
      </c>
      <c r="H2560">
        <v>250.62</v>
      </c>
      <c r="I2560" s="1">
        <v>858.13</v>
      </c>
      <c r="J2560" s="16">
        <v>148120.04184152215</v>
      </c>
      <c r="K2560" s="5">
        <v>0.11581861718033795</v>
      </c>
      <c r="L2560" s="10">
        <v>185370.55609999999</v>
      </c>
    </row>
    <row r="2561" spans="1:12" x14ac:dyDescent="0.25">
      <c r="A2561">
        <v>2560</v>
      </c>
      <c r="B2561" s="3">
        <v>0.18506436983240274</v>
      </c>
      <c r="C2561" s="3">
        <v>7.0934477490796718E-2</v>
      </c>
      <c r="D2561" s="1">
        <v>26611.165123669045</v>
      </c>
      <c r="E2561" s="1">
        <v>749929</v>
      </c>
      <c r="F2561" s="1">
        <v>9191239</v>
      </c>
      <c r="G2561" s="16">
        <v>43100.149950087609</v>
      </c>
      <c r="H2561">
        <v>333.65</v>
      </c>
      <c r="I2561" s="1">
        <v>794.94</v>
      </c>
      <c r="J2561" s="16">
        <v>69711.315073756647</v>
      </c>
      <c r="K2561" s="5">
        <v>0.14978731549436394</v>
      </c>
      <c r="L2561" s="10">
        <v>97665.692299999995</v>
      </c>
    </row>
    <row r="2562" spans="1:12" x14ac:dyDescent="0.25">
      <c r="A2562">
        <v>2561</v>
      </c>
      <c r="B2562" s="3">
        <v>0.18879103826047244</v>
      </c>
      <c r="C2562" s="3">
        <v>2.2308198428808872E-2</v>
      </c>
      <c r="D2562" s="1">
        <v>264794.14461998449</v>
      </c>
      <c r="E2562" s="1">
        <v>14107421</v>
      </c>
      <c r="F2562" s="1">
        <v>48323333</v>
      </c>
      <c r="G2562" s="16">
        <v>33978.758993388525</v>
      </c>
      <c r="H2562">
        <v>221.23</v>
      </c>
      <c r="I2562" s="1">
        <v>600.09</v>
      </c>
      <c r="J2562" s="16">
        <v>298772.903613373</v>
      </c>
      <c r="K2562" s="5">
        <v>9.9140360547689821E-3</v>
      </c>
      <c r="L2562" s="10">
        <v>145074.35500000001</v>
      </c>
    </row>
    <row r="2563" spans="1:12" x14ac:dyDescent="0.25">
      <c r="A2563">
        <v>2562</v>
      </c>
      <c r="B2563" s="3">
        <v>0.1614159286677814</v>
      </c>
      <c r="C2563" s="3">
        <v>4.2225390339167237E-2</v>
      </c>
      <c r="D2563" s="1">
        <v>403861.82195833861</v>
      </c>
      <c r="E2563" s="1">
        <v>18226462</v>
      </c>
      <c r="F2563" s="1">
        <v>60575962</v>
      </c>
      <c r="G2563" s="16">
        <v>36349.223879522113</v>
      </c>
      <c r="H2563">
        <v>187.85</v>
      </c>
      <c r="I2563" s="1">
        <v>482.33000000000004</v>
      </c>
      <c r="J2563" s="16">
        <v>440211.04583786073</v>
      </c>
      <c r="K2563" s="5">
        <v>0.1586011995439125</v>
      </c>
      <c r="L2563" s="10">
        <v>1286202.2242999999</v>
      </c>
    </row>
    <row r="2564" spans="1:12" x14ac:dyDescent="0.25">
      <c r="A2564">
        <v>2563</v>
      </c>
      <c r="B2564" s="3">
        <v>0.21085810900733071</v>
      </c>
      <c r="C2564" s="3">
        <v>4.1516510985615207E-2</v>
      </c>
      <c r="D2564" s="1">
        <v>133061.0362222688</v>
      </c>
      <c r="E2564" s="1">
        <v>6421457</v>
      </c>
      <c r="F2564" s="1">
        <v>32391948</v>
      </c>
      <c r="G2564" s="16">
        <v>11728.459220231503</v>
      </c>
      <c r="H2564">
        <v>73.02</v>
      </c>
      <c r="I2564" s="1">
        <v>293.04000000000002</v>
      </c>
      <c r="J2564" s="16">
        <v>144789.49544250031</v>
      </c>
      <c r="K2564" s="5">
        <v>8.8200634339639067E-2</v>
      </c>
      <c r="L2564" s="10">
        <v>270903.66889999999</v>
      </c>
    </row>
    <row r="2565" spans="1:12" x14ac:dyDescent="0.25">
      <c r="A2565">
        <v>2564</v>
      </c>
      <c r="B2565" s="3">
        <v>0.12554336102148705</v>
      </c>
      <c r="C2565" s="3">
        <v>6.8783154089480589E-2</v>
      </c>
      <c r="D2565" s="1">
        <v>113806.08119167366</v>
      </c>
      <c r="E2565" s="1">
        <v>3185325</v>
      </c>
      <c r="F2565" s="1">
        <v>21327501</v>
      </c>
      <c r="G2565" s="16">
        <v>28029.958442902935</v>
      </c>
      <c r="H2565">
        <v>94.3</v>
      </c>
      <c r="I2565" s="1">
        <v>340.46</v>
      </c>
      <c r="J2565" s="16">
        <v>141836.03963457659</v>
      </c>
      <c r="K2565" s="5">
        <v>0.12636663262369063</v>
      </c>
      <c r="L2565" s="10">
        <v>193835.12820000001</v>
      </c>
    </row>
    <row r="2566" spans="1:12" x14ac:dyDescent="0.25">
      <c r="A2566">
        <v>2565</v>
      </c>
      <c r="B2566" s="3">
        <v>0.14948048265782543</v>
      </c>
      <c r="C2566" s="3">
        <v>7.4208864918203249E-2</v>
      </c>
      <c r="D2566" s="1">
        <v>149787.8538355192</v>
      </c>
      <c r="E2566" s="1">
        <v>5357256</v>
      </c>
      <c r="F2566" s="1">
        <v>21650306</v>
      </c>
      <c r="G2566" s="16">
        <v>26752.592044965302</v>
      </c>
      <c r="H2566">
        <v>125.01</v>
      </c>
      <c r="I2566" s="1">
        <v>449.52</v>
      </c>
      <c r="J2566" s="16">
        <v>176540.44588048451</v>
      </c>
      <c r="K2566" s="5">
        <v>0.17743542642195909</v>
      </c>
      <c r="L2566" s="10">
        <v>312555.86060000001</v>
      </c>
    </row>
    <row r="2567" spans="1:12" x14ac:dyDescent="0.25">
      <c r="A2567">
        <v>2566</v>
      </c>
      <c r="B2567" s="3">
        <v>0.12303663923721676</v>
      </c>
      <c r="C2567" s="3">
        <v>5.0377138024407603E-2</v>
      </c>
      <c r="D2567" s="1">
        <v>114973.66430286986</v>
      </c>
      <c r="E2567" s="1">
        <v>3190484</v>
      </c>
      <c r="F2567" s="1">
        <v>14429744</v>
      </c>
      <c r="G2567" s="16">
        <v>18097.275287823046</v>
      </c>
      <c r="H2567">
        <v>59.89</v>
      </c>
      <c r="I2567" s="1">
        <v>192.22000000000003</v>
      </c>
      <c r="J2567" s="16">
        <v>133070.9395906929</v>
      </c>
      <c r="K2567" s="5">
        <v>5.2212234654878925E-2</v>
      </c>
      <c r="L2567" s="10">
        <v>98746.574399999998</v>
      </c>
    </row>
    <row r="2568" spans="1:12" x14ac:dyDescent="0.25">
      <c r="A2568">
        <v>2567</v>
      </c>
      <c r="B2568" s="3">
        <v>0.12327264405897327</v>
      </c>
      <c r="C2568" s="3">
        <v>5.5565880618428265E-2</v>
      </c>
      <c r="D2568" s="1">
        <v>129494.29518768602</v>
      </c>
      <c r="E2568" s="1">
        <v>4101993</v>
      </c>
      <c r="F2568" s="1">
        <v>24772781</v>
      </c>
      <c r="G2568" s="16">
        <v>51907.016498573241</v>
      </c>
      <c r="H2568">
        <v>196.1</v>
      </c>
      <c r="I2568" s="1">
        <v>646.97</v>
      </c>
      <c r="J2568" s="16">
        <v>181401.31168625926</v>
      </c>
      <c r="K2568" s="5">
        <v>0.16270407192706918</v>
      </c>
      <c r="L2568" s="10">
        <v>417337.24229999998</v>
      </c>
    </row>
    <row r="2569" spans="1:12" x14ac:dyDescent="0.25">
      <c r="A2569">
        <v>2568</v>
      </c>
      <c r="B2569" s="3">
        <v>0.18561221563484803</v>
      </c>
      <c r="C2569" s="3">
        <v>6.8257440953002194E-2</v>
      </c>
      <c r="D2569" s="1">
        <v>249307.68787099715</v>
      </c>
      <c r="E2569" s="1">
        <v>10607508</v>
      </c>
      <c r="F2569" s="1">
        <v>38031983</v>
      </c>
      <c r="G2569" s="16">
        <v>29315.392063673633</v>
      </c>
      <c r="H2569">
        <v>150.9</v>
      </c>
      <c r="I2569" s="1">
        <v>364.52</v>
      </c>
      <c r="J2569" s="16">
        <v>278623.07993467076</v>
      </c>
      <c r="K2569" s="5">
        <v>0.12538309075352427</v>
      </c>
      <c r="L2569" s="10">
        <v>326937.74099999998</v>
      </c>
    </row>
    <row r="2570" spans="1:12" x14ac:dyDescent="0.25">
      <c r="A2570">
        <v>2569</v>
      </c>
      <c r="B2570" s="3">
        <v>0.1157711168611916</v>
      </c>
      <c r="C2570" s="3">
        <v>2.1763566667314604E-2</v>
      </c>
      <c r="D2570" s="1">
        <v>150921.66738836729</v>
      </c>
      <c r="E2570" s="1">
        <v>4085632</v>
      </c>
      <c r="F2570" s="1">
        <v>19201332</v>
      </c>
      <c r="G2570" s="16">
        <v>56823.66082285469</v>
      </c>
      <c r="H2570">
        <v>202.23</v>
      </c>
      <c r="I2570" s="1">
        <v>594.4</v>
      </c>
      <c r="J2570" s="16">
        <v>207745.32821122199</v>
      </c>
      <c r="K2570" s="5">
        <v>0.18157625962396809</v>
      </c>
      <c r="L2570" s="10">
        <v>1529729.7516000001</v>
      </c>
    </row>
    <row r="2571" spans="1:12" x14ac:dyDescent="0.25">
      <c r="A2571">
        <v>2570</v>
      </c>
      <c r="B2571" s="3">
        <v>0.15885920940184195</v>
      </c>
      <c r="C2571" s="3">
        <v>7.6237043636688734E-2</v>
      </c>
      <c r="D2571" s="1">
        <v>54373.207122685104</v>
      </c>
      <c r="E2571" s="1">
        <v>1709942</v>
      </c>
      <c r="F2571" s="1">
        <v>11275972</v>
      </c>
      <c r="G2571" s="16">
        <v>43299.069150344425</v>
      </c>
      <c r="H2571">
        <v>218.81</v>
      </c>
      <c r="I2571" s="1">
        <v>607.31999999999994</v>
      </c>
      <c r="J2571" s="16">
        <v>97672.276273029536</v>
      </c>
      <c r="K2571" s="5">
        <v>0.16638857096930487</v>
      </c>
      <c r="L2571" s="10">
        <v>138566.64360000001</v>
      </c>
    </row>
    <row r="2572" spans="1:12" x14ac:dyDescent="0.25">
      <c r="A2572">
        <v>2571</v>
      </c>
      <c r="B2572" s="3">
        <v>0.10183978946324147</v>
      </c>
      <c r="C2572" s="3">
        <v>4.1494213140173569E-2</v>
      </c>
      <c r="D2572" s="1">
        <v>283362.30273650016</v>
      </c>
      <c r="E2572" s="1">
        <v>8149475</v>
      </c>
      <c r="F2572" s="1">
        <v>34733365</v>
      </c>
      <c r="G2572" s="16">
        <v>118203.36668291804</v>
      </c>
      <c r="H2572">
        <v>420.44</v>
      </c>
      <c r="I2572" s="1">
        <v>1275.95</v>
      </c>
      <c r="J2572" s="16">
        <v>401565.66941941821</v>
      </c>
      <c r="K2572" s="5">
        <v>0.39661035700902891</v>
      </c>
      <c r="L2572" s="10">
        <v>2938474.5693999999</v>
      </c>
    </row>
    <row r="2573" spans="1:12" x14ac:dyDescent="0.25">
      <c r="A2573">
        <v>2572</v>
      </c>
      <c r="B2573" s="3">
        <v>0.22494980444986229</v>
      </c>
      <c r="C2573" s="3">
        <v>2.3328940000377184E-2</v>
      </c>
      <c r="D2573" s="1">
        <v>127796.29794331497</v>
      </c>
      <c r="E2573" s="1">
        <v>5137256</v>
      </c>
      <c r="F2573" s="1">
        <v>20701940</v>
      </c>
      <c r="G2573" s="16">
        <v>32799.62431059323</v>
      </c>
      <c r="H2573">
        <v>293.74</v>
      </c>
      <c r="I2573" s="1">
        <v>714.84</v>
      </c>
      <c r="J2573" s="16">
        <v>160595.92225390821</v>
      </c>
      <c r="K2573" s="5">
        <v>3.2347752499326372E-2</v>
      </c>
      <c r="L2573" s="10">
        <v>195101.83799999999</v>
      </c>
    </row>
    <row r="2574" spans="1:12" x14ac:dyDescent="0.25">
      <c r="A2574">
        <v>2573</v>
      </c>
      <c r="B2574" s="3">
        <v>0.18732908555280908</v>
      </c>
      <c r="C2574" s="3">
        <v>3.9511491034355008E-2</v>
      </c>
      <c r="D2574" s="1">
        <v>339446.95789658587</v>
      </c>
      <c r="E2574" s="1">
        <v>17922596</v>
      </c>
      <c r="F2574" s="1">
        <v>58948633</v>
      </c>
      <c r="G2574" s="16">
        <v>43676.469553250659</v>
      </c>
      <c r="H2574">
        <v>345.12</v>
      </c>
      <c r="I2574" s="1">
        <v>905.11</v>
      </c>
      <c r="J2574" s="16">
        <v>383123.42744983651</v>
      </c>
      <c r="K2574" s="5">
        <v>0.14974165193725489</v>
      </c>
      <c r="L2574" s="10">
        <v>1145065.9356</v>
      </c>
    </row>
    <row r="2575" spans="1:12" x14ac:dyDescent="0.25">
      <c r="A2575">
        <v>2574</v>
      </c>
      <c r="B2575" s="3">
        <v>0.19287291756849206</v>
      </c>
      <c r="C2575" s="3">
        <v>6.9441954281436832E-2</v>
      </c>
      <c r="D2575" s="1">
        <v>208830.66094603782</v>
      </c>
      <c r="E2575" s="1">
        <v>11410047</v>
      </c>
      <c r="F2575" s="1">
        <v>43477811</v>
      </c>
      <c r="G2575" s="16">
        <v>21350.653608284625</v>
      </c>
      <c r="H2575">
        <v>116.02</v>
      </c>
      <c r="I2575" s="1">
        <v>338.4</v>
      </c>
      <c r="J2575" s="16">
        <v>230181.31455432245</v>
      </c>
      <c r="K2575" s="5">
        <v>0.13613412502809519</v>
      </c>
      <c r="L2575" s="10">
        <v>314107.01679999998</v>
      </c>
    </row>
    <row r="2576" spans="1:12" x14ac:dyDescent="0.25">
      <c r="A2576">
        <v>2575</v>
      </c>
      <c r="B2576" s="3">
        <v>0.14133580681941443</v>
      </c>
      <c r="C2576" s="3">
        <v>7.2216338010842498E-2</v>
      </c>
      <c r="D2576" s="1">
        <v>172884.70103346862</v>
      </c>
      <c r="E2576" s="1">
        <v>5952037</v>
      </c>
      <c r="F2576" s="1">
        <v>30879827</v>
      </c>
      <c r="G2576" s="16">
        <v>50828.336295171095</v>
      </c>
      <c r="H2576">
        <v>222.27</v>
      </c>
      <c r="I2576" s="1">
        <v>676.95</v>
      </c>
      <c r="J2576" s="16">
        <v>223713.03732863971</v>
      </c>
      <c r="K2576" s="5">
        <v>-2.8390219718211825E-2</v>
      </c>
      <c r="L2576" s="10">
        <v>-31451.184600000001</v>
      </c>
    </row>
    <row r="2577" spans="1:12" x14ac:dyDescent="0.25">
      <c r="A2577">
        <v>2576</v>
      </c>
      <c r="B2577" s="3">
        <v>0.18985468462361393</v>
      </c>
      <c r="C2577" s="3">
        <v>7.8354820456350727E-2</v>
      </c>
      <c r="D2577" s="1">
        <v>211449.5107455863</v>
      </c>
      <c r="E2577" s="1">
        <v>9186667</v>
      </c>
      <c r="F2577" s="1">
        <v>37201478</v>
      </c>
      <c r="G2577" s="16">
        <v>17723.558700837075</v>
      </c>
      <c r="H2577">
        <v>94.33</v>
      </c>
      <c r="I2577" s="1">
        <v>268.89999999999998</v>
      </c>
      <c r="J2577" s="16">
        <v>229173.06944642338</v>
      </c>
      <c r="K2577" s="5">
        <v>0.22439965441629325</v>
      </c>
      <c r="L2577" s="10">
        <v>439010.4705</v>
      </c>
    </row>
    <row r="2578" spans="1:12" x14ac:dyDescent="0.25">
      <c r="A2578">
        <v>2577</v>
      </c>
      <c r="B2578" s="3">
        <v>0.14870170924387827</v>
      </c>
      <c r="C2578" s="3">
        <v>3.9714162240299153E-2</v>
      </c>
      <c r="D2578" s="1">
        <v>126583.50796933408</v>
      </c>
      <c r="E2578" s="1">
        <v>4510792</v>
      </c>
      <c r="F2578" s="1">
        <v>26526000</v>
      </c>
      <c r="G2578" s="16">
        <v>29432.574777135884</v>
      </c>
      <c r="H2578">
        <v>136.72999999999999</v>
      </c>
      <c r="I2578" s="1">
        <v>432.40999999999997</v>
      </c>
      <c r="J2578" s="16">
        <v>156016.08274646997</v>
      </c>
      <c r="K2578" s="5">
        <v>8.0470158413552845E-2</v>
      </c>
      <c r="L2578" s="10">
        <v>254429.66310000001</v>
      </c>
    </row>
    <row r="2579" spans="1:12" x14ac:dyDescent="0.25">
      <c r="A2579">
        <v>2578</v>
      </c>
      <c r="B2579" s="3">
        <v>0.12565417194288378</v>
      </c>
      <c r="C2579" s="3">
        <v>4.0290978788829944E-2</v>
      </c>
      <c r="D2579" s="1">
        <v>176071.64887635584</v>
      </c>
      <c r="E2579" s="1">
        <v>5638439</v>
      </c>
      <c r="F2579" s="1">
        <v>30894793</v>
      </c>
      <c r="G2579" s="16">
        <v>59659.87752297218</v>
      </c>
      <c r="H2579">
        <v>229.87</v>
      </c>
      <c r="I2579" s="1">
        <v>667.77</v>
      </c>
      <c r="J2579" s="16">
        <v>235731.52639932802</v>
      </c>
      <c r="K2579" s="5">
        <v>0.10340365181987102</v>
      </c>
      <c r="L2579" s="10">
        <v>532569.42649999994</v>
      </c>
    </row>
    <row r="2580" spans="1:12" x14ac:dyDescent="0.25">
      <c r="A2580">
        <v>2579</v>
      </c>
      <c r="B2580" s="3">
        <v>0.19679956489973013</v>
      </c>
      <c r="C2580" s="3">
        <v>6.7908453113996764E-2</v>
      </c>
      <c r="D2580" s="1">
        <v>215019.55925201857</v>
      </c>
      <c r="E2580" s="1">
        <v>9669068</v>
      </c>
      <c r="F2580" s="1">
        <v>41141175</v>
      </c>
      <c r="G2580" s="16">
        <v>31438.022681026145</v>
      </c>
      <c r="H2580">
        <v>273.18</v>
      </c>
      <c r="I2580" s="1">
        <v>1085.8500000000001</v>
      </c>
      <c r="J2580" s="16">
        <v>246457.58193304471</v>
      </c>
      <c r="K2580" s="5">
        <v>7.6614904862790406E-2</v>
      </c>
      <c r="L2580" s="10">
        <v>204488.23259999999</v>
      </c>
    </row>
    <row r="2581" spans="1:12" x14ac:dyDescent="0.25">
      <c r="A2581">
        <v>2580</v>
      </c>
      <c r="B2581" s="3">
        <v>0.15543915055411459</v>
      </c>
      <c r="C2581" s="3">
        <v>5.2316085342582655E-2</v>
      </c>
      <c r="D2581" s="1">
        <v>361712.33270367066</v>
      </c>
      <c r="E2581" s="1">
        <v>15754761</v>
      </c>
      <c r="F2581" s="1">
        <v>59263496</v>
      </c>
      <c r="G2581" s="16">
        <v>57450.684508347273</v>
      </c>
      <c r="H2581">
        <v>333.87</v>
      </c>
      <c r="I2581" s="1">
        <v>809.65</v>
      </c>
      <c r="J2581" s="16">
        <v>419163.0172120179</v>
      </c>
      <c r="K2581" s="5">
        <v>4.6511287630324853E-2</v>
      </c>
      <c r="L2581" s="10">
        <v>289533.89620000002</v>
      </c>
    </row>
    <row r="2582" spans="1:12" x14ac:dyDescent="0.25">
      <c r="A2582">
        <v>2581</v>
      </c>
      <c r="B2582" s="3">
        <v>0.10092661714732439</v>
      </c>
      <c r="C2582" s="3">
        <v>5.869986979537585E-2</v>
      </c>
      <c r="D2582" s="1">
        <v>322212.38969549391</v>
      </c>
      <c r="E2582" s="1">
        <v>9229216</v>
      </c>
      <c r="F2582" s="1">
        <v>40972898</v>
      </c>
      <c r="G2582" s="16">
        <v>37901.416862423204</v>
      </c>
      <c r="H2582">
        <v>120.03</v>
      </c>
      <c r="I2582" s="1">
        <v>439.74</v>
      </c>
      <c r="J2582" s="16">
        <v>360113.80655791709</v>
      </c>
      <c r="K2582" s="5">
        <v>-4.7440943937885893E-2</v>
      </c>
      <c r="L2582" s="10">
        <v>-161735.6361</v>
      </c>
    </row>
    <row r="2583" spans="1:12" x14ac:dyDescent="0.25">
      <c r="A2583">
        <v>2582</v>
      </c>
      <c r="B2583" s="3">
        <v>0.24501231580291738</v>
      </c>
      <c r="C2583" s="3">
        <v>7.597427371957842E-2</v>
      </c>
      <c r="D2583" s="1">
        <v>159314.61834980606</v>
      </c>
      <c r="E2583" s="1">
        <v>9176967</v>
      </c>
      <c r="F2583" s="1">
        <v>34564309</v>
      </c>
      <c r="G2583" s="16">
        <v>5194.1572600497202</v>
      </c>
      <c r="H2583">
        <v>42.21</v>
      </c>
      <c r="I2583" s="1">
        <v>201.28</v>
      </c>
      <c r="J2583" s="16">
        <v>164508.77560985577</v>
      </c>
      <c r="K2583" s="5">
        <v>8.5139801564776851E-2</v>
      </c>
      <c r="L2583" s="10">
        <v>133844.72270000001</v>
      </c>
    </row>
    <row r="2584" spans="1:12" x14ac:dyDescent="0.25">
      <c r="A2584">
        <v>2583</v>
      </c>
      <c r="B2584" s="3">
        <v>0.15740496100396306</v>
      </c>
      <c r="C2584" s="3">
        <v>2.0248359358271819E-2</v>
      </c>
      <c r="D2584" s="1">
        <v>155989.22899367294</v>
      </c>
      <c r="E2584" s="1">
        <v>5791917</v>
      </c>
      <c r="F2584" s="1">
        <v>25936043</v>
      </c>
      <c r="G2584" s="16">
        <v>17819.790410363374</v>
      </c>
      <c r="H2584">
        <v>74.92</v>
      </c>
      <c r="I2584" s="1">
        <v>296.85000000000002</v>
      </c>
      <c r="J2584" s="16">
        <v>173809.01940403631</v>
      </c>
      <c r="K2584" s="5">
        <v>0.16764651887680623</v>
      </c>
      <c r="L2584" s="10">
        <v>1314128.2180000001</v>
      </c>
    </row>
    <row r="2585" spans="1:12" x14ac:dyDescent="0.25">
      <c r="A2585">
        <v>2584</v>
      </c>
      <c r="B2585" s="3">
        <v>0.16642967550138552</v>
      </c>
      <c r="C2585" s="3">
        <v>2.4069847898461921E-2</v>
      </c>
      <c r="D2585" s="1">
        <v>96087.310179330118</v>
      </c>
      <c r="E2585" s="1">
        <v>3724772</v>
      </c>
      <c r="F2585" s="1">
        <v>25082460</v>
      </c>
      <c r="G2585" s="16">
        <v>13794.163635653811</v>
      </c>
      <c r="H2585">
        <v>61.74</v>
      </c>
      <c r="I2585" s="1">
        <v>223.97</v>
      </c>
      <c r="J2585" s="16">
        <v>109881.47381498392</v>
      </c>
      <c r="K2585" s="5">
        <v>8.6941660068322935E-2</v>
      </c>
      <c r="L2585" s="10">
        <v>366548.5625</v>
      </c>
    </row>
    <row r="2586" spans="1:12" x14ac:dyDescent="0.25">
      <c r="A2586">
        <v>2585</v>
      </c>
      <c r="B2586" s="3">
        <v>0.19519178430981327</v>
      </c>
      <c r="C2586" s="3">
        <v>6.545297345368635E-2</v>
      </c>
      <c r="D2586" s="1">
        <v>39827.651701808289</v>
      </c>
      <c r="E2586" s="1">
        <v>1150810</v>
      </c>
      <c r="F2586" s="1">
        <v>7318629</v>
      </c>
      <c r="G2586" s="16">
        <v>21043.203729348919</v>
      </c>
      <c r="H2586">
        <v>144.91999999999999</v>
      </c>
      <c r="I2586" s="1">
        <v>433.55999999999995</v>
      </c>
      <c r="J2586" s="16">
        <v>60870.855431157208</v>
      </c>
      <c r="K2586" s="5">
        <v>0.16421422370958635</v>
      </c>
      <c r="L2586" s="10">
        <v>102560.8754</v>
      </c>
    </row>
    <row r="2587" spans="1:12" x14ac:dyDescent="0.25">
      <c r="A2587">
        <v>2586</v>
      </c>
      <c r="B2587" s="3">
        <v>0.11792607826705021</v>
      </c>
      <c r="C2587" s="3">
        <v>4.8553389782369283E-2</v>
      </c>
      <c r="D2587" s="1">
        <v>70443.233203229742</v>
      </c>
      <c r="E2587" s="1">
        <v>1920999</v>
      </c>
      <c r="F2587" s="1">
        <v>13732097</v>
      </c>
      <c r="G2587" s="16">
        <v>22161.463887931932</v>
      </c>
      <c r="H2587">
        <v>70.86</v>
      </c>
      <c r="I2587" s="1">
        <v>277.76</v>
      </c>
      <c r="J2587" s="16">
        <v>92604.697091161681</v>
      </c>
      <c r="K2587" s="5">
        <v>-6.3833038345513432E-2</v>
      </c>
      <c r="L2587" s="10">
        <v>-76271.428700000004</v>
      </c>
    </row>
    <row r="2588" spans="1:12" x14ac:dyDescent="0.25">
      <c r="A2588">
        <v>2587</v>
      </c>
      <c r="B2588" s="3">
        <v>0.1574647661427919</v>
      </c>
      <c r="C2588" s="3">
        <v>3.2798851122575912E-2</v>
      </c>
      <c r="D2588" s="1">
        <v>119511.61067450099</v>
      </c>
      <c r="E2588" s="1">
        <v>3739802</v>
      </c>
      <c r="F2588" s="1">
        <v>17525545</v>
      </c>
      <c r="G2588" s="16">
        <v>11177.519942794715</v>
      </c>
      <c r="H2588">
        <v>46.95</v>
      </c>
      <c r="I2588" s="1">
        <v>220</v>
      </c>
      <c r="J2588" s="16">
        <v>130689.13061729571</v>
      </c>
      <c r="K2588" s="5">
        <v>0.10524108131325455</v>
      </c>
      <c r="L2588" s="10">
        <v>355964.71960000001</v>
      </c>
    </row>
    <row r="2589" spans="1:12" x14ac:dyDescent="0.25">
      <c r="A2589">
        <v>2588</v>
      </c>
      <c r="B2589" s="3">
        <v>0.2337362968400403</v>
      </c>
      <c r="C2589" s="3">
        <v>2.0622128467231399E-2</v>
      </c>
      <c r="D2589" s="1">
        <v>49383.135591540507</v>
      </c>
      <c r="E2589" s="1">
        <v>2054219</v>
      </c>
      <c r="F2589" s="1">
        <v>15056323</v>
      </c>
      <c r="G2589" s="16">
        <v>13553.25378593455</v>
      </c>
      <c r="H2589">
        <v>131.55000000000001</v>
      </c>
      <c r="I2589" s="1">
        <v>397.77000000000004</v>
      </c>
      <c r="J2589" s="16">
        <v>62936.389377475061</v>
      </c>
      <c r="K2589" s="5">
        <v>0.17124397409401407</v>
      </c>
      <c r="L2589" s="10">
        <v>480572.00189999997</v>
      </c>
    </row>
    <row r="2590" spans="1:12" x14ac:dyDescent="0.25">
      <c r="A2590">
        <v>2589</v>
      </c>
      <c r="B2590" s="3">
        <v>0.14176164562447552</v>
      </c>
      <c r="C2590" s="3">
        <v>4.1301038206966734E-2</v>
      </c>
      <c r="D2590" s="1">
        <v>274510.08365852427</v>
      </c>
      <c r="E2590" s="1">
        <v>9469557</v>
      </c>
      <c r="F2590" s="1">
        <v>32331249</v>
      </c>
      <c r="G2590" s="16">
        <v>32124.008375809964</v>
      </c>
      <c r="H2590">
        <v>120.9</v>
      </c>
      <c r="I2590" s="1">
        <v>376.27</v>
      </c>
      <c r="J2590" s="16">
        <v>306634.0920343342</v>
      </c>
      <c r="K2590" s="5">
        <v>9.5050360903794179E-2</v>
      </c>
      <c r="L2590" s="10">
        <v>529240.804</v>
      </c>
    </row>
    <row r="2591" spans="1:12" x14ac:dyDescent="0.25">
      <c r="A2591">
        <v>2590</v>
      </c>
      <c r="B2591" s="3">
        <v>0.10794432357925479</v>
      </c>
      <c r="C2591" s="3">
        <v>7.4240087134929814E-2</v>
      </c>
      <c r="D2591" s="1">
        <v>352855.56547496095</v>
      </c>
      <c r="E2591" s="1">
        <v>11690678</v>
      </c>
      <c r="F2591" s="1">
        <v>44199485</v>
      </c>
      <c r="G2591" s="16">
        <v>16477.456249334624</v>
      </c>
      <c r="H2591">
        <v>43.94</v>
      </c>
      <c r="I2591" s="1">
        <v>178.31</v>
      </c>
      <c r="J2591" s="16">
        <v>369333.02172429557</v>
      </c>
      <c r="K2591" s="5">
        <v>-5.6825926401668031E-2</v>
      </c>
      <c r="L2591" s="10">
        <v>-164716.39350000001</v>
      </c>
    </row>
    <row r="2592" spans="1:12" x14ac:dyDescent="0.25">
      <c r="A2592">
        <v>2591</v>
      </c>
      <c r="B2592" s="3">
        <v>0.13605004667359064</v>
      </c>
      <c r="C2592" s="3">
        <v>6.5086072807705522E-2</v>
      </c>
      <c r="D2592" s="1">
        <v>59173.764128219038</v>
      </c>
      <c r="E2592" s="1">
        <v>1483729</v>
      </c>
      <c r="F2592" s="1">
        <v>10318388</v>
      </c>
      <c r="G2592" s="16">
        <v>58515.761331185953</v>
      </c>
      <c r="H2592">
        <v>283.57</v>
      </c>
      <c r="I2592" s="1">
        <v>774.72</v>
      </c>
      <c r="J2592" s="16">
        <v>117689.52545940499</v>
      </c>
      <c r="K2592" s="5">
        <v>0.16270743080322564</v>
      </c>
      <c r="L2592" s="10">
        <v>193120.89199999999</v>
      </c>
    </row>
    <row r="2593" spans="1:12" x14ac:dyDescent="0.25">
      <c r="A2593">
        <v>2592</v>
      </c>
      <c r="B2593" s="3">
        <v>0.22316276869044688</v>
      </c>
      <c r="C2593" s="3">
        <v>7.0522548972000429E-2</v>
      </c>
      <c r="D2593" s="1">
        <v>133268.10225640298</v>
      </c>
      <c r="E2593" s="1">
        <v>5320340</v>
      </c>
      <c r="F2593" s="1">
        <v>18416418</v>
      </c>
      <c r="G2593" s="16">
        <v>15697.111333217124</v>
      </c>
      <c r="H2593">
        <v>107.49</v>
      </c>
      <c r="I2593" s="1">
        <v>361.38</v>
      </c>
      <c r="J2593" s="16">
        <v>148965.21358962011</v>
      </c>
      <c r="K2593" s="5">
        <v>8.4820801764681958E-2</v>
      </c>
      <c r="L2593" s="10">
        <v>132812.31210000001</v>
      </c>
    </row>
    <row r="2594" spans="1:12" x14ac:dyDescent="0.25">
      <c r="A2594">
        <v>2593</v>
      </c>
      <c r="B2594" s="3">
        <v>0.12268157316049093</v>
      </c>
      <c r="C2594" s="3">
        <v>7.7623335340355967E-2</v>
      </c>
      <c r="D2594" s="1">
        <v>154826.98416718788</v>
      </c>
      <c r="E2594" s="1">
        <v>4891256</v>
      </c>
      <c r="F2594" s="1">
        <v>24214169</v>
      </c>
      <c r="G2594" s="16">
        <v>76316.933119436639</v>
      </c>
      <c r="H2594">
        <v>327.77</v>
      </c>
      <c r="I2594" s="1">
        <v>770.38</v>
      </c>
      <c r="J2594" s="16">
        <v>231143.91728662452</v>
      </c>
      <c r="K2594" s="5">
        <v>5.0783704729276992E-2</v>
      </c>
      <c r="L2594" s="10">
        <v>117841.40670000001</v>
      </c>
    </row>
    <row r="2595" spans="1:12" x14ac:dyDescent="0.25">
      <c r="A2595">
        <v>2594</v>
      </c>
      <c r="B2595" s="3">
        <v>0.20150242444829952</v>
      </c>
      <c r="C2595" s="3">
        <v>2.6135691533177866E-2</v>
      </c>
      <c r="D2595" s="1">
        <v>98604.160681922309</v>
      </c>
      <c r="E2595" s="1">
        <v>4539458</v>
      </c>
      <c r="F2595" s="1">
        <v>25413684</v>
      </c>
      <c r="G2595" s="16">
        <v>46535.874919098271</v>
      </c>
      <c r="H2595">
        <v>424.15</v>
      </c>
      <c r="I2595" s="1">
        <v>1024.56</v>
      </c>
      <c r="J2595" s="16">
        <v>145140.03560102059</v>
      </c>
      <c r="K2595" s="5">
        <v>0.15558599069678411</v>
      </c>
      <c r="L2595" s="10">
        <v>770643.71440000006</v>
      </c>
    </row>
    <row r="2596" spans="1:12" x14ac:dyDescent="0.25">
      <c r="A2596">
        <v>2595</v>
      </c>
      <c r="B2596" s="3">
        <v>0.12472724078998658</v>
      </c>
      <c r="C2596" s="3">
        <v>4.9017393077866248E-2</v>
      </c>
      <c r="D2596" s="1">
        <v>117097.90548070899</v>
      </c>
      <c r="E2596" s="1">
        <v>3268298</v>
      </c>
      <c r="F2596" s="1">
        <v>17706075</v>
      </c>
      <c r="G2596" s="16">
        <v>92938.278943286452</v>
      </c>
      <c r="H2596">
        <v>405.26</v>
      </c>
      <c r="I2596" s="1">
        <v>993.31</v>
      </c>
      <c r="J2596" s="16">
        <v>210036.18442399544</v>
      </c>
      <c r="K2596" s="5">
        <v>0.12099916855245191</v>
      </c>
      <c r="L2596" s="10">
        <v>402733.79139999999</v>
      </c>
    </row>
    <row r="2597" spans="1:12" x14ac:dyDescent="0.25">
      <c r="A2597">
        <v>2596</v>
      </c>
      <c r="B2597" s="3">
        <v>0.1719395411754544</v>
      </c>
      <c r="C2597" s="3">
        <v>5.4619519928677196E-2</v>
      </c>
      <c r="D2597" s="1">
        <v>49261.528553276316</v>
      </c>
      <c r="E2597" s="1">
        <v>1344580</v>
      </c>
      <c r="F2597" s="1">
        <v>9058612</v>
      </c>
      <c r="G2597" s="16">
        <v>24378.78434168368</v>
      </c>
      <c r="H2597">
        <v>137.33000000000001</v>
      </c>
      <c r="I2597" s="1">
        <v>423.17000000000007</v>
      </c>
      <c r="J2597" s="16">
        <v>73640.312894959992</v>
      </c>
      <c r="K2597" s="5">
        <v>0.17745317213358319</v>
      </c>
      <c r="L2597" s="10">
        <v>187294.31099999999</v>
      </c>
    </row>
    <row r="2598" spans="1:12" x14ac:dyDescent="0.25">
      <c r="A2598">
        <v>2597</v>
      </c>
      <c r="B2598" s="3">
        <v>0.21827098273852555</v>
      </c>
      <c r="C2598" s="3">
        <v>5.8792650474289734E-2</v>
      </c>
      <c r="D2598" s="1">
        <v>74745.73346684339</v>
      </c>
      <c r="E2598" s="1">
        <v>3745972</v>
      </c>
      <c r="F2598" s="1">
        <v>29726389</v>
      </c>
      <c r="G2598" s="16">
        <v>30679.6694621344</v>
      </c>
      <c r="H2598">
        <v>258.36</v>
      </c>
      <c r="I2598" s="1">
        <v>692.05</v>
      </c>
      <c r="J2598" s="16">
        <v>105425.4029289778</v>
      </c>
      <c r="K2598" s="5">
        <v>0.12218737208570635</v>
      </c>
      <c r="L2598" s="10">
        <v>169644.40640000001</v>
      </c>
    </row>
    <row r="2599" spans="1:12" x14ac:dyDescent="0.25">
      <c r="A2599">
        <v>2598</v>
      </c>
      <c r="B2599" s="3">
        <v>0.15205159072009586</v>
      </c>
      <c r="C2599" s="3">
        <v>2.8401272795721199E-2</v>
      </c>
      <c r="D2599" s="1">
        <v>87062.435381095391</v>
      </c>
      <c r="E2599" s="1">
        <v>2672545</v>
      </c>
      <c r="F2599" s="1">
        <v>14334394</v>
      </c>
      <c r="G2599" s="16">
        <v>14208.871822834551</v>
      </c>
      <c r="H2599">
        <v>57.49</v>
      </c>
      <c r="I2599" s="1">
        <v>234.76000000000002</v>
      </c>
      <c r="J2599" s="16">
        <v>101271.30720392994</v>
      </c>
      <c r="K2599" s="5">
        <v>0.10393081242404932</v>
      </c>
      <c r="L2599" s="10">
        <v>318821.05489999999</v>
      </c>
    </row>
    <row r="2600" spans="1:12" x14ac:dyDescent="0.25">
      <c r="A2600">
        <v>2599</v>
      </c>
      <c r="B2600" s="3">
        <v>0.2046462964580264</v>
      </c>
      <c r="C2600" s="3">
        <v>5.2394915328377534E-2</v>
      </c>
      <c r="D2600" s="1">
        <v>43700.005717596119</v>
      </c>
      <c r="E2600" s="1">
        <v>1292894</v>
      </c>
      <c r="F2600" s="1">
        <v>7362246</v>
      </c>
      <c r="G2600" s="16">
        <v>18956.841881897781</v>
      </c>
      <c r="H2600">
        <v>112.44</v>
      </c>
      <c r="I2600" s="1">
        <v>270.91999999999996</v>
      </c>
      <c r="J2600" s="16">
        <v>62656.8475994939</v>
      </c>
      <c r="K2600" s="5">
        <v>4.1082092233446901E-2</v>
      </c>
      <c r="L2600" s="10">
        <v>43622.145600000003</v>
      </c>
    </row>
    <row r="2601" spans="1:12" x14ac:dyDescent="0.25">
      <c r="A2601">
        <v>2600</v>
      </c>
      <c r="B2601" s="3">
        <v>0.1171439731612907</v>
      </c>
      <c r="C2601" s="3">
        <v>2.7923117094301508E-2</v>
      </c>
      <c r="D2601" s="1">
        <v>183822.04366610307</v>
      </c>
      <c r="E2601" s="1">
        <v>5662926</v>
      </c>
      <c r="F2601" s="1">
        <v>25724675</v>
      </c>
      <c r="G2601" s="16">
        <v>34878.678272419362</v>
      </c>
      <c r="H2601">
        <v>125.47</v>
      </c>
      <c r="I2601" s="1">
        <v>388.55999999999995</v>
      </c>
      <c r="J2601" s="16">
        <v>218700.72193852242</v>
      </c>
      <c r="K2601" s="5">
        <v>4.9955850106160049E-2</v>
      </c>
      <c r="L2601" s="10">
        <v>377146.28169999999</v>
      </c>
    </row>
    <row r="2602" spans="1:12" x14ac:dyDescent="0.25">
      <c r="A2602">
        <v>2601</v>
      </c>
      <c r="B2602" s="3">
        <v>0.18216191284869024</v>
      </c>
      <c r="C2602" s="3">
        <v>5.519793631602446E-2</v>
      </c>
      <c r="D2602" s="1">
        <v>356416.14804544928</v>
      </c>
      <c r="E2602" s="1">
        <v>18231551</v>
      </c>
      <c r="F2602" s="1">
        <v>72198668</v>
      </c>
      <c r="G2602" s="16">
        <v>14497.11113388967</v>
      </c>
      <c r="H2602">
        <v>72.819999999999993</v>
      </c>
      <c r="I2602" s="1">
        <v>253.54</v>
      </c>
      <c r="J2602" s="16">
        <v>370913.25917933893</v>
      </c>
      <c r="K2602" s="5">
        <v>0.12220718180510437</v>
      </c>
      <c r="L2602" s="10">
        <v>609078.61609999998</v>
      </c>
    </row>
    <row r="2603" spans="1:12" x14ac:dyDescent="0.25">
      <c r="A2603">
        <v>2602</v>
      </c>
      <c r="B2603" s="3">
        <v>0.21291387306971332</v>
      </c>
      <c r="C2603" s="3">
        <v>5.723809952049673E-2</v>
      </c>
      <c r="D2603" s="1">
        <v>112967.71100588083</v>
      </c>
      <c r="E2603" s="1">
        <v>5508942</v>
      </c>
      <c r="F2603" s="1">
        <v>22614542</v>
      </c>
      <c r="G2603" s="16">
        <v>8131.0668598236916</v>
      </c>
      <c r="H2603">
        <v>40.56</v>
      </c>
      <c r="I2603" s="1">
        <v>140.96</v>
      </c>
      <c r="J2603" s="16">
        <v>121098.77786570453</v>
      </c>
      <c r="K2603" s="5">
        <v>6.0426498988444072E-2</v>
      </c>
      <c r="L2603" s="10">
        <v>105148.9915</v>
      </c>
    </row>
    <row r="2604" spans="1:12" x14ac:dyDescent="0.25">
      <c r="A2604">
        <v>2603</v>
      </c>
      <c r="B2604" s="3">
        <v>0.10862114533941432</v>
      </c>
      <c r="C2604" s="3">
        <v>6.7918780013779323E-2</v>
      </c>
      <c r="D2604" s="1">
        <v>229646.62642075389</v>
      </c>
      <c r="E2604" s="1">
        <v>6807907</v>
      </c>
      <c r="F2604" s="1">
        <v>31176216</v>
      </c>
      <c r="G2604" s="16">
        <v>47314.437372060427</v>
      </c>
      <c r="H2604">
        <v>159.03</v>
      </c>
      <c r="I2604" s="1">
        <v>592.63</v>
      </c>
      <c r="J2604" s="16">
        <v>276961.06379281433</v>
      </c>
      <c r="K2604" s="5">
        <v>0.12805379749242241</v>
      </c>
      <c r="L2604" s="10">
        <v>325048.0466</v>
      </c>
    </row>
    <row r="2605" spans="1:12" x14ac:dyDescent="0.25">
      <c r="A2605">
        <v>2604</v>
      </c>
      <c r="B2605" s="3">
        <v>0.17529886828992786</v>
      </c>
      <c r="C2605" s="3">
        <v>4.2443533069220135E-2</v>
      </c>
      <c r="D2605" s="1">
        <v>184672.60293305543</v>
      </c>
      <c r="E2605" s="1">
        <v>7471690</v>
      </c>
      <c r="F2605" s="1">
        <v>29771544</v>
      </c>
      <c r="G2605" s="16">
        <v>22134.645247304736</v>
      </c>
      <c r="H2605">
        <v>105.82</v>
      </c>
      <c r="I2605" s="1">
        <v>371.71999999999997</v>
      </c>
      <c r="J2605" s="16">
        <v>206807.24818036015</v>
      </c>
      <c r="K2605" s="5">
        <v>0.19744312054390453</v>
      </c>
      <c r="L2605" s="10">
        <v>753936.13450000004</v>
      </c>
    </row>
    <row r="2606" spans="1:12" x14ac:dyDescent="0.25">
      <c r="A2606">
        <v>2605</v>
      </c>
      <c r="B2606" s="3">
        <v>0.23677604094848573</v>
      </c>
      <c r="C2606" s="3">
        <v>6.0536683200091451E-2</v>
      </c>
      <c r="D2606" s="1">
        <v>91061.523610051765</v>
      </c>
      <c r="E2606" s="1">
        <v>3833380</v>
      </c>
      <c r="F2606" s="1">
        <v>18137436</v>
      </c>
      <c r="G2606" s="16">
        <v>8542.4406394980706</v>
      </c>
      <c r="H2606">
        <v>49.68</v>
      </c>
      <c r="I2606" s="1">
        <v>165.56</v>
      </c>
      <c r="J2606" s="16">
        <v>99603.964249549841</v>
      </c>
      <c r="K2606" s="5">
        <v>8.3575551331419459E-2</v>
      </c>
      <c r="L2606" s="10">
        <v>138368.89559999999</v>
      </c>
    </row>
    <row r="2607" spans="1:12" x14ac:dyDescent="0.25">
      <c r="A2607">
        <v>2606</v>
      </c>
      <c r="B2607" s="3">
        <v>0.21575852255652056</v>
      </c>
      <c r="C2607" s="3">
        <v>3.9983691123120835E-2</v>
      </c>
      <c r="D2607" s="1">
        <v>458969.55867345259</v>
      </c>
      <c r="E2607" s="1">
        <v>36922210</v>
      </c>
      <c r="F2607" s="1">
        <v>99519601</v>
      </c>
      <c r="G2607" s="16">
        <v>8514.476085588467</v>
      </c>
      <c r="H2607">
        <v>54.96</v>
      </c>
      <c r="I2607" s="1">
        <v>207.83</v>
      </c>
      <c r="J2607" s="16">
        <v>467484.03475904104</v>
      </c>
      <c r="K2607" s="5">
        <v>0.12271783221804489</v>
      </c>
      <c r="L2607" s="10">
        <v>1129047.1274000001</v>
      </c>
    </row>
    <row r="2608" spans="1:12" x14ac:dyDescent="0.25">
      <c r="A2608">
        <v>2607</v>
      </c>
      <c r="B2608" s="3">
        <v>0.10173903607834381</v>
      </c>
      <c r="C2608" s="3">
        <v>3.0122414127964015E-2</v>
      </c>
      <c r="D2608" s="1">
        <v>304565.13569116488</v>
      </c>
      <c r="E2608" s="1">
        <v>8755340</v>
      </c>
      <c r="F2608" s="1">
        <v>40297427</v>
      </c>
      <c r="G2608" s="16">
        <v>32056.945364724426</v>
      </c>
      <c r="H2608">
        <v>91.72</v>
      </c>
      <c r="I2608" s="1">
        <v>340.79</v>
      </c>
      <c r="J2608" s="16">
        <v>336622.08105588931</v>
      </c>
      <c r="K2608" s="5">
        <v>0.16113523981263153</v>
      </c>
      <c r="L2608" s="10">
        <v>1463195.0201000001</v>
      </c>
    </row>
    <row r="2609" spans="1:12" x14ac:dyDescent="0.25">
      <c r="A2609">
        <v>2608</v>
      </c>
      <c r="B2609" s="3">
        <v>0.17185816036324819</v>
      </c>
      <c r="C2609" s="3">
        <v>6.2290322571371667E-2</v>
      </c>
      <c r="D2609" s="1">
        <v>109859.28111229069</v>
      </c>
      <c r="E2609" s="1">
        <v>3620143</v>
      </c>
      <c r="F2609" s="1">
        <v>18159246</v>
      </c>
      <c r="G2609" s="16">
        <v>11370.86372213922</v>
      </c>
      <c r="H2609">
        <v>53.08</v>
      </c>
      <c r="I2609" s="1">
        <v>206.26</v>
      </c>
      <c r="J2609" s="16">
        <v>121230.1448344299</v>
      </c>
      <c r="K2609" s="5">
        <v>2.1734005078852654E-2</v>
      </c>
      <c r="L2609" s="10">
        <v>54640.948400000001</v>
      </c>
    </row>
    <row r="2610" spans="1:12" x14ac:dyDescent="0.25">
      <c r="A2610">
        <v>2609</v>
      </c>
      <c r="B2610" s="3">
        <v>0.13778659511096975</v>
      </c>
      <c r="C2610" s="3">
        <v>6.7525481508691268E-2</v>
      </c>
      <c r="D2610" s="1">
        <v>230009.10790824078</v>
      </c>
      <c r="E2610" s="1">
        <v>7789129</v>
      </c>
      <c r="F2610" s="1">
        <v>24840102</v>
      </c>
      <c r="G2610" s="16">
        <v>50767.338322823096</v>
      </c>
      <c r="H2610">
        <v>215.65</v>
      </c>
      <c r="I2610" s="1">
        <v>568.74</v>
      </c>
      <c r="J2610" s="16">
        <v>280776.44623106386</v>
      </c>
      <c r="K2610" s="5">
        <v>-4.9420107249793767E-2</v>
      </c>
      <c r="L2610" s="10">
        <v>-114871.6312</v>
      </c>
    </row>
    <row r="2611" spans="1:12" x14ac:dyDescent="0.25">
      <c r="A2611">
        <v>2610</v>
      </c>
      <c r="B2611" s="3">
        <v>0.24733519428152781</v>
      </c>
      <c r="C2611" s="3">
        <v>6.4964306536110891E-2</v>
      </c>
      <c r="D2611" s="1">
        <v>78771.080177769938</v>
      </c>
      <c r="E2611" s="1">
        <v>3457521</v>
      </c>
      <c r="F2611" s="1">
        <v>16866195</v>
      </c>
      <c r="G2611" s="16">
        <v>25064.438150692047</v>
      </c>
      <c r="H2611">
        <v>366.76</v>
      </c>
      <c r="I2611" s="1">
        <v>1067.81</v>
      </c>
      <c r="J2611" s="16">
        <v>103835.51832846199</v>
      </c>
      <c r="K2611" s="5">
        <v>0.17570045369913584</v>
      </c>
      <c r="L2611" s="10">
        <v>218007.62169999999</v>
      </c>
    </row>
    <row r="2612" spans="1:12" x14ac:dyDescent="0.25">
      <c r="A2612">
        <v>2611</v>
      </c>
      <c r="B2612" s="3">
        <v>0.17427978102743905</v>
      </c>
      <c r="C2612" s="3">
        <v>6.1574935628179048E-2</v>
      </c>
      <c r="D2612" s="1">
        <v>313973.1841207344</v>
      </c>
      <c r="E2612" s="1">
        <v>12640486</v>
      </c>
      <c r="F2612" s="1">
        <v>39541834</v>
      </c>
      <c r="G2612" s="16">
        <v>15659.568661520983</v>
      </c>
      <c r="H2612">
        <v>74.599999999999994</v>
      </c>
      <c r="I2612" s="1">
        <v>233.95000000000002</v>
      </c>
      <c r="J2612" s="16">
        <v>329632.75278225535</v>
      </c>
      <c r="K2612" s="5">
        <v>0.15302025383171333</v>
      </c>
      <c r="L2612" s="10">
        <v>551495.16729999997</v>
      </c>
    </row>
    <row r="2613" spans="1:12" x14ac:dyDescent="0.25">
      <c r="A2613">
        <v>2612</v>
      </c>
      <c r="B2613" s="3">
        <v>0.11683272606230946</v>
      </c>
      <c r="C2613" s="3">
        <v>4.8383311349804649E-2</v>
      </c>
      <c r="D2613" s="1">
        <v>116366.11525603227</v>
      </c>
      <c r="E2613" s="1">
        <v>3161552</v>
      </c>
      <c r="F2613" s="1">
        <v>13264967</v>
      </c>
      <c r="G2613" s="16">
        <v>51170.241515647649</v>
      </c>
      <c r="H2613">
        <v>183.76</v>
      </c>
      <c r="I2613" s="1">
        <v>585.17999999999995</v>
      </c>
      <c r="J2613" s="16">
        <v>167536.35677167992</v>
      </c>
      <c r="K2613" s="5">
        <v>0.20171262442520299</v>
      </c>
      <c r="L2613" s="10">
        <v>522008.31819999998</v>
      </c>
    </row>
    <row r="2614" spans="1:12" x14ac:dyDescent="0.25">
      <c r="A2614">
        <v>2613</v>
      </c>
      <c r="B2614" s="3">
        <v>0.17244219702791386</v>
      </c>
      <c r="C2614" s="3">
        <v>6.4518162056029407E-2</v>
      </c>
      <c r="D2614" s="1">
        <v>80871.25725604489</v>
      </c>
      <c r="E2614" s="1">
        <v>2670557</v>
      </c>
      <c r="F2614" s="1">
        <v>21171829</v>
      </c>
      <c r="G2614" s="16">
        <v>9284.2510301467246</v>
      </c>
      <c r="H2614">
        <v>35.99</v>
      </c>
      <c r="I2614" s="1">
        <v>137.11000000000001</v>
      </c>
      <c r="J2614" s="16">
        <v>90155.508286191616</v>
      </c>
      <c r="K2614" s="5">
        <v>0.11127233550546801</v>
      </c>
      <c r="L2614" s="10">
        <v>111885.796</v>
      </c>
    </row>
    <row r="2615" spans="1:12" x14ac:dyDescent="0.25">
      <c r="A2615">
        <v>2614</v>
      </c>
      <c r="B2615" s="3">
        <v>0.1871958294113179</v>
      </c>
      <c r="C2615" s="3">
        <v>6.4329083562626427E-2</v>
      </c>
      <c r="D2615" s="1">
        <v>74077.020965851916</v>
      </c>
      <c r="E2615" s="1">
        <v>2581833</v>
      </c>
      <c r="F2615" s="1">
        <v>18255444</v>
      </c>
      <c r="G2615" s="16">
        <v>9147.4717602841392</v>
      </c>
      <c r="H2615">
        <v>47.78</v>
      </c>
      <c r="I2615" s="1">
        <v>211.37</v>
      </c>
      <c r="J2615" s="16">
        <v>83224.492726136057</v>
      </c>
      <c r="K2615" s="5">
        <v>-0.11015318316239256</v>
      </c>
      <c r="L2615" s="10">
        <v>-81697.112399999998</v>
      </c>
    </row>
    <row r="2616" spans="1:12" x14ac:dyDescent="0.25">
      <c r="A2616">
        <v>2615</v>
      </c>
      <c r="B2616" s="3">
        <v>0.20598748956510243</v>
      </c>
      <c r="C2616" s="3">
        <v>2.129659604600307E-2</v>
      </c>
      <c r="D2616" s="1">
        <v>174624.60027127422</v>
      </c>
      <c r="E2616" s="1">
        <v>8222397</v>
      </c>
      <c r="F2616" s="1">
        <v>36166094</v>
      </c>
      <c r="G2616" s="16">
        <v>9736.7488119923164</v>
      </c>
      <c r="H2616">
        <v>46.42</v>
      </c>
      <c r="I2616" s="1">
        <v>179.36</v>
      </c>
      <c r="J2616" s="16">
        <v>184361.34908326654</v>
      </c>
      <c r="K2616" s="5">
        <v>3.8305129754350131E-2</v>
      </c>
      <c r="L2616" s="10">
        <v>313976.50170000002</v>
      </c>
    </row>
    <row r="2617" spans="1:12" x14ac:dyDescent="0.25">
      <c r="A2617">
        <v>2616</v>
      </c>
      <c r="B2617" s="3">
        <v>0.11725255094998137</v>
      </c>
      <c r="C2617" s="3">
        <v>3.1053230968728005E-2</v>
      </c>
      <c r="D2617" s="1">
        <v>110649.51695650672</v>
      </c>
      <c r="E2617" s="1">
        <v>3010529</v>
      </c>
      <c r="F2617" s="1">
        <v>15726441</v>
      </c>
      <c r="G2617" s="16">
        <v>20675.810094522127</v>
      </c>
      <c r="H2617">
        <v>65.7</v>
      </c>
      <c r="I2617" s="1">
        <v>261.69</v>
      </c>
      <c r="J2617" s="16">
        <v>131325.32705102884</v>
      </c>
      <c r="K2617" s="5">
        <v>0.12524126125345708</v>
      </c>
      <c r="L2617" s="10">
        <v>457611.10460000002</v>
      </c>
    </row>
    <row r="2618" spans="1:12" x14ac:dyDescent="0.25">
      <c r="A2618">
        <v>2617</v>
      </c>
      <c r="B2618" s="3">
        <v>0.18575391309306938</v>
      </c>
      <c r="C2618" s="3">
        <v>7.0407659939974457E-2</v>
      </c>
      <c r="D2618" s="1">
        <v>208697.64501208311</v>
      </c>
      <c r="E2618" s="1">
        <v>10912947</v>
      </c>
      <c r="F2618" s="1">
        <v>49435332</v>
      </c>
      <c r="G2618" s="16">
        <v>13128.968165583594</v>
      </c>
      <c r="H2618">
        <v>83.2</v>
      </c>
      <c r="I2618" s="1">
        <v>384.04</v>
      </c>
      <c r="J2618" s="16">
        <v>221826.6131776667</v>
      </c>
      <c r="K2618" s="5">
        <v>0.28642135027357318</v>
      </c>
      <c r="L2618" s="10">
        <v>604759.29020000005</v>
      </c>
    </row>
    <row r="2619" spans="1:12" x14ac:dyDescent="0.25">
      <c r="A2619">
        <v>2618</v>
      </c>
      <c r="B2619" s="3">
        <v>0.11057198974876316</v>
      </c>
      <c r="C2619" s="3">
        <v>2.4196633477695656E-2</v>
      </c>
      <c r="D2619" s="1">
        <v>229854.99486256001</v>
      </c>
      <c r="E2619" s="1">
        <v>6874073</v>
      </c>
      <c r="F2619" s="1">
        <v>28535617</v>
      </c>
      <c r="G2619" s="16">
        <v>98103.040878322863</v>
      </c>
      <c r="H2619">
        <v>335.57</v>
      </c>
      <c r="I2619" s="1">
        <v>763.63999999999987</v>
      </c>
      <c r="J2619" s="16">
        <v>327958.03574088286</v>
      </c>
      <c r="K2619" s="5">
        <v>6.419863927116462E-2</v>
      </c>
      <c r="L2619" s="10">
        <v>709471.40150000004</v>
      </c>
    </row>
    <row r="2620" spans="1:12" x14ac:dyDescent="0.25">
      <c r="A2620">
        <v>2619</v>
      </c>
      <c r="B2620" s="3">
        <v>0.12910737137242442</v>
      </c>
      <c r="C2620" s="3">
        <v>4.90228046417793E-2</v>
      </c>
      <c r="D2620" s="1">
        <v>164286.28129684806</v>
      </c>
      <c r="E2620" s="1">
        <v>5344974</v>
      </c>
      <c r="F2620" s="1">
        <v>22920053</v>
      </c>
      <c r="G2620" s="16">
        <v>38117.157656735297</v>
      </c>
      <c r="H2620">
        <v>131.37</v>
      </c>
      <c r="I2620" s="1">
        <v>357.7</v>
      </c>
      <c r="J2620" s="16">
        <v>202403.43895358336</v>
      </c>
      <c r="K2620" s="5">
        <v>0.11818023636004371</v>
      </c>
      <c r="L2620" s="10">
        <v>417328.90610000002</v>
      </c>
    </row>
    <row r="2621" spans="1:12" x14ac:dyDescent="0.25">
      <c r="A2621">
        <v>2620</v>
      </c>
      <c r="B2621" s="3">
        <v>0.12201358848144121</v>
      </c>
      <c r="C2621" s="3">
        <v>2.6041285287187254E-2</v>
      </c>
      <c r="D2621" s="1">
        <v>53105.679901361538</v>
      </c>
      <c r="E2621" s="1">
        <v>1468524</v>
      </c>
      <c r="F2621" s="1">
        <v>17481373</v>
      </c>
      <c r="G2621" s="16">
        <v>49925.030764189411</v>
      </c>
      <c r="H2621">
        <v>186.73</v>
      </c>
      <c r="I2621" s="1">
        <v>478.71000000000004</v>
      </c>
      <c r="J2621" s="16">
        <v>103030.71066555096</v>
      </c>
      <c r="K2621" s="5">
        <v>0.16195014638891464</v>
      </c>
      <c r="L2621" s="10">
        <v>588829.00179999997</v>
      </c>
    </row>
    <row r="2622" spans="1:12" x14ac:dyDescent="0.25">
      <c r="A2622">
        <v>2621</v>
      </c>
      <c r="B2622" s="3">
        <v>0.13050144012364057</v>
      </c>
      <c r="C2622" s="3">
        <v>7.1320280422301985E-2</v>
      </c>
      <c r="D2622" s="1">
        <v>591584.09751202201</v>
      </c>
      <c r="E2622" s="1">
        <v>22277943</v>
      </c>
      <c r="F2622" s="1">
        <v>77969063</v>
      </c>
      <c r="G2622" s="16">
        <v>19157.622785607491</v>
      </c>
      <c r="H2622">
        <v>58.09</v>
      </c>
      <c r="I2622" s="1">
        <v>185.11</v>
      </c>
      <c r="J2622" s="16">
        <v>610741.72029762948</v>
      </c>
      <c r="K2622" s="5">
        <v>0.19828609919964924</v>
      </c>
      <c r="L2622" s="10">
        <v>1084936.9246</v>
      </c>
    </row>
    <row r="2623" spans="1:12" x14ac:dyDescent="0.25">
      <c r="A2623">
        <v>2622</v>
      </c>
      <c r="B2623" s="3">
        <v>0.16259030559093102</v>
      </c>
      <c r="C2623" s="3">
        <v>5.4876314790580388E-2</v>
      </c>
      <c r="D2623" s="1">
        <v>218971.68590996609</v>
      </c>
      <c r="E2623" s="1">
        <v>8333718</v>
      </c>
      <c r="F2623" s="1">
        <v>29963374</v>
      </c>
      <c r="G2623" s="16">
        <v>41974.133705315486</v>
      </c>
      <c r="H2623">
        <v>218.66</v>
      </c>
      <c r="I2623" s="1">
        <v>566.16</v>
      </c>
      <c r="J2623" s="16">
        <v>260945.81961528159</v>
      </c>
      <c r="K2623" s="5">
        <v>0.19756915628854957</v>
      </c>
      <c r="L2623" s="10">
        <v>639000.46259999997</v>
      </c>
    </row>
    <row r="2624" spans="1:12" x14ac:dyDescent="0.25">
      <c r="A2624">
        <v>2623</v>
      </c>
      <c r="B2624" s="3">
        <v>0.18264276277100833</v>
      </c>
      <c r="C2624" s="3">
        <v>2.9191383193997514E-2</v>
      </c>
      <c r="D2624" s="1">
        <v>133408.41534726799</v>
      </c>
      <c r="E2624" s="1">
        <v>4572469</v>
      </c>
      <c r="F2624" s="1">
        <v>20275385</v>
      </c>
      <c r="G2624" s="16">
        <v>37988.575437272222</v>
      </c>
      <c r="H2624">
        <v>286.8</v>
      </c>
      <c r="I2624" s="1">
        <v>815.47</v>
      </c>
      <c r="J2624" s="16">
        <v>171396.99078454022</v>
      </c>
      <c r="K2624" s="5">
        <v>3.6004802040521151E-2</v>
      </c>
      <c r="L2624" s="10">
        <v>204541.92420000001</v>
      </c>
    </row>
    <row r="2625" spans="1:12" x14ac:dyDescent="0.25">
      <c r="A2625">
        <v>2624</v>
      </c>
      <c r="B2625" s="3">
        <v>0.11877012011067314</v>
      </c>
      <c r="C2625" s="3">
        <v>2.0996904172016183E-2</v>
      </c>
      <c r="D2625" s="1">
        <v>177795.01520855547</v>
      </c>
      <c r="E2625" s="1">
        <v>5517787</v>
      </c>
      <c r="F2625" s="1">
        <v>24053605</v>
      </c>
      <c r="G2625" s="16">
        <v>54174.769374599979</v>
      </c>
      <c r="H2625">
        <v>197.26</v>
      </c>
      <c r="I2625" s="1">
        <v>503.28</v>
      </c>
      <c r="J2625" s="16">
        <v>231969.78458315544</v>
      </c>
      <c r="K2625" s="5">
        <v>0.20906558284039672</v>
      </c>
      <c r="L2625" s="10">
        <v>2041536.0733</v>
      </c>
    </row>
    <row r="2626" spans="1:12" x14ac:dyDescent="0.25">
      <c r="A2626">
        <v>2625</v>
      </c>
      <c r="B2626" s="3">
        <v>0.20125813576413115</v>
      </c>
      <c r="C2626" s="3">
        <v>2.2433979887382195E-2</v>
      </c>
      <c r="D2626" s="1">
        <v>195620.49536282916</v>
      </c>
      <c r="E2626" s="1">
        <v>11261210</v>
      </c>
      <c r="F2626" s="1">
        <v>49483169</v>
      </c>
      <c r="G2626" s="16">
        <v>24822.882675620462</v>
      </c>
      <c r="H2626">
        <v>225.45</v>
      </c>
      <c r="I2626" s="1">
        <v>855.71</v>
      </c>
      <c r="J2626" s="16">
        <v>220443.37803844962</v>
      </c>
      <c r="K2626" s="5">
        <v>0.21761696465737929</v>
      </c>
      <c r="L2626" s="10">
        <v>1848720.6893</v>
      </c>
    </row>
    <row r="2627" spans="1:12" x14ac:dyDescent="0.25">
      <c r="A2627">
        <v>2626</v>
      </c>
      <c r="B2627" s="3">
        <v>0.22087610077518069</v>
      </c>
      <c r="C2627" s="3">
        <v>2.9136264668230827E-2</v>
      </c>
      <c r="D2627" s="1">
        <v>85713.96967731633</v>
      </c>
      <c r="E2627" s="1">
        <v>3391842</v>
      </c>
      <c r="F2627" s="1">
        <v>15339274</v>
      </c>
      <c r="G2627" s="16">
        <v>14151.225280999759</v>
      </c>
      <c r="H2627">
        <v>122.09</v>
      </c>
      <c r="I2627" s="1">
        <v>432.66999999999996</v>
      </c>
      <c r="J2627" s="16">
        <v>99865.194958316089</v>
      </c>
      <c r="K2627" s="5">
        <v>0.15206615647958788</v>
      </c>
      <c r="L2627" s="10">
        <v>444444.27350000001</v>
      </c>
    </row>
    <row r="2628" spans="1:12" x14ac:dyDescent="0.25">
      <c r="A2628">
        <v>2627</v>
      </c>
      <c r="B2628" s="3">
        <v>0.18123049059676474</v>
      </c>
      <c r="C2628" s="3">
        <v>7.9747692533074885E-2</v>
      </c>
      <c r="D2628" s="1">
        <v>102592.30549011679</v>
      </c>
      <c r="E2628" s="1">
        <v>3498104</v>
      </c>
      <c r="F2628" s="1">
        <v>20961075</v>
      </c>
      <c r="G2628" s="16">
        <v>32630.480104252802</v>
      </c>
      <c r="H2628">
        <v>199.02</v>
      </c>
      <c r="I2628" s="1">
        <v>528.07000000000005</v>
      </c>
      <c r="J2628" s="16">
        <v>135222.7855943696</v>
      </c>
      <c r="K2628" s="5">
        <v>0.16210268028350538</v>
      </c>
      <c r="L2628" s="10">
        <v>179902.14180000001</v>
      </c>
    </row>
    <row r="2629" spans="1:12" x14ac:dyDescent="0.25">
      <c r="A2629">
        <v>2628</v>
      </c>
      <c r="B2629" s="3">
        <v>0.10635560328327637</v>
      </c>
      <c r="C2629" s="3">
        <v>4.3393375375823648E-2</v>
      </c>
      <c r="D2629" s="1">
        <v>119378.3702013727</v>
      </c>
      <c r="E2629" s="1">
        <v>3503238</v>
      </c>
      <c r="F2629" s="1">
        <v>22168201</v>
      </c>
      <c r="G2629" s="16">
        <v>20317.498136513525</v>
      </c>
      <c r="H2629">
        <v>60.03</v>
      </c>
      <c r="I2629" s="1">
        <v>211.65</v>
      </c>
      <c r="J2629" s="16">
        <v>139695.86833788623</v>
      </c>
      <c r="K2629" s="5">
        <v>0.10652797106424416</v>
      </c>
      <c r="L2629" s="10">
        <v>288152.4057</v>
      </c>
    </row>
    <row r="2630" spans="1:12" x14ac:dyDescent="0.25">
      <c r="A2630">
        <v>2629</v>
      </c>
      <c r="B2630" s="3">
        <v>0.23281766804025866</v>
      </c>
      <c r="C2630" s="3">
        <v>5.3744950338302316E-2</v>
      </c>
      <c r="D2630" s="1">
        <v>119001.45923931632</v>
      </c>
      <c r="E2630" s="1">
        <v>6429252</v>
      </c>
      <c r="F2630" s="1">
        <v>24900689</v>
      </c>
      <c r="G2630" s="16">
        <v>12368.605284891564</v>
      </c>
      <c r="H2630">
        <v>91.1</v>
      </c>
      <c r="I2630" s="1">
        <v>338.65</v>
      </c>
      <c r="J2630" s="16">
        <v>131370.06452420788</v>
      </c>
      <c r="K2630" s="5">
        <v>0.12159454492189156</v>
      </c>
      <c r="L2630" s="10">
        <v>214823.7255</v>
      </c>
    </row>
    <row r="2631" spans="1:12" x14ac:dyDescent="0.25">
      <c r="A2631">
        <v>2630</v>
      </c>
      <c r="B2631" s="3">
        <v>0.17363517715190502</v>
      </c>
      <c r="C2631" s="3">
        <v>5.2677391856983294E-2</v>
      </c>
      <c r="D2631" s="1">
        <v>134510.15798674518</v>
      </c>
      <c r="E2631" s="1">
        <v>5398472</v>
      </c>
      <c r="F2631" s="1">
        <v>22760235</v>
      </c>
      <c r="G2631" s="16">
        <v>23127.779472259055</v>
      </c>
      <c r="H2631">
        <v>132.29</v>
      </c>
      <c r="I2631" s="1">
        <v>482.89</v>
      </c>
      <c r="J2631" s="16">
        <v>157637.93745900423</v>
      </c>
      <c r="K2631" s="5">
        <v>8.0400762091942149E-2</v>
      </c>
      <c r="L2631" s="10">
        <v>187463.36900000001</v>
      </c>
    </row>
    <row r="2632" spans="1:12" x14ac:dyDescent="0.25">
      <c r="A2632">
        <v>2631</v>
      </c>
      <c r="B2632" s="3">
        <v>0.18920769247592112</v>
      </c>
      <c r="C2632" s="3">
        <v>4.9713371921822527E-2</v>
      </c>
      <c r="D2632" s="1">
        <v>198657.86336101007</v>
      </c>
      <c r="E2632" s="1">
        <v>8603401</v>
      </c>
      <c r="F2632" s="1">
        <v>39374686</v>
      </c>
      <c r="G2632" s="16">
        <v>18385.745725216617</v>
      </c>
      <c r="H2632">
        <v>97.32</v>
      </c>
      <c r="I2632" s="1">
        <v>383.96999999999997</v>
      </c>
      <c r="J2632" s="16">
        <v>217043.60908622667</v>
      </c>
      <c r="K2632" s="5">
        <v>4.1204925295750247E-2</v>
      </c>
      <c r="L2632" s="10">
        <v>174977.40090000001</v>
      </c>
    </row>
    <row r="2633" spans="1:12" x14ac:dyDescent="0.25">
      <c r="A2633">
        <v>2632</v>
      </c>
      <c r="B2633" s="3">
        <v>0.11934814090693133</v>
      </c>
      <c r="C2633" s="3">
        <v>4.0592370338955353E-2</v>
      </c>
      <c r="D2633" s="1">
        <v>79411.518222686893</v>
      </c>
      <c r="E2633" s="1">
        <v>2176075</v>
      </c>
      <c r="F2633" s="1">
        <v>16954700</v>
      </c>
      <c r="G2633" s="16">
        <v>56230.322449897911</v>
      </c>
      <c r="H2633">
        <v>205.79</v>
      </c>
      <c r="I2633" s="1">
        <v>514.02</v>
      </c>
      <c r="J2633" s="16">
        <v>135641.8406725848</v>
      </c>
      <c r="K2633" s="5">
        <v>4.148955420979477E-2</v>
      </c>
      <c r="L2633" s="10">
        <v>118798.2982</v>
      </c>
    </row>
    <row r="2634" spans="1:12" x14ac:dyDescent="0.25">
      <c r="A2634">
        <v>2633</v>
      </c>
      <c r="B2634" s="3">
        <v>0.12494636513430747</v>
      </c>
      <c r="C2634" s="3">
        <v>3.5567540949071538E-2</v>
      </c>
      <c r="D2634" s="1">
        <v>328067.32339637465</v>
      </c>
      <c r="E2634" s="1">
        <v>11967203</v>
      </c>
      <c r="F2634" s="1">
        <v>54390470</v>
      </c>
      <c r="G2634" s="16">
        <v>113474.81299712081</v>
      </c>
      <c r="H2634">
        <v>496.67</v>
      </c>
      <c r="I2634" s="1">
        <v>1458.03</v>
      </c>
      <c r="J2634" s="16">
        <v>441542.13639349549</v>
      </c>
      <c r="K2634" s="5">
        <v>0.14636598020017938</v>
      </c>
      <c r="L2634" s="10">
        <v>1517958.1971</v>
      </c>
    </row>
    <row r="2635" spans="1:12" x14ac:dyDescent="0.25">
      <c r="A2635">
        <v>2634</v>
      </c>
      <c r="B2635" s="3">
        <v>0.12705286530607804</v>
      </c>
      <c r="C2635" s="3">
        <v>7.2868450000363919E-2</v>
      </c>
      <c r="D2635" s="1">
        <v>122792.45321537442</v>
      </c>
      <c r="E2635" s="1">
        <v>3454707</v>
      </c>
      <c r="F2635" s="1">
        <v>16846254</v>
      </c>
      <c r="G2635" s="16">
        <v>39556.731021284962</v>
      </c>
      <c r="H2635">
        <v>154.07</v>
      </c>
      <c r="I2635" s="1">
        <v>597.14999999999986</v>
      </c>
      <c r="J2635" s="16">
        <v>162349.18423665938</v>
      </c>
      <c r="K2635" s="5">
        <v>0.20795288741804724</v>
      </c>
      <c r="L2635" s="10">
        <v>317233.02529999998</v>
      </c>
    </row>
    <row r="2636" spans="1:12" x14ac:dyDescent="0.25">
      <c r="A2636">
        <v>2635</v>
      </c>
      <c r="B2636" s="3">
        <v>0.22022511879898643</v>
      </c>
      <c r="C2636" s="3">
        <v>3.8696158291454688E-2</v>
      </c>
      <c r="D2636" s="1">
        <v>45564.887315206652</v>
      </c>
      <c r="E2636" s="1">
        <v>1402473</v>
      </c>
      <c r="F2636" s="1">
        <v>10367398</v>
      </c>
      <c r="G2636" s="16">
        <v>19885.053342353054</v>
      </c>
      <c r="H2636">
        <v>133.08000000000001</v>
      </c>
      <c r="I2636" s="1">
        <v>357.23</v>
      </c>
      <c r="J2636" s="16">
        <v>65449.94065755971</v>
      </c>
      <c r="K2636" s="5">
        <v>4.2352971967088177E-2</v>
      </c>
      <c r="L2636" s="10">
        <v>73571.5959</v>
      </c>
    </row>
    <row r="2637" spans="1:12" x14ac:dyDescent="0.25">
      <c r="A2637">
        <v>2636</v>
      </c>
      <c r="B2637" s="3">
        <v>0.23575910434176267</v>
      </c>
      <c r="C2637" s="3">
        <v>6.3725808958998292E-2</v>
      </c>
      <c r="D2637" s="1">
        <v>75336.53548958074</v>
      </c>
      <c r="E2637" s="1">
        <v>3158768</v>
      </c>
      <c r="F2637" s="1">
        <v>14147219</v>
      </c>
      <c r="G2637" s="16">
        <v>23358.412991603131</v>
      </c>
      <c r="H2637">
        <v>230.69</v>
      </c>
      <c r="I2637" s="1">
        <v>665.34</v>
      </c>
      <c r="J2637" s="16">
        <v>98694.948481183877</v>
      </c>
      <c r="K2637" s="5">
        <v>0.12228099835513215</v>
      </c>
      <c r="L2637" s="10">
        <v>130269.0986</v>
      </c>
    </row>
    <row r="2638" spans="1:12" x14ac:dyDescent="0.25">
      <c r="A2638">
        <v>2637</v>
      </c>
      <c r="B2638" s="3">
        <v>0.11712435554066404</v>
      </c>
      <c r="C2638" s="3">
        <v>6.8308304330584546E-2</v>
      </c>
      <c r="D2638" s="1">
        <v>127441.99635107483</v>
      </c>
      <c r="E2638" s="1">
        <v>3465905</v>
      </c>
      <c r="F2638" s="1">
        <v>14829809</v>
      </c>
      <c r="G2638" s="16">
        <v>76932.055151690045</v>
      </c>
      <c r="H2638">
        <v>313.64999999999998</v>
      </c>
      <c r="I2638" s="1">
        <v>813.39</v>
      </c>
      <c r="J2638" s="16">
        <v>204374.05150276487</v>
      </c>
      <c r="K2638" s="5">
        <v>0.15749276431068238</v>
      </c>
      <c r="L2638" s="10">
        <v>316170.8579</v>
      </c>
    </row>
    <row r="2639" spans="1:12" x14ac:dyDescent="0.25">
      <c r="A2639">
        <v>2638</v>
      </c>
      <c r="B2639" s="3">
        <v>0.14513960794282377</v>
      </c>
      <c r="C2639" s="3">
        <v>5.1669857253453355E-2</v>
      </c>
      <c r="D2639" s="1">
        <v>110712.9485178772</v>
      </c>
      <c r="E2639" s="1">
        <v>3316775</v>
      </c>
      <c r="F2639" s="1">
        <v>18890484</v>
      </c>
      <c r="G2639" s="16">
        <v>39939.45283784256</v>
      </c>
      <c r="H2639">
        <v>179.9</v>
      </c>
      <c r="I2639" s="1">
        <v>587.49</v>
      </c>
      <c r="J2639" s="16">
        <v>150652.40135571978</v>
      </c>
      <c r="K2639" s="5">
        <v>4.8027917880345189E-2</v>
      </c>
      <c r="L2639" s="10">
        <v>133327.1318</v>
      </c>
    </row>
    <row r="2640" spans="1:12" x14ac:dyDescent="0.25">
      <c r="A2640">
        <v>2639</v>
      </c>
      <c r="B2640" s="3">
        <v>0.22786006431684372</v>
      </c>
      <c r="C2640" s="3">
        <v>4.6045279382569769E-2</v>
      </c>
      <c r="D2640" s="1">
        <v>15606.325821390163</v>
      </c>
      <c r="E2640" s="1">
        <v>489904</v>
      </c>
      <c r="F2640" s="1">
        <v>6218201</v>
      </c>
      <c r="G2640" s="16">
        <v>16458.279220578272</v>
      </c>
      <c r="H2640">
        <v>151.46</v>
      </c>
      <c r="I2640" s="1">
        <v>565.53000000000009</v>
      </c>
      <c r="J2640" s="16">
        <v>32064.605041968432</v>
      </c>
      <c r="K2640" s="5">
        <v>0.12476509066337474</v>
      </c>
      <c r="L2640" s="10">
        <v>78387.935700000002</v>
      </c>
    </row>
    <row r="2641" spans="1:12" x14ac:dyDescent="0.25">
      <c r="A2641">
        <v>2640</v>
      </c>
      <c r="B2641" s="3">
        <v>0.15772176149917203</v>
      </c>
      <c r="C2641" s="3">
        <v>5.5655821737456229E-2</v>
      </c>
      <c r="D2641" s="1">
        <v>211421.95599789673</v>
      </c>
      <c r="E2641" s="1">
        <v>7861944</v>
      </c>
      <c r="F2641" s="1">
        <v>29372574</v>
      </c>
      <c r="G2641" s="16">
        <v>17138.764454735428</v>
      </c>
      <c r="H2641">
        <v>72.33</v>
      </c>
      <c r="I2641" s="1">
        <v>205.13</v>
      </c>
      <c r="J2641" s="16">
        <v>228560.72045263217</v>
      </c>
      <c r="K2641" s="5">
        <v>4.8059526435757331E-2</v>
      </c>
      <c r="L2641" s="10">
        <v>158036.76029999999</v>
      </c>
    </row>
    <row r="2642" spans="1:12" x14ac:dyDescent="0.25">
      <c r="A2642">
        <v>2641</v>
      </c>
      <c r="B2642" s="3">
        <v>0.13029814286731159</v>
      </c>
      <c r="C2642" s="3">
        <v>5.610705878616308E-2</v>
      </c>
      <c r="D2642" s="1">
        <v>371191.91926579137</v>
      </c>
      <c r="E2642" s="1">
        <v>13962064</v>
      </c>
      <c r="F2642" s="1">
        <v>50011331</v>
      </c>
      <c r="G2642" s="16">
        <v>59824.091470792591</v>
      </c>
      <c r="H2642">
        <v>238.71</v>
      </c>
      <c r="I2642" s="1">
        <v>655.44999999999993</v>
      </c>
      <c r="J2642" s="16">
        <v>431016.01073658396</v>
      </c>
      <c r="K2642" s="5">
        <v>0.195721703088232</v>
      </c>
      <c r="L2642" s="10">
        <v>1040454.7548</v>
      </c>
    </row>
    <row r="2643" spans="1:12" x14ac:dyDescent="0.25">
      <c r="A2643">
        <v>2642</v>
      </c>
      <c r="B2643" s="3">
        <v>0.23050885706173466</v>
      </c>
      <c r="C2643" s="3">
        <v>6.2418405115467965E-2</v>
      </c>
      <c r="D2643" s="1">
        <v>44901.701758156822</v>
      </c>
      <c r="E2643" s="1">
        <v>2396908</v>
      </c>
      <c r="F2643" s="1">
        <v>22354062</v>
      </c>
      <c r="G2643" s="16">
        <v>11589.867807348397</v>
      </c>
      <c r="H2643">
        <v>64.58</v>
      </c>
      <c r="I2643" s="1">
        <v>183.91</v>
      </c>
      <c r="J2643" s="16">
        <v>56491.569565505219</v>
      </c>
      <c r="K2643" s="5">
        <v>2.6561318791057269E-2</v>
      </c>
      <c r="L2643" s="10">
        <v>26910.2546</v>
      </c>
    </row>
    <row r="2644" spans="1:12" x14ac:dyDescent="0.25">
      <c r="A2644">
        <v>2643</v>
      </c>
      <c r="B2644" s="3">
        <v>0.22504253429859092</v>
      </c>
      <c r="C2644" s="3">
        <v>7.1014449268094207E-2</v>
      </c>
      <c r="D2644" s="1">
        <v>123709.29494200117</v>
      </c>
      <c r="E2644" s="1">
        <v>6419398</v>
      </c>
      <c r="F2644" s="1">
        <v>31146312</v>
      </c>
      <c r="G2644" s="16">
        <v>18029.253559715871</v>
      </c>
      <c r="H2644">
        <v>125.29</v>
      </c>
      <c r="I2644" s="1">
        <v>335.62</v>
      </c>
      <c r="J2644" s="16">
        <v>141738.54850171704</v>
      </c>
      <c r="K2644" s="5">
        <v>6.2603652098772222E-2</v>
      </c>
      <c r="L2644" s="10">
        <v>95847.399099999995</v>
      </c>
    </row>
    <row r="2645" spans="1:12" x14ac:dyDescent="0.25">
      <c r="A2645">
        <v>2644</v>
      </c>
      <c r="B2645" s="3">
        <v>0.10078579962224084</v>
      </c>
      <c r="C2645" s="3">
        <v>4.7914344592366258E-2</v>
      </c>
      <c r="D2645" s="1">
        <v>141253.72577948263</v>
      </c>
      <c r="E2645" s="1">
        <v>4043433</v>
      </c>
      <c r="F2645" s="1">
        <v>23748880</v>
      </c>
      <c r="G2645" s="16">
        <v>61636.49463721033</v>
      </c>
      <c r="H2645">
        <v>217.14</v>
      </c>
      <c r="I2645" s="1">
        <v>773.69999999999993</v>
      </c>
      <c r="J2645" s="16">
        <v>202890.22041669296</v>
      </c>
      <c r="K2645" s="5">
        <v>0.13318562891395033</v>
      </c>
      <c r="L2645" s="10">
        <v>468378.22289999999</v>
      </c>
    </row>
    <row r="2646" spans="1:12" x14ac:dyDescent="0.25">
      <c r="A2646">
        <v>2645</v>
      </c>
      <c r="B2646" s="3">
        <v>0.16251360365413803</v>
      </c>
      <c r="C2646" s="3">
        <v>2.1108965625259577E-2</v>
      </c>
      <c r="D2646" s="1">
        <v>92569.962168837068</v>
      </c>
      <c r="E2646" s="1">
        <v>2949443</v>
      </c>
      <c r="F2646" s="1">
        <v>15393053</v>
      </c>
      <c r="G2646" s="16">
        <v>34389.190658929758</v>
      </c>
      <c r="H2646">
        <v>179.03</v>
      </c>
      <c r="I2646" s="1">
        <v>559.23</v>
      </c>
      <c r="J2646" s="16">
        <v>126959.15282776683</v>
      </c>
      <c r="K2646" s="5">
        <v>0.121843078139729</v>
      </c>
      <c r="L2646" s="10">
        <v>665509.83860000002</v>
      </c>
    </row>
    <row r="2647" spans="1:12" x14ac:dyDescent="0.25">
      <c r="A2647">
        <v>2646</v>
      </c>
      <c r="B2647" s="3">
        <v>0.10416193603774679</v>
      </c>
      <c r="C2647" s="3">
        <v>2.5196996562811241E-2</v>
      </c>
      <c r="D2647" s="1">
        <v>267080.71810004051</v>
      </c>
      <c r="E2647" s="1">
        <v>7761175</v>
      </c>
      <c r="F2647" s="1">
        <v>24397104</v>
      </c>
      <c r="G2647" s="16">
        <v>55795.274280707796</v>
      </c>
      <c r="H2647">
        <v>181.11</v>
      </c>
      <c r="I2647" s="1">
        <v>491.65</v>
      </c>
      <c r="J2647" s="16">
        <v>322875.99238074833</v>
      </c>
      <c r="K2647" s="5">
        <v>3.2005227128632782E-2</v>
      </c>
      <c r="L2647" s="10">
        <v>358566.88949999999</v>
      </c>
    </row>
    <row r="2648" spans="1:12" x14ac:dyDescent="0.25">
      <c r="A2648">
        <v>2647</v>
      </c>
      <c r="B2648" s="3">
        <v>0.18413160884268248</v>
      </c>
      <c r="C2648" s="3">
        <v>2.6696931278019344E-2</v>
      </c>
      <c r="D2648" s="1">
        <v>273563.96605322819</v>
      </c>
      <c r="E2648" s="1">
        <v>11555302</v>
      </c>
      <c r="F2648" s="1">
        <v>39728251</v>
      </c>
      <c r="G2648" s="16">
        <v>39372.285287121806</v>
      </c>
      <c r="H2648">
        <v>246.02</v>
      </c>
      <c r="I2648" s="1">
        <v>715.68</v>
      </c>
      <c r="J2648" s="16">
        <v>312936.25134035002</v>
      </c>
      <c r="K2648" s="5">
        <v>0.14455377169162176</v>
      </c>
      <c r="L2648" s="10">
        <v>1424080.3173</v>
      </c>
    </row>
    <row r="2649" spans="1:12" x14ac:dyDescent="0.25">
      <c r="A2649">
        <v>2648</v>
      </c>
      <c r="B2649" s="3">
        <v>0.15729047949565572</v>
      </c>
      <c r="C2649" s="3">
        <v>2.8959595185253158E-2</v>
      </c>
      <c r="D2649" s="1">
        <v>268971.83378448605</v>
      </c>
      <c r="E2649" s="1">
        <v>9981552</v>
      </c>
      <c r="F2649" s="1">
        <v>34787386</v>
      </c>
      <c r="G2649" s="16">
        <v>28463.706749296947</v>
      </c>
      <c r="H2649">
        <v>141.78</v>
      </c>
      <c r="I2649" s="1">
        <v>435.85</v>
      </c>
      <c r="J2649" s="16">
        <v>297435.54053378297</v>
      </c>
      <c r="K2649" s="5">
        <v>0.14354345903056806</v>
      </c>
      <c r="L2649" s="10">
        <v>1216269.0155</v>
      </c>
    </row>
    <row r="2650" spans="1:12" x14ac:dyDescent="0.25">
      <c r="A2650">
        <v>2649</v>
      </c>
      <c r="B2650" s="3">
        <v>0.19722000164781406</v>
      </c>
      <c r="C2650" s="3">
        <v>4.5692050265652887E-2</v>
      </c>
      <c r="D2650" s="1">
        <v>226815.33109232088</v>
      </c>
      <c r="E2650" s="1">
        <v>10220908</v>
      </c>
      <c r="F2650" s="1">
        <v>37946159</v>
      </c>
      <c r="G2650" s="16">
        <v>19270.421942280496</v>
      </c>
      <c r="H2650">
        <v>108.22</v>
      </c>
      <c r="I2650" s="1">
        <v>352.71000000000004</v>
      </c>
      <c r="J2650" s="16">
        <v>246085.75303460137</v>
      </c>
      <c r="K2650" s="5">
        <v>0.21981097647165238</v>
      </c>
      <c r="L2650" s="10">
        <v>920127.91399999999</v>
      </c>
    </row>
    <row r="2651" spans="1:12" x14ac:dyDescent="0.25">
      <c r="A2651">
        <v>2650</v>
      </c>
      <c r="B2651" s="3">
        <v>0.18989111774580464</v>
      </c>
      <c r="C2651" s="3">
        <v>7.2057649220325676E-2</v>
      </c>
      <c r="D2651" s="1">
        <v>101975.67193991436</v>
      </c>
      <c r="E2651" s="1">
        <v>3589790</v>
      </c>
      <c r="F2651" s="1">
        <v>16852900</v>
      </c>
      <c r="G2651" s="16">
        <v>25781.159889562354</v>
      </c>
      <c r="H2651">
        <v>169.27</v>
      </c>
      <c r="I2651" s="1">
        <v>508.73</v>
      </c>
      <c r="J2651" s="16">
        <v>127756.83182947672</v>
      </c>
      <c r="K2651" s="5">
        <v>6.929279977005641E-2</v>
      </c>
      <c r="L2651" s="10">
        <v>92022.130099999995</v>
      </c>
    </row>
    <row r="2652" spans="1:12" x14ac:dyDescent="0.25">
      <c r="A2652">
        <v>2651</v>
      </c>
      <c r="B2652" s="3">
        <v>0.13567839310844229</v>
      </c>
      <c r="C2652" s="3">
        <v>5.6283076241405092E-2</v>
      </c>
      <c r="D2652" s="1">
        <v>149196.29409692154</v>
      </c>
      <c r="E2652" s="1">
        <v>5003328</v>
      </c>
      <c r="F2652" s="1">
        <v>27728495</v>
      </c>
      <c r="G2652" s="16">
        <v>27725.623999298612</v>
      </c>
      <c r="H2652">
        <v>99.9</v>
      </c>
      <c r="I2652" s="1">
        <v>277.60000000000002</v>
      </c>
      <c r="J2652" s="16">
        <v>176921.91809622015</v>
      </c>
      <c r="K2652" s="5">
        <v>2.527308042362323E-2</v>
      </c>
      <c r="L2652" s="10">
        <v>86896.861099999995</v>
      </c>
    </row>
    <row r="2653" spans="1:12" x14ac:dyDescent="0.25">
      <c r="A2653">
        <v>2652</v>
      </c>
      <c r="B2653" s="3">
        <v>0.1594489256480994</v>
      </c>
      <c r="C2653" s="3">
        <v>2.2506917488922255E-2</v>
      </c>
      <c r="D2653" s="1">
        <v>113347.86378208407</v>
      </c>
      <c r="E2653" s="1">
        <v>4249718</v>
      </c>
      <c r="F2653" s="1">
        <v>22532336</v>
      </c>
      <c r="G2653" s="16">
        <v>27146.698677946762</v>
      </c>
      <c r="H2653">
        <v>137.71</v>
      </c>
      <c r="I2653" s="1">
        <v>410.93000000000006</v>
      </c>
      <c r="J2653" s="16">
        <v>140494.56246003084</v>
      </c>
      <c r="K2653" s="5">
        <v>0.17369199533491644</v>
      </c>
      <c r="L2653" s="10">
        <v>968702.30519999994</v>
      </c>
    </row>
    <row r="2654" spans="1:12" x14ac:dyDescent="0.25">
      <c r="A2654">
        <v>2653</v>
      </c>
      <c r="B2654" s="3">
        <v>0.17274344531206764</v>
      </c>
      <c r="C2654" s="3">
        <v>6.4307460757132562E-2</v>
      </c>
      <c r="D2654" s="1">
        <v>172271.00514916948</v>
      </c>
      <c r="E2654" s="1">
        <v>6884204</v>
      </c>
      <c r="F2654" s="1">
        <v>24607753</v>
      </c>
      <c r="G2654" s="16">
        <v>42130.431515867582</v>
      </c>
      <c r="H2654">
        <v>239.34</v>
      </c>
      <c r="I2654" s="1">
        <v>640.28</v>
      </c>
      <c r="J2654" s="16">
        <v>214401.43666503706</v>
      </c>
      <c r="K2654" s="5">
        <v>0.17541613459161615</v>
      </c>
      <c r="L2654" s="10">
        <v>411848.37910000002</v>
      </c>
    </row>
    <row r="2655" spans="1:12" x14ac:dyDescent="0.25">
      <c r="A2655">
        <v>2654</v>
      </c>
      <c r="B2655" s="3">
        <v>0.21982143703035084</v>
      </c>
      <c r="C2655" s="3">
        <v>3.6419936674884329E-2</v>
      </c>
      <c r="D2655" s="1">
        <v>82850.431247416593</v>
      </c>
      <c r="E2655" s="1">
        <v>4185252</v>
      </c>
      <c r="F2655" s="1">
        <v>27007568</v>
      </c>
      <c r="G2655" s="16">
        <v>13621.516157166434</v>
      </c>
      <c r="H2655">
        <v>90.86</v>
      </c>
      <c r="I2655" s="1">
        <v>352.71</v>
      </c>
      <c r="J2655" s="16">
        <v>96471.947404583028</v>
      </c>
      <c r="K2655" s="5">
        <v>-2.4900885076047985E-2</v>
      </c>
      <c r="L2655" s="10">
        <v>-31373.603599999999</v>
      </c>
    </row>
    <row r="2656" spans="1:12" x14ac:dyDescent="0.25">
      <c r="A2656">
        <v>2655</v>
      </c>
      <c r="B2656" s="3">
        <v>0.12763285824092491</v>
      </c>
      <c r="C2656" s="3">
        <v>7.0583524992296004E-2</v>
      </c>
      <c r="D2656" s="1">
        <v>407993.23476786818</v>
      </c>
      <c r="E2656" s="1">
        <v>15113289</v>
      </c>
      <c r="F2656" s="1">
        <v>45794310</v>
      </c>
      <c r="G2656" s="16">
        <v>70344.581739976245</v>
      </c>
      <c r="H2656">
        <v>315.62</v>
      </c>
      <c r="I2656" s="1">
        <v>898.17</v>
      </c>
      <c r="J2656" s="16">
        <v>478337.81650784443</v>
      </c>
      <c r="K2656" s="5">
        <v>-4.7619978297318885E-2</v>
      </c>
      <c r="L2656" s="10">
        <v>-156056.19469999999</v>
      </c>
    </row>
    <row r="2657" spans="1:12" x14ac:dyDescent="0.25">
      <c r="A2657">
        <v>2656</v>
      </c>
      <c r="B2657" s="3">
        <v>0.235718189168659</v>
      </c>
      <c r="C2657" s="3">
        <v>5.6760266012935143E-2</v>
      </c>
      <c r="D2657" s="1">
        <v>57611.299556789898</v>
      </c>
      <c r="E2657" s="1">
        <v>2415180</v>
      </c>
      <c r="F2657" s="1">
        <v>15897418</v>
      </c>
      <c r="G2657" s="16">
        <v>13362.303781688992</v>
      </c>
      <c r="H2657">
        <v>100.9</v>
      </c>
      <c r="I2657" s="1">
        <v>296.95</v>
      </c>
      <c r="J2657" s="16">
        <v>70973.60333847889</v>
      </c>
      <c r="K2657" s="5">
        <v>0.18902613829611378</v>
      </c>
      <c r="L2657" s="10">
        <v>174261.0827</v>
      </c>
    </row>
    <row r="2658" spans="1:12" x14ac:dyDescent="0.25">
      <c r="A2658">
        <v>2657</v>
      </c>
      <c r="B2658" s="3">
        <v>0.23517254458582956</v>
      </c>
      <c r="C2658" s="3">
        <v>2.8166818074928858E-2</v>
      </c>
      <c r="D2658" s="1">
        <v>97953.570759358554</v>
      </c>
      <c r="E2658" s="1">
        <v>5357585</v>
      </c>
      <c r="F2658" s="1">
        <v>32215913</v>
      </c>
      <c r="G2658" s="16">
        <v>19581.05284746458</v>
      </c>
      <c r="H2658">
        <v>192.44</v>
      </c>
      <c r="I2658" s="1">
        <v>564.97</v>
      </c>
      <c r="J2658" s="16">
        <v>117534.62360682314</v>
      </c>
      <c r="K2658" s="5">
        <v>0.23251499576148787</v>
      </c>
      <c r="L2658" s="10">
        <v>828752.2452</v>
      </c>
    </row>
    <row r="2659" spans="1:12" x14ac:dyDescent="0.25">
      <c r="A2659">
        <v>2658</v>
      </c>
      <c r="B2659" s="3">
        <v>0.22316191147811701</v>
      </c>
      <c r="C2659" s="3">
        <v>6.48185758096151E-2</v>
      </c>
      <c r="D2659" s="1">
        <v>65949.377406027765</v>
      </c>
      <c r="E2659" s="1">
        <v>2045283</v>
      </c>
      <c r="F2659" s="1">
        <v>8659640</v>
      </c>
      <c r="G2659" s="16">
        <v>14445.989183445023</v>
      </c>
      <c r="H2659">
        <v>127.23</v>
      </c>
      <c r="I2659" s="1">
        <v>455.72</v>
      </c>
      <c r="J2659" s="16">
        <v>80395.366589472789</v>
      </c>
      <c r="K2659" s="5">
        <v>0.1181043264233524</v>
      </c>
      <c r="L2659" s="10">
        <v>102934.85219999999</v>
      </c>
    </row>
    <row r="2660" spans="1:12" x14ac:dyDescent="0.25">
      <c r="A2660">
        <v>2659</v>
      </c>
      <c r="B2660" s="3">
        <v>0.1902981132712897</v>
      </c>
      <c r="C2660" s="3">
        <v>4.546619458254833E-2</v>
      </c>
      <c r="D2660" s="1">
        <v>62486.286913507232</v>
      </c>
      <c r="E2660" s="1">
        <v>2202990</v>
      </c>
      <c r="F2660" s="1">
        <v>16412622</v>
      </c>
      <c r="G2660" s="16">
        <v>38357.901247822891</v>
      </c>
      <c r="H2660">
        <v>252.81</v>
      </c>
      <c r="I2660" s="1">
        <v>640.15000000000009</v>
      </c>
      <c r="J2660" s="16">
        <v>100844.18816133012</v>
      </c>
      <c r="K2660" s="5">
        <v>0.15948835820684587</v>
      </c>
      <c r="L2660" s="10">
        <v>297688.06689999998</v>
      </c>
    </row>
    <row r="2661" spans="1:12" x14ac:dyDescent="0.25">
      <c r="A2661">
        <v>2660</v>
      </c>
      <c r="B2661" s="3">
        <v>0.14075765255965739</v>
      </c>
      <c r="C2661" s="3">
        <v>7.6205431634389031E-2</v>
      </c>
      <c r="D2661" s="1">
        <v>42354.802700697735</v>
      </c>
      <c r="E2661" s="1">
        <v>1073679</v>
      </c>
      <c r="F2661" s="1">
        <v>8106704</v>
      </c>
      <c r="G2661" s="16">
        <v>12552.439008262858</v>
      </c>
      <c r="H2661">
        <v>46.86</v>
      </c>
      <c r="I2661" s="1">
        <v>212.31</v>
      </c>
      <c r="J2661" s="16">
        <v>54907.241708960595</v>
      </c>
      <c r="K2661" s="5">
        <v>0.21926457951124936</v>
      </c>
      <c r="L2661" s="10">
        <v>115728.38280000001</v>
      </c>
    </row>
    <row r="2662" spans="1:12" x14ac:dyDescent="0.25">
      <c r="A2662">
        <v>2661</v>
      </c>
      <c r="B2662" s="3">
        <v>0.10805621070520888</v>
      </c>
      <c r="C2662" s="3">
        <v>7.1578231012963303E-2</v>
      </c>
      <c r="D2662" s="1">
        <v>347857.1493149689</v>
      </c>
      <c r="E2662" s="1">
        <v>11532306</v>
      </c>
      <c r="F2662" s="1">
        <v>49160711</v>
      </c>
      <c r="G2662" s="16">
        <v>68639.49169621701</v>
      </c>
      <c r="H2662">
        <v>230.03</v>
      </c>
      <c r="I2662" s="1">
        <v>634.24</v>
      </c>
      <c r="J2662" s="16">
        <v>416496.64101118594</v>
      </c>
      <c r="K2662" s="5">
        <v>0.18485073595053236</v>
      </c>
      <c r="L2662" s="10">
        <v>716284.91110000003</v>
      </c>
    </row>
    <row r="2663" spans="1:12" x14ac:dyDescent="0.25">
      <c r="A2663">
        <v>2662</v>
      </c>
      <c r="B2663" s="3">
        <v>0.13529487224521991</v>
      </c>
      <c r="C2663" s="3">
        <v>5.6421531458860683E-2</v>
      </c>
      <c r="D2663" s="1">
        <v>249831.32399953206</v>
      </c>
      <c r="E2663" s="1">
        <v>8363297</v>
      </c>
      <c r="F2663" s="1">
        <v>29454414</v>
      </c>
      <c r="G2663" s="16">
        <v>174792.93548816143</v>
      </c>
      <c r="H2663">
        <v>973.73</v>
      </c>
      <c r="I2663" s="1">
        <v>2293.7400000000002</v>
      </c>
      <c r="J2663" s="16">
        <v>424624.25948769349</v>
      </c>
      <c r="K2663" s="5">
        <v>0.17941964765651447</v>
      </c>
      <c r="L2663" s="10">
        <v>942104.07880000002</v>
      </c>
    </row>
    <row r="2664" spans="1:12" x14ac:dyDescent="0.25">
      <c r="A2664">
        <v>2663</v>
      </c>
      <c r="B2664" s="3">
        <v>0.13826337335970051</v>
      </c>
      <c r="C2664" s="3">
        <v>7.4910791461857792E-2</v>
      </c>
      <c r="D2664" s="1">
        <v>93132.735750525258</v>
      </c>
      <c r="E2664" s="1">
        <v>2723844</v>
      </c>
      <c r="F2664" s="1">
        <v>15803790</v>
      </c>
      <c r="G2664" s="16">
        <v>13242.021268041086</v>
      </c>
      <c r="H2664">
        <v>48.65</v>
      </c>
      <c r="I2664" s="1">
        <v>224.73000000000002</v>
      </c>
      <c r="J2664" s="16">
        <v>106374.75701856635</v>
      </c>
      <c r="K2664" s="5">
        <v>8.2902742191407433E-2</v>
      </c>
      <c r="L2664" s="10">
        <v>101438.064</v>
      </c>
    </row>
    <row r="2665" spans="1:12" x14ac:dyDescent="0.25">
      <c r="A2665">
        <v>2664</v>
      </c>
      <c r="B2665" s="3">
        <v>0.17876364426385005</v>
      </c>
      <c r="C2665" s="3">
        <v>7.3294190301398471E-2</v>
      </c>
      <c r="D2665" s="1">
        <v>149724.8482794615</v>
      </c>
      <c r="E2665" s="1">
        <v>5059327</v>
      </c>
      <c r="F2665" s="1">
        <v>17449919</v>
      </c>
      <c r="G2665" s="16">
        <v>20420.775021375532</v>
      </c>
      <c r="H2665">
        <v>100.16</v>
      </c>
      <c r="I2665" s="1">
        <v>374.28999999999996</v>
      </c>
      <c r="J2665" s="16">
        <v>170145.62330083703</v>
      </c>
      <c r="K2665" s="5">
        <v>8.4710349388652781E-2</v>
      </c>
      <c r="L2665" s="10">
        <v>136402.12359999999</v>
      </c>
    </row>
    <row r="2666" spans="1:12" x14ac:dyDescent="0.25">
      <c r="A2666">
        <v>2665</v>
      </c>
      <c r="B2666" s="3">
        <v>0.12096458467827846</v>
      </c>
      <c r="C2666" s="3">
        <v>7.3201456634299999E-2</v>
      </c>
      <c r="D2666" s="1">
        <v>221927.55176053106</v>
      </c>
      <c r="E2666" s="1">
        <v>7913740</v>
      </c>
      <c r="F2666" s="1">
        <v>46537636</v>
      </c>
      <c r="G2666" s="16">
        <v>51481.770917877759</v>
      </c>
      <c r="H2666">
        <v>191.06</v>
      </c>
      <c r="I2666" s="1">
        <v>598.86</v>
      </c>
      <c r="J2666" s="16">
        <v>273409.32267840882</v>
      </c>
      <c r="K2666" s="5">
        <v>1.0581384847286088E-2</v>
      </c>
      <c r="L2666" s="10">
        <v>56389.279000000002</v>
      </c>
    </row>
    <row r="2667" spans="1:12" x14ac:dyDescent="0.25">
      <c r="A2667">
        <v>2666</v>
      </c>
      <c r="B2667" s="3">
        <v>0.14718090619122495</v>
      </c>
      <c r="C2667" s="3">
        <v>3.5482601031270114E-2</v>
      </c>
      <c r="D2667" s="1">
        <v>216929.54598834351</v>
      </c>
      <c r="E2667" s="1">
        <v>7675282</v>
      </c>
      <c r="F2667" s="1">
        <v>29684746</v>
      </c>
      <c r="G2667" s="16">
        <v>38717.345981601327</v>
      </c>
      <c r="H2667">
        <v>177.44</v>
      </c>
      <c r="I2667" s="1">
        <v>636.01</v>
      </c>
      <c r="J2667" s="16">
        <v>255646.89196994485</v>
      </c>
      <c r="K2667" s="5">
        <v>2.0133876077154066E-2</v>
      </c>
      <c r="L2667" s="10">
        <v>145344.98879999999</v>
      </c>
    </row>
    <row r="2668" spans="1:12" x14ac:dyDescent="0.25">
      <c r="A2668">
        <v>2667</v>
      </c>
      <c r="B2668" s="3">
        <v>0.13752811916998334</v>
      </c>
      <c r="C2668" s="3">
        <v>2.2304972829891211E-2</v>
      </c>
      <c r="D2668" s="1">
        <v>129039.86156569263</v>
      </c>
      <c r="E2668" s="1">
        <v>3764363</v>
      </c>
      <c r="F2668" s="1">
        <v>18093574</v>
      </c>
      <c r="G2668" s="16">
        <v>45595.231139163909</v>
      </c>
      <c r="H2668">
        <v>193.3</v>
      </c>
      <c r="I2668" s="1">
        <v>463.88</v>
      </c>
      <c r="J2668" s="16">
        <v>174635.09270485654</v>
      </c>
      <c r="K2668" s="5">
        <v>-2.9600159295899153E-2</v>
      </c>
      <c r="L2668" s="10">
        <v>-189987.70170000001</v>
      </c>
    </row>
    <row r="2669" spans="1:12" x14ac:dyDescent="0.25">
      <c r="A2669">
        <v>2668</v>
      </c>
      <c r="B2669" s="3">
        <v>0.24572971755054959</v>
      </c>
      <c r="C2669" s="3">
        <v>4.2592274460014533E-2</v>
      </c>
      <c r="D2669" s="1">
        <v>44577.736394132953</v>
      </c>
      <c r="E2669" s="1">
        <v>1944197</v>
      </c>
      <c r="F2669" s="1">
        <v>12798860</v>
      </c>
      <c r="G2669" s="16">
        <v>6716.1128927817372</v>
      </c>
      <c r="H2669">
        <v>54.86</v>
      </c>
      <c r="I2669" s="1">
        <v>287.24</v>
      </c>
      <c r="J2669" s="16">
        <v>51293.849286914687</v>
      </c>
      <c r="K2669" s="5">
        <v>5.3051482099289213E-2</v>
      </c>
      <c r="L2669" s="10">
        <v>73163.795199999993</v>
      </c>
    </row>
    <row r="2670" spans="1:12" x14ac:dyDescent="0.25">
      <c r="A2670">
        <v>2669</v>
      </c>
      <c r="B2670" s="3">
        <v>0.19814547046523406</v>
      </c>
      <c r="C2670" s="3">
        <v>5.3072198291748335E-2</v>
      </c>
      <c r="D2670" s="1">
        <v>277432.86407868628</v>
      </c>
      <c r="E2670" s="1">
        <v>15663284</v>
      </c>
      <c r="F2670" s="1">
        <v>50145067</v>
      </c>
      <c r="G2670" s="16">
        <v>24008.644496235134</v>
      </c>
      <c r="H2670">
        <v>169.44</v>
      </c>
      <c r="I2670" s="1">
        <v>630.68999999999994</v>
      </c>
      <c r="J2670" s="16">
        <v>301441.5085749214</v>
      </c>
      <c r="K2670" s="5">
        <v>-9.2308413298685707E-2</v>
      </c>
      <c r="L2670" s="10">
        <v>-370790.28960000002</v>
      </c>
    </row>
    <row r="2671" spans="1:12" x14ac:dyDescent="0.25">
      <c r="A2671">
        <v>2670</v>
      </c>
      <c r="B2671" s="3">
        <v>0.18596424236228359</v>
      </c>
      <c r="C2671" s="3">
        <v>4.0851382995432325E-2</v>
      </c>
      <c r="D2671" s="1">
        <v>128398.79053336632</v>
      </c>
      <c r="E2671" s="1">
        <v>5472549</v>
      </c>
      <c r="F2671" s="1">
        <v>25183206</v>
      </c>
      <c r="G2671" s="16">
        <v>13534.019524262621</v>
      </c>
      <c r="H2671">
        <v>70.08</v>
      </c>
      <c r="I2671" s="1">
        <v>227.15000000000003</v>
      </c>
      <c r="J2671" s="16">
        <v>141932.81005762896</v>
      </c>
      <c r="K2671" s="5">
        <v>0.23762371368841953</v>
      </c>
      <c r="L2671" s="10">
        <v>664269.95290000003</v>
      </c>
    </row>
    <row r="2672" spans="1:12" x14ac:dyDescent="0.25">
      <c r="A2672">
        <v>2671</v>
      </c>
      <c r="B2672" s="3">
        <v>0.14557816654329764</v>
      </c>
      <c r="C2672" s="3">
        <v>7.5655005673588613E-2</v>
      </c>
      <c r="D2672" s="1">
        <v>241579.11547184849</v>
      </c>
      <c r="E2672" s="1">
        <v>8483473</v>
      </c>
      <c r="F2672" s="1">
        <v>26814620</v>
      </c>
      <c r="G2672" s="16">
        <v>31273.938517631585</v>
      </c>
      <c r="H2672">
        <v>141.54</v>
      </c>
      <c r="I2672" s="1">
        <v>394.51</v>
      </c>
      <c r="J2672" s="16">
        <v>272853.05398948007</v>
      </c>
      <c r="K2672" s="5">
        <v>-1.5837588802055103E-3</v>
      </c>
      <c r="L2672" s="10">
        <v>23691.496299999999</v>
      </c>
    </row>
    <row r="2673" spans="1:12" x14ac:dyDescent="0.25">
      <c r="A2673">
        <v>2672</v>
      </c>
      <c r="B2673" s="3">
        <v>0.24298901738642201</v>
      </c>
      <c r="C2673" s="3">
        <v>6.6144730183211348E-2</v>
      </c>
      <c r="D2673" s="1">
        <v>58814.655043109546</v>
      </c>
      <c r="E2673" s="1">
        <v>2537359</v>
      </c>
      <c r="F2673" s="1">
        <v>20005986</v>
      </c>
      <c r="G2673" s="16">
        <v>11620.417944985476</v>
      </c>
      <c r="H2673">
        <v>122.76</v>
      </c>
      <c r="I2673" s="1">
        <v>405.29999999999995</v>
      </c>
      <c r="J2673" s="16">
        <v>70435.072988095024</v>
      </c>
      <c r="K2673" s="5">
        <v>7.8431357584804018E-2</v>
      </c>
      <c r="L2673" s="10">
        <v>67775.877800000002</v>
      </c>
    </row>
    <row r="2674" spans="1:12" x14ac:dyDescent="0.25">
      <c r="A2674">
        <v>2673</v>
      </c>
      <c r="B2674" s="3">
        <v>0.17403312232624635</v>
      </c>
      <c r="C2674" s="3">
        <v>7.8887232374800831E-2</v>
      </c>
      <c r="D2674" s="1">
        <v>87623.060420841372</v>
      </c>
      <c r="E2674" s="1">
        <v>2910267</v>
      </c>
      <c r="F2674" s="1">
        <v>14728723</v>
      </c>
      <c r="G2674" s="16">
        <v>36401.093548096615</v>
      </c>
      <c r="H2674">
        <v>252.98</v>
      </c>
      <c r="I2674" s="1">
        <v>906.54000000000008</v>
      </c>
      <c r="J2674" s="16">
        <v>124024.15396893799</v>
      </c>
      <c r="K2674" s="5">
        <v>0.1019021032080919</v>
      </c>
      <c r="L2674" s="10">
        <v>96217.545299999998</v>
      </c>
    </row>
    <row r="2675" spans="1:12" x14ac:dyDescent="0.25">
      <c r="A2675">
        <v>2674</v>
      </c>
      <c r="B2675" s="3">
        <v>0.15350417533509433</v>
      </c>
      <c r="C2675" s="3">
        <v>3.6079188004179474E-2</v>
      </c>
      <c r="D2675" s="1">
        <v>124929.50856362413</v>
      </c>
      <c r="E2675" s="1">
        <v>4553745</v>
      </c>
      <c r="F2675" s="1">
        <v>25943669</v>
      </c>
      <c r="G2675" s="16">
        <v>83334.748338977908</v>
      </c>
      <c r="H2675">
        <v>475.34</v>
      </c>
      <c r="I2675" s="1">
        <v>1126.25</v>
      </c>
      <c r="J2675" s="16">
        <v>208264.25690260204</v>
      </c>
      <c r="K2675" s="5">
        <v>6.8810274470779392E-2</v>
      </c>
      <c r="L2675" s="10">
        <v>326896.94020000001</v>
      </c>
    </row>
    <row r="2676" spans="1:12" x14ac:dyDescent="0.25">
      <c r="A2676">
        <v>2675</v>
      </c>
      <c r="B2676" s="3">
        <v>0.12127163209274464</v>
      </c>
      <c r="C2676" s="3">
        <v>4.9885146888780027E-2</v>
      </c>
      <c r="D2676" s="1">
        <v>260280.53573198762</v>
      </c>
      <c r="E2676" s="1">
        <v>8170081</v>
      </c>
      <c r="F2676" s="1">
        <v>30811429</v>
      </c>
      <c r="G2676" s="16">
        <v>27819.010858727834</v>
      </c>
      <c r="H2676">
        <v>90.96</v>
      </c>
      <c r="I2676" s="1">
        <v>366.21999999999997</v>
      </c>
      <c r="J2676" s="16">
        <v>288099.54659071547</v>
      </c>
      <c r="K2676" s="5">
        <v>-5.8623161787425673E-2</v>
      </c>
      <c r="L2676" s="10">
        <v>-225766.4319</v>
      </c>
    </row>
    <row r="2677" spans="1:12" x14ac:dyDescent="0.25">
      <c r="A2677">
        <v>2676</v>
      </c>
      <c r="B2677" s="3">
        <v>0.15689100535644041</v>
      </c>
      <c r="C2677" s="3">
        <v>5.7525510465054011E-2</v>
      </c>
      <c r="D2677" s="1">
        <v>85268.333024109132</v>
      </c>
      <c r="E2677" s="1">
        <v>2245038</v>
      </c>
      <c r="F2677" s="1">
        <v>10548408</v>
      </c>
      <c r="G2677" s="16">
        <v>92496.40335451471</v>
      </c>
      <c r="H2677">
        <v>545.46</v>
      </c>
      <c r="I2677" s="1">
        <v>1416.48</v>
      </c>
      <c r="J2677" s="16">
        <v>177764.73637862384</v>
      </c>
      <c r="K2677" s="5">
        <v>0.21998279184498984</v>
      </c>
      <c r="L2677" s="10">
        <v>476490.88449999999</v>
      </c>
    </row>
    <row r="2678" spans="1:12" x14ac:dyDescent="0.25">
      <c r="A2678">
        <v>2677</v>
      </c>
      <c r="B2678" s="3">
        <v>0.21050100550701722</v>
      </c>
      <c r="C2678" s="3">
        <v>7.8866463815051066E-2</v>
      </c>
      <c r="D2678" s="1">
        <v>24265.042786255814</v>
      </c>
      <c r="E2678" s="1">
        <v>728587</v>
      </c>
      <c r="F2678" s="1">
        <v>7933088</v>
      </c>
      <c r="G2678" s="16">
        <v>17457.343532680963</v>
      </c>
      <c r="H2678">
        <v>108.47</v>
      </c>
      <c r="I2678" s="1">
        <v>369.34000000000003</v>
      </c>
      <c r="J2678" s="16">
        <v>41722.386318936777</v>
      </c>
      <c r="K2678" s="5">
        <v>7.6225942473920921E-2</v>
      </c>
      <c r="L2678" s="10">
        <v>30285.6178</v>
      </c>
    </row>
    <row r="2679" spans="1:12" x14ac:dyDescent="0.25">
      <c r="A2679">
        <v>2678</v>
      </c>
      <c r="B2679" s="3">
        <v>0.15028190558499352</v>
      </c>
      <c r="C2679" s="3">
        <v>5.8169345346839624E-2</v>
      </c>
      <c r="D2679" s="1">
        <v>121191.69238934014</v>
      </c>
      <c r="E2679" s="1">
        <v>4350870</v>
      </c>
      <c r="F2679" s="1">
        <v>24001839</v>
      </c>
      <c r="G2679" s="16">
        <v>28799.58259402476</v>
      </c>
      <c r="H2679">
        <v>115.12</v>
      </c>
      <c r="I2679" s="1">
        <v>349.48</v>
      </c>
      <c r="J2679" s="16">
        <v>149991.27498336491</v>
      </c>
      <c r="K2679" s="5">
        <v>0.27124360881363579</v>
      </c>
      <c r="L2679" s="10">
        <v>541992.53269999998</v>
      </c>
    </row>
    <row r="2680" spans="1:12" x14ac:dyDescent="0.25">
      <c r="A2680">
        <v>2679</v>
      </c>
      <c r="B2680" s="3">
        <v>0.11407088619111642</v>
      </c>
      <c r="C2680" s="3">
        <v>4.1435786200045788E-2</v>
      </c>
      <c r="D2680" s="1">
        <v>315176.12897346698</v>
      </c>
      <c r="E2680" s="1">
        <v>9575472</v>
      </c>
      <c r="F2680" s="1">
        <v>39139145</v>
      </c>
      <c r="G2680" s="16">
        <v>27524.964410226454</v>
      </c>
      <c r="H2680">
        <v>85.57</v>
      </c>
      <c r="I2680" s="1">
        <v>280.32</v>
      </c>
      <c r="J2680" s="16">
        <v>342701.09338369343</v>
      </c>
      <c r="K2680" s="5">
        <v>0.14744025877125833</v>
      </c>
      <c r="L2680" s="10">
        <v>964115.63029999996</v>
      </c>
    </row>
    <row r="2681" spans="1:12" x14ac:dyDescent="0.25">
      <c r="A2681">
        <v>2680</v>
      </c>
      <c r="B2681" s="3">
        <v>0.18722424282351982</v>
      </c>
      <c r="C2681" s="3">
        <v>2.0251221505321184E-2</v>
      </c>
      <c r="D2681" s="1">
        <v>122095.61986915376</v>
      </c>
      <c r="E2681" s="1">
        <v>4255895</v>
      </c>
      <c r="F2681" s="1">
        <v>16230917</v>
      </c>
      <c r="G2681" s="16">
        <v>31758.460738438032</v>
      </c>
      <c r="H2681">
        <v>204.12</v>
      </c>
      <c r="I2681" s="1">
        <v>530.01</v>
      </c>
      <c r="J2681" s="16">
        <v>153854.08060759178</v>
      </c>
      <c r="K2681" s="5">
        <v>0.10871780395244056</v>
      </c>
      <c r="L2681" s="10">
        <v>730304.63529999997</v>
      </c>
    </row>
    <row r="2682" spans="1:12" x14ac:dyDescent="0.25">
      <c r="A2682">
        <v>2681</v>
      </c>
      <c r="B2682" s="3">
        <v>0.11431416943849279</v>
      </c>
      <c r="C2682" s="3">
        <v>3.8751315023542857E-2</v>
      </c>
      <c r="D2682" s="1">
        <v>74097.96582382104</v>
      </c>
      <c r="E2682" s="1">
        <v>1996041</v>
      </c>
      <c r="F2682" s="1">
        <v>11925169</v>
      </c>
      <c r="G2682" s="16">
        <v>117670.76197769136</v>
      </c>
      <c r="H2682">
        <v>467.77</v>
      </c>
      <c r="I2682" s="1">
        <v>1117.02</v>
      </c>
      <c r="J2682" s="16">
        <v>191768.7278015124</v>
      </c>
      <c r="K2682" s="5">
        <v>7.8697251740706325E-2</v>
      </c>
      <c r="L2682" s="10">
        <v>286440.87349999999</v>
      </c>
    </row>
    <row r="2683" spans="1:12" x14ac:dyDescent="0.25">
      <c r="A2683">
        <v>2682</v>
      </c>
      <c r="B2683" s="3">
        <v>0.19104002001695908</v>
      </c>
      <c r="C2683" s="3">
        <v>4.5632973819565908E-2</v>
      </c>
      <c r="D2683" s="1">
        <v>114617.47385772339</v>
      </c>
      <c r="E2683" s="1">
        <v>5008935</v>
      </c>
      <c r="F2683" s="1">
        <v>21784816</v>
      </c>
      <c r="G2683" s="16">
        <v>19345.43221125385</v>
      </c>
      <c r="H2683">
        <v>104.03</v>
      </c>
      <c r="I2683" s="1">
        <v>345.15</v>
      </c>
      <c r="J2683" s="16">
        <v>133962.90606897726</v>
      </c>
      <c r="K2683" s="5">
        <v>1.5254255062052618E-2</v>
      </c>
      <c r="L2683" s="10">
        <v>56013.409399999997</v>
      </c>
    </row>
    <row r="2684" spans="1:12" x14ac:dyDescent="0.25">
      <c r="A2684">
        <v>2683</v>
      </c>
      <c r="B2684" s="3">
        <v>0.20062747244355525</v>
      </c>
      <c r="C2684" s="3">
        <v>7.0433458930987833E-2</v>
      </c>
      <c r="D2684" s="1">
        <v>46860.875697738367</v>
      </c>
      <c r="E2684" s="1">
        <v>1372507</v>
      </c>
      <c r="F2684" s="1">
        <v>8934081</v>
      </c>
      <c r="G2684" s="16">
        <v>30404.699519737322</v>
      </c>
      <c r="H2684">
        <v>274.51</v>
      </c>
      <c r="I2684" s="1">
        <v>785.66</v>
      </c>
      <c r="J2684" s="16">
        <v>77265.575217475693</v>
      </c>
      <c r="K2684" s="5">
        <v>0.27157305629744632</v>
      </c>
      <c r="L2684" s="10">
        <v>213207.85649999999</v>
      </c>
    </row>
    <row r="2685" spans="1:12" x14ac:dyDescent="0.25">
      <c r="A2685">
        <v>2684</v>
      </c>
      <c r="B2685" s="3">
        <v>0.21237275527089289</v>
      </c>
      <c r="C2685" s="3">
        <v>2.7218516461676563E-2</v>
      </c>
      <c r="D2685" s="1">
        <v>422223.68920750852</v>
      </c>
      <c r="E2685" s="1">
        <v>33099475</v>
      </c>
      <c r="F2685" s="1">
        <v>87269155</v>
      </c>
      <c r="G2685" s="16">
        <v>17388.076270353242</v>
      </c>
      <c r="H2685">
        <v>139.15</v>
      </c>
      <c r="I2685" s="1">
        <v>390.97</v>
      </c>
      <c r="J2685" s="16">
        <v>439611.76547786174</v>
      </c>
      <c r="K2685" s="5">
        <v>0.24784919257979612</v>
      </c>
      <c r="L2685" s="10">
        <v>3298138.6033000001</v>
      </c>
    </row>
    <row r="2686" spans="1:12" x14ac:dyDescent="0.25">
      <c r="A2686">
        <v>2685</v>
      </c>
      <c r="B2686" s="3">
        <v>0.23084648876425012</v>
      </c>
      <c r="C2686" s="3">
        <v>4.6460809503228076E-2</v>
      </c>
      <c r="D2686" s="1">
        <v>156516.77795804589</v>
      </c>
      <c r="E2686" s="1">
        <v>8369733</v>
      </c>
      <c r="F2686" s="1">
        <v>31511968</v>
      </c>
      <c r="G2686" s="16">
        <v>11571.215535726464</v>
      </c>
      <c r="H2686">
        <v>83.98</v>
      </c>
      <c r="I2686" s="1">
        <v>332.09999999999997</v>
      </c>
      <c r="J2686" s="16">
        <v>168087.99349377234</v>
      </c>
      <c r="K2686" s="5">
        <v>6.4512967510043193E-2</v>
      </c>
      <c r="L2686" s="10">
        <v>222402.20079999999</v>
      </c>
    </row>
    <row r="2687" spans="1:12" x14ac:dyDescent="0.25">
      <c r="A2687">
        <v>2686</v>
      </c>
      <c r="B2687" s="3">
        <v>0.21682253177442196</v>
      </c>
      <c r="C2687" s="3">
        <v>5.1632484249270458E-2</v>
      </c>
      <c r="D2687" s="1">
        <v>62837.897388962636</v>
      </c>
      <c r="E2687" s="1">
        <v>2448185</v>
      </c>
      <c r="F2687" s="1">
        <v>15259333</v>
      </c>
      <c r="G2687" s="16">
        <v>19170.160402203503</v>
      </c>
      <c r="H2687">
        <v>159.68</v>
      </c>
      <c r="I2687" s="1">
        <v>414.01</v>
      </c>
      <c r="J2687" s="16">
        <v>82008.057791166138</v>
      </c>
      <c r="K2687" s="5">
        <v>0.1061842531049909</v>
      </c>
      <c r="L2687" s="10">
        <v>143674.2641</v>
      </c>
    </row>
    <row r="2688" spans="1:12" x14ac:dyDescent="0.25">
      <c r="A2688">
        <v>2687</v>
      </c>
      <c r="B2688" s="3">
        <v>0.18679325907456118</v>
      </c>
      <c r="C2688" s="3">
        <v>4.6999709612010498E-2</v>
      </c>
      <c r="D2688" s="1">
        <v>121342.27286861936</v>
      </c>
      <c r="E2688" s="1">
        <v>4222913</v>
      </c>
      <c r="F2688" s="1">
        <v>18718576</v>
      </c>
      <c r="G2688" s="16">
        <v>32535.153168081866</v>
      </c>
      <c r="H2688">
        <v>208.01</v>
      </c>
      <c r="I2688" s="1">
        <v>487.07</v>
      </c>
      <c r="J2688" s="16">
        <v>153877.42603670122</v>
      </c>
      <c r="K2688" s="5">
        <v>1.8340524443121314E-2</v>
      </c>
      <c r="L2688" s="10">
        <v>55685.3632</v>
      </c>
    </row>
    <row r="2689" spans="1:12" x14ac:dyDescent="0.25">
      <c r="A2689">
        <v>2688</v>
      </c>
      <c r="B2689" s="3">
        <v>0.14259413785334835</v>
      </c>
      <c r="C2689" s="3">
        <v>4.7276110139949978E-2</v>
      </c>
      <c r="D2689" s="1">
        <v>245728.07735856413</v>
      </c>
      <c r="E2689" s="1">
        <v>8509647</v>
      </c>
      <c r="F2689" s="1">
        <v>35069812</v>
      </c>
      <c r="G2689" s="16">
        <v>50523.572894566038</v>
      </c>
      <c r="H2689">
        <v>223.11</v>
      </c>
      <c r="I2689" s="1">
        <v>706.09</v>
      </c>
      <c r="J2689" s="16">
        <v>296251.65025313018</v>
      </c>
      <c r="K2689" s="5">
        <v>0.13476332357951648</v>
      </c>
      <c r="L2689" s="10">
        <v>655346.53760000004</v>
      </c>
    </row>
    <row r="2690" spans="1:12" x14ac:dyDescent="0.25">
      <c r="A2690">
        <v>2689</v>
      </c>
      <c r="B2690" s="3">
        <v>0.16493910135262596</v>
      </c>
      <c r="C2690" s="3">
        <v>7.6221677361920856E-2</v>
      </c>
      <c r="D2690" s="1">
        <v>178824.79325841888</v>
      </c>
      <c r="E2690" s="1">
        <v>8242133</v>
      </c>
      <c r="F2690" s="1">
        <v>44547964</v>
      </c>
      <c r="G2690" s="16">
        <v>44397.602663319216</v>
      </c>
      <c r="H2690">
        <v>235.65</v>
      </c>
      <c r="I2690" s="1">
        <v>686.25</v>
      </c>
      <c r="J2690" s="16">
        <v>223222.39592173809</v>
      </c>
      <c r="K2690" s="5">
        <v>1.9909860969958872E-2</v>
      </c>
      <c r="L2690" s="10">
        <v>73495.613500000007</v>
      </c>
    </row>
    <row r="2691" spans="1:12" x14ac:dyDescent="0.25">
      <c r="A2691">
        <v>2690</v>
      </c>
      <c r="B2691" s="3">
        <v>0.12519281690506942</v>
      </c>
      <c r="C2691" s="3">
        <v>6.546350742201261E-2</v>
      </c>
      <c r="D2691" s="1">
        <v>246051.55669420597</v>
      </c>
      <c r="E2691" s="1">
        <v>7862842</v>
      </c>
      <c r="F2691" s="1">
        <v>42395313</v>
      </c>
      <c r="G2691" s="16">
        <v>116788.55287196388</v>
      </c>
      <c r="H2691">
        <v>513.12</v>
      </c>
      <c r="I2691" s="1">
        <v>1388.2199999999998</v>
      </c>
      <c r="J2691" s="16">
        <v>362840.10956616985</v>
      </c>
      <c r="K2691" s="5">
        <v>3.7593422778177399E-2</v>
      </c>
      <c r="L2691" s="10">
        <v>160227.53219999999</v>
      </c>
    </row>
    <row r="2692" spans="1:12" x14ac:dyDescent="0.25">
      <c r="A2692">
        <v>2691</v>
      </c>
      <c r="B2692" s="3">
        <v>0.23049469181658155</v>
      </c>
      <c r="C2692" s="3">
        <v>2.5772863066682906E-2</v>
      </c>
      <c r="D2692" s="1">
        <v>126443.70947180051</v>
      </c>
      <c r="E2692" s="1">
        <v>6749223</v>
      </c>
      <c r="F2692" s="1">
        <v>37955225</v>
      </c>
      <c r="G2692" s="16">
        <v>8326.4929863548005</v>
      </c>
      <c r="H2692">
        <v>60.28</v>
      </c>
      <c r="I2692" s="1">
        <v>274.70000000000005</v>
      </c>
      <c r="J2692" s="16">
        <v>134770.20245815531</v>
      </c>
      <c r="K2692" s="5">
        <v>0.1447151888364053</v>
      </c>
      <c r="L2692" s="10">
        <v>698556.30359999998</v>
      </c>
    </row>
    <row r="2693" spans="1:12" x14ac:dyDescent="0.25">
      <c r="A2693">
        <v>2692</v>
      </c>
      <c r="B2693" s="3">
        <v>0.1537613695861573</v>
      </c>
      <c r="C2693" s="3">
        <v>3.7125116140745741E-2</v>
      </c>
      <c r="D2693" s="1">
        <v>204929.67220317398</v>
      </c>
      <c r="E2693" s="1">
        <v>7478875</v>
      </c>
      <c r="F2693" s="1">
        <v>32854332</v>
      </c>
      <c r="G2693" s="16">
        <v>39346.666898598844</v>
      </c>
      <c r="H2693">
        <v>190.37</v>
      </c>
      <c r="I2693" s="1">
        <v>710.85</v>
      </c>
      <c r="J2693" s="16">
        <v>244276.33910177281</v>
      </c>
      <c r="K2693" s="5">
        <v>2.2048065071564517E-2</v>
      </c>
      <c r="L2693" s="10">
        <v>127899.85400000001</v>
      </c>
    </row>
    <row r="2694" spans="1:12" x14ac:dyDescent="0.25">
      <c r="A2694">
        <v>2693</v>
      </c>
      <c r="B2694" s="3">
        <v>0.12229150661717372</v>
      </c>
      <c r="C2694" s="3">
        <v>4.515716140483747E-2</v>
      </c>
      <c r="D2694" s="1">
        <v>155863.53772557096</v>
      </c>
      <c r="E2694" s="1">
        <v>4314166</v>
      </c>
      <c r="F2694" s="1">
        <v>19176759</v>
      </c>
      <c r="G2694" s="16">
        <v>43273.643477231744</v>
      </c>
      <c r="H2694">
        <v>162.55000000000001</v>
      </c>
      <c r="I2694" s="1">
        <v>446.55</v>
      </c>
      <c r="J2694" s="16">
        <v>199137.18120280269</v>
      </c>
      <c r="K2694" s="5">
        <v>6.9423946988293905E-2</v>
      </c>
      <c r="L2694" s="10">
        <v>257558.35759999999</v>
      </c>
    </row>
    <row r="2695" spans="1:12" x14ac:dyDescent="0.25">
      <c r="A2695">
        <v>2694</v>
      </c>
      <c r="B2695" s="3">
        <v>0.17251389271027501</v>
      </c>
      <c r="C2695" s="3">
        <v>2.4073951558082295E-2</v>
      </c>
      <c r="D2695" s="1">
        <v>192073.59073356958</v>
      </c>
      <c r="E2695" s="1">
        <v>9265456</v>
      </c>
      <c r="F2695" s="1">
        <v>44275131</v>
      </c>
      <c r="G2695" s="16">
        <v>32090.419576360746</v>
      </c>
      <c r="H2695">
        <v>219.81</v>
      </c>
      <c r="I2695" s="1">
        <v>790.26</v>
      </c>
      <c r="J2695" s="16">
        <v>224164.01030993034</v>
      </c>
      <c r="K2695" s="5">
        <v>0.20291547525267817</v>
      </c>
      <c r="L2695" s="10">
        <v>1688227.1333000001</v>
      </c>
    </row>
    <row r="2696" spans="1:12" x14ac:dyDescent="0.25">
      <c r="A2696">
        <v>2695</v>
      </c>
      <c r="B2696" s="3">
        <v>0.12580766995248757</v>
      </c>
      <c r="C2696" s="3">
        <v>6.1305375217278441E-2</v>
      </c>
      <c r="D2696" s="1">
        <v>235727.25304422024</v>
      </c>
      <c r="E2696" s="1">
        <v>7554143</v>
      </c>
      <c r="F2696" s="1">
        <v>33602109</v>
      </c>
      <c r="G2696" s="16">
        <v>41555.344714290557</v>
      </c>
      <c r="H2696">
        <v>160.22999999999999</v>
      </c>
      <c r="I2696" s="1">
        <v>473.5</v>
      </c>
      <c r="J2696" s="16">
        <v>277282.59775851079</v>
      </c>
      <c r="K2696" s="5">
        <v>6.622105622605276E-2</v>
      </c>
      <c r="L2696" s="10">
        <v>248848.76240000001</v>
      </c>
    </row>
    <row r="2697" spans="1:12" x14ac:dyDescent="0.25">
      <c r="A2697">
        <v>2696</v>
      </c>
      <c r="B2697" s="3">
        <v>0.11361869143815775</v>
      </c>
      <c r="C2697" s="3">
        <v>6.8440477768145894E-2</v>
      </c>
      <c r="D2697" s="1">
        <v>221251.26566266347</v>
      </c>
      <c r="E2697" s="1">
        <v>6708198</v>
      </c>
      <c r="F2697" s="1">
        <v>26188237</v>
      </c>
      <c r="G2697" s="16">
        <v>17360.98807290916</v>
      </c>
      <c r="H2697">
        <v>47.82</v>
      </c>
      <c r="I2697" s="1">
        <v>181.59</v>
      </c>
      <c r="J2697" s="16">
        <v>238612.25373557262</v>
      </c>
      <c r="K2697" s="5">
        <v>-6.0004688015420055E-2</v>
      </c>
      <c r="L2697" s="10">
        <v>-108527.01979999999</v>
      </c>
    </row>
    <row r="2698" spans="1:12" x14ac:dyDescent="0.25">
      <c r="A2698">
        <v>2697</v>
      </c>
      <c r="B2698" s="3">
        <v>0.12069880116370597</v>
      </c>
      <c r="C2698" s="3">
        <v>5.3803512221912472E-2</v>
      </c>
      <c r="D2698" s="1">
        <v>62699.137776433687</v>
      </c>
      <c r="E2698" s="1">
        <v>1517713</v>
      </c>
      <c r="F2698" s="1">
        <v>9134819</v>
      </c>
      <c r="G2698" s="16">
        <v>26849.704760943921</v>
      </c>
      <c r="H2698">
        <v>87.39</v>
      </c>
      <c r="I2698" s="1">
        <v>289.35999999999996</v>
      </c>
      <c r="J2698" s="16">
        <v>89548.842537377612</v>
      </c>
      <c r="K2698" s="5">
        <v>-4.4638651767091447E-2</v>
      </c>
      <c r="L2698" s="10">
        <v>-41182.389499999997</v>
      </c>
    </row>
    <row r="2699" spans="1:12" x14ac:dyDescent="0.25">
      <c r="A2699">
        <v>2698</v>
      </c>
      <c r="B2699" s="3">
        <v>0.20949200604924872</v>
      </c>
      <c r="C2699" s="3">
        <v>3.6232053278057508E-2</v>
      </c>
      <c r="D2699" s="1">
        <v>92771.240610891444</v>
      </c>
      <c r="E2699" s="1">
        <v>3514776</v>
      </c>
      <c r="F2699" s="1">
        <v>19988997</v>
      </c>
      <c r="G2699" s="16">
        <v>36929.512683089597</v>
      </c>
      <c r="H2699">
        <v>287.93</v>
      </c>
      <c r="I2699" s="1">
        <v>693.43000000000006</v>
      </c>
      <c r="J2699" s="16">
        <v>129700.75329398105</v>
      </c>
      <c r="K2699" s="5">
        <v>0.13998603143212524</v>
      </c>
      <c r="L2699" s="10">
        <v>421580.5307</v>
      </c>
    </row>
    <row r="2700" spans="1:12" x14ac:dyDescent="0.25">
      <c r="A2700">
        <v>2699</v>
      </c>
      <c r="B2700" s="3">
        <v>0.12097985940807482</v>
      </c>
      <c r="C2700" s="3">
        <v>6.955874058552855E-2</v>
      </c>
      <c r="D2700" s="1">
        <v>143598.94067353464</v>
      </c>
      <c r="E2700" s="1">
        <v>4501515</v>
      </c>
      <c r="F2700" s="1">
        <v>27477426</v>
      </c>
      <c r="G2700" s="16">
        <v>80285.291016260628</v>
      </c>
      <c r="H2700">
        <v>339.03</v>
      </c>
      <c r="I2700" s="1">
        <v>858.87999999999988</v>
      </c>
      <c r="J2700" s="16">
        <v>223884.23168979527</v>
      </c>
      <c r="K2700" s="5">
        <v>4.9742658018653255E-2</v>
      </c>
      <c r="L2700" s="10">
        <v>153661.73490000001</v>
      </c>
    </row>
    <row r="2701" spans="1:12" x14ac:dyDescent="0.25">
      <c r="A2701">
        <v>2700</v>
      </c>
      <c r="B2701" s="3">
        <v>0.21963572275401597</v>
      </c>
      <c r="C2701" s="3">
        <v>7.3550086008911261E-2</v>
      </c>
      <c r="D2701" s="1">
        <v>132482.75051003002</v>
      </c>
      <c r="E2701" s="1">
        <v>6686101</v>
      </c>
      <c r="F2701" s="1">
        <v>34149288</v>
      </c>
      <c r="G2701" s="16">
        <v>17055.115993390191</v>
      </c>
      <c r="H2701">
        <v>113.72</v>
      </c>
      <c r="I2701" s="1">
        <v>295.32000000000005</v>
      </c>
      <c r="J2701" s="16">
        <v>149537.8665034202</v>
      </c>
      <c r="K2701" s="5">
        <v>0.27221859704051093</v>
      </c>
      <c r="L2701" s="10">
        <v>370070.98220000003</v>
      </c>
    </row>
    <row r="2702" spans="1:12" x14ac:dyDescent="0.25">
      <c r="A2702">
        <v>2701</v>
      </c>
      <c r="B2702" s="3">
        <v>0.24515800138681443</v>
      </c>
      <c r="C2702" s="3">
        <v>6.1167236519295939E-2</v>
      </c>
      <c r="D2702" s="1">
        <v>83660.484404879739</v>
      </c>
      <c r="E2702" s="1">
        <v>3640451</v>
      </c>
      <c r="F2702" s="1">
        <v>19817722</v>
      </c>
      <c r="G2702" s="16">
        <v>14023.50303702468</v>
      </c>
      <c r="H2702">
        <v>151.22999999999999</v>
      </c>
      <c r="I2702" s="1">
        <v>451.27</v>
      </c>
      <c r="J2702" s="16">
        <v>97683.987441904421</v>
      </c>
      <c r="K2702" s="5">
        <v>-4.7308446439614737E-2</v>
      </c>
      <c r="L2702" s="10">
        <v>-41083.471299999997</v>
      </c>
    </row>
    <row r="2703" spans="1:12" x14ac:dyDescent="0.25">
      <c r="A2703">
        <v>2702</v>
      </c>
      <c r="B2703" s="3">
        <v>0.19721347875322925</v>
      </c>
      <c r="C2703" s="3">
        <v>7.8229933718252875E-2</v>
      </c>
      <c r="D2703" s="1">
        <v>112589.90065563045</v>
      </c>
      <c r="E2703" s="1">
        <v>5073442</v>
      </c>
      <c r="F2703" s="1">
        <v>30972107</v>
      </c>
      <c r="G2703" s="16">
        <v>28366.79420254775</v>
      </c>
      <c r="H2703">
        <v>198.62</v>
      </c>
      <c r="I2703" s="1">
        <v>641.76</v>
      </c>
      <c r="J2703" s="16">
        <v>140956.69485817821</v>
      </c>
      <c r="K2703" s="5">
        <v>0.2062149960766694</v>
      </c>
      <c r="L2703" s="10">
        <v>269466.2512</v>
      </c>
    </row>
    <row r="2704" spans="1:12" x14ac:dyDescent="0.25">
      <c r="A2704">
        <v>2703</v>
      </c>
      <c r="B2704" s="3">
        <v>0.20773727480215171</v>
      </c>
      <c r="C2704" s="3">
        <v>5.4301866573508384E-2</v>
      </c>
      <c r="D2704" s="1">
        <v>82623.114373843418</v>
      </c>
      <c r="E2704" s="1">
        <v>3924888</v>
      </c>
      <c r="F2704" s="1">
        <v>30173229</v>
      </c>
      <c r="G2704" s="16">
        <v>11917.903774452074</v>
      </c>
      <c r="H2704">
        <v>57.48</v>
      </c>
      <c r="I2704" s="1">
        <v>187.48999999999998</v>
      </c>
      <c r="J2704" s="16">
        <v>94541.018148295494</v>
      </c>
      <c r="K2704" s="5">
        <v>-9.165116233769352E-3</v>
      </c>
      <c r="L2704" s="10">
        <v>-1726.8769</v>
      </c>
    </row>
    <row r="2705" spans="1:12" x14ac:dyDescent="0.25">
      <c r="A2705">
        <v>2704</v>
      </c>
      <c r="B2705" s="3">
        <v>0.2125681895998458</v>
      </c>
      <c r="C2705" s="3">
        <v>2.0138777999778413E-2</v>
      </c>
      <c r="D2705" s="1">
        <v>64334.973483062553</v>
      </c>
      <c r="E2705" s="1">
        <v>2466106</v>
      </c>
      <c r="F2705" s="1">
        <v>13655688</v>
      </c>
      <c r="G2705" s="16">
        <v>45545.475245935042</v>
      </c>
      <c r="H2705">
        <v>463.21</v>
      </c>
      <c r="I2705" s="1">
        <v>1254.1199999999999</v>
      </c>
      <c r="J2705" s="16">
        <v>109880.4487289976</v>
      </c>
      <c r="K2705" s="5">
        <v>0.12320192407539139</v>
      </c>
      <c r="L2705" s="10">
        <v>619412.86109999998</v>
      </c>
    </row>
    <row r="2706" spans="1:12" x14ac:dyDescent="0.25">
      <c r="A2706">
        <v>2705</v>
      </c>
      <c r="B2706" s="3">
        <v>0.11882010353523018</v>
      </c>
      <c r="C2706" s="3">
        <v>6.3053777015925128E-2</v>
      </c>
      <c r="D2706" s="1">
        <v>114570.46087379829</v>
      </c>
      <c r="E2706" s="1">
        <v>3133876</v>
      </c>
      <c r="F2706" s="1">
        <v>16972450</v>
      </c>
      <c r="G2706" s="16">
        <v>50378.992671269858</v>
      </c>
      <c r="H2706">
        <v>183.84</v>
      </c>
      <c r="I2706" s="1">
        <v>591.31000000000006</v>
      </c>
      <c r="J2706" s="16">
        <v>164949.45354506816</v>
      </c>
      <c r="K2706" s="5">
        <v>1.5952071219043448E-2</v>
      </c>
      <c r="L2706" s="10">
        <v>34657.0026</v>
      </c>
    </row>
    <row r="2707" spans="1:12" x14ac:dyDescent="0.25">
      <c r="A2707">
        <v>2706</v>
      </c>
      <c r="B2707" s="3">
        <v>0.17940898540724595</v>
      </c>
      <c r="C2707" s="3">
        <v>2.3389784788688722E-2</v>
      </c>
      <c r="D2707" s="1">
        <v>108453.46542803678</v>
      </c>
      <c r="E2707" s="1">
        <v>4476503</v>
      </c>
      <c r="F2707" s="1">
        <v>22568675</v>
      </c>
      <c r="G2707" s="16">
        <v>29061.980523436403</v>
      </c>
      <c r="H2707">
        <v>174.46</v>
      </c>
      <c r="I2707" s="1">
        <v>445.94999999999993</v>
      </c>
      <c r="J2707" s="16">
        <v>137515.4459514732</v>
      </c>
      <c r="K2707" s="5">
        <v>0.22400430420745443</v>
      </c>
      <c r="L2707" s="10">
        <v>1176862.1061</v>
      </c>
    </row>
    <row r="2708" spans="1:12" x14ac:dyDescent="0.25">
      <c r="A2708">
        <v>2707</v>
      </c>
      <c r="B2708" s="3">
        <v>0.10096527065793093</v>
      </c>
      <c r="C2708" s="3">
        <v>5.3628611764906034E-2</v>
      </c>
      <c r="D2708" s="1">
        <v>236170.71600851484</v>
      </c>
      <c r="E2708" s="1">
        <v>6765855</v>
      </c>
      <c r="F2708" s="1">
        <v>28484007</v>
      </c>
      <c r="G2708" s="16">
        <v>43792.210817026426</v>
      </c>
      <c r="H2708">
        <v>138.9</v>
      </c>
      <c r="I2708" s="1">
        <v>437.46000000000004</v>
      </c>
      <c r="J2708" s="16">
        <v>279962.92682554125</v>
      </c>
      <c r="K2708" s="5">
        <v>6.2485021659343339E-2</v>
      </c>
      <c r="L2708" s="10">
        <v>267167.67729999998</v>
      </c>
    </row>
    <row r="2709" spans="1:12" x14ac:dyDescent="0.25">
      <c r="A2709">
        <v>2708</v>
      </c>
      <c r="B2709" s="3">
        <v>0.22326498525228136</v>
      </c>
      <c r="C2709" s="3">
        <v>4.8324545609957685E-2</v>
      </c>
      <c r="D2709" s="1">
        <v>152131.39115497432</v>
      </c>
      <c r="E2709" s="1">
        <v>7822221</v>
      </c>
      <c r="F2709" s="1">
        <v>42156829</v>
      </c>
      <c r="G2709" s="16">
        <v>3412.0661841077463</v>
      </c>
      <c r="H2709">
        <v>18.16</v>
      </c>
      <c r="I2709" s="1">
        <v>105.91</v>
      </c>
      <c r="J2709" s="16">
        <v>155543.45733908206</v>
      </c>
      <c r="K2709" s="5">
        <v>8.8279800881329182E-2</v>
      </c>
      <c r="L2709" s="10">
        <v>258350.43179999999</v>
      </c>
    </row>
    <row r="2710" spans="1:12" x14ac:dyDescent="0.25">
      <c r="A2710">
        <v>2709</v>
      </c>
      <c r="B2710" s="3">
        <v>0.11034127737559124</v>
      </c>
      <c r="C2710" s="3">
        <v>5.9379223593165081E-2</v>
      </c>
      <c r="D2710" s="1">
        <v>251942.97828543186</v>
      </c>
      <c r="E2710" s="1">
        <v>7526811</v>
      </c>
      <c r="F2710" s="1">
        <v>23965322</v>
      </c>
      <c r="G2710" s="16">
        <v>19435.243210713292</v>
      </c>
      <c r="H2710">
        <v>58.99</v>
      </c>
      <c r="I2710" s="1">
        <v>212.24</v>
      </c>
      <c r="J2710" s="16">
        <v>271378.22149614512</v>
      </c>
      <c r="K2710" s="5">
        <v>1.0013629862454541E-2</v>
      </c>
      <c r="L2710" s="10">
        <v>52555.0141</v>
      </c>
    </row>
    <row r="2711" spans="1:12" x14ac:dyDescent="0.25">
      <c r="A2711">
        <v>2710</v>
      </c>
      <c r="B2711" s="3">
        <v>0.13329292947130628</v>
      </c>
      <c r="C2711" s="3">
        <v>6.5573552644602184E-2</v>
      </c>
      <c r="D2711" s="1">
        <v>465610.33156423178</v>
      </c>
      <c r="E2711" s="1">
        <v>17818202</v>
      </c>
      <c r="F2711" s="1">
        <v>61618578</v>
      </c>
      <c r="G2711" s="16">
        <v>14200.766572361439</v>
      </c>
      <c r="H2711">
        <v>50.45</v>
      </c>
      <c r="I2711" s="1">
        <v>212.51999999999998</v>
      </c>
      <c r="J2711" s="16">
        <v>479811.09813659324</v>
      </c>
      <c r="K2711" s="5">
        <v>0.11187442925821266</v>
      </c>
      <c r="L2711" s="10">
        <v>544339.37760000001</v>
      </c>
    </row>
    <row r="2712" spans="1:12" x14ac:dyDescent="0.25">
      <c r="A2712">
        <v>2711</v>
      </c>
      <c r="B2712" s="3">
        <v>0.17782953877035673</v>
      </c>
      <c r="C2712" s="3">
        <v>7.2524094952273285E-2</v>
      </c>
      <c r="D2712" s="1">
        <v>115659.15379273324</v>
      </c>
      <c r="E2712" s="1">
        <v>3894911</v>
      </c>
      <c r="F2712" s="1">
        <v>20197934</v>
      </c>
      <c r="G2712" s="16">
        <v>20874.103658432963</v>
      </c>
      <c r="H2712">
        <v>123.7</v>
      </c>
      <c r="I2712" s="1">
        <v>389.97999999999996</v>
      </c>
      <c r="J2712" s="16">
        <v>136533.2574511662</v>
      </c>
      <c r="K2712" s="5">
        <v>0.20996761442666761</v>
      </c>
      <c r="L2712" s="10">
        <v>288677.72450000001</v>
      </c>
    </row>
    <row r="2713" spans="1:12" x14ac:dyDescent="0.25">
      <c r="A2713">
        <v>2712</v>
      </c>
      <c r="B2713" s="3">
        <v>0.15742918083183155</v>
      </c>
      <c r="C2713" s="3">
        <v>2.8647487051877224E-2</v>
      </c>
      <c r="D2713" s="1">
        <v>181450.38216159481</v>
      </c>
      <c r="E2713" s="1">
        <v>6738062</v>
      </c>
      <c r="F2713" s="1">
        <v>28301782</v>
      </c>
      <c r="G2713" s="16">
        <v>22663.608655134554</v>
      </c>
      <c r="H2713">
        <v>95.37</v>
      </c>
      <c r="I2713" s="1">
        <v>269.10000000000002</v>
      </c>
      <c r="J2713" s="16">
        <v>204113.99081672938</v>
      </c>
      <c r="K2713" s="5">
        <v>0.32791423742941928</v>
      </c>
      <c r="L2713" s="10">
        <v>1969344.1059999999</v>
      </c>
    </row>
    <row r="2714" spans="1:12" x14ac:dyDescent="0.25">
      <c r="A2714">
        <v>2713</v>
      </c>
      <c r="B2714" s="3">
        <v>0.10587605193538208</v>
      </c>
      <c r="C2714" s="3">
        <v>2.8107309466194157E-2</v>
      </c>
      <c r="D2714" s="1">
        <v>93816.612071933618</v>
      </c>
      <c r="E2714" s="1">
        <v>2456345</v>
      </c>
      <c r="F2714" s="1">
        <v>13746897</v>
      </c>
      <c r="G2714" s="16">
        <v>26830.625234086347</v>
      </c>
      <c r="H2714">
        <v>88.3</v>
      </c>
      <c r="I2714" s="1">
        <v>390.3</v>
      </c>
      <c r="J2714" s="16">
        <v>120647.23730601996</v>
      </c>
      <c r="K2714" s="5">
        <v>7.6357137765209346E-2</v>
      </c>
      <c r="L2714" s="10">
        <v>287920.72080000001</v>
      </c>
    </row>
    <row r="2715" spans="1:12" x14ac:dyDescent="0.25">
      <c r="A2715">
        <v>2714</v>
      </c>
      <c r="B2715" s="3">
        <v>0.15573514062210486</v>
      </c>
      <c r="C2715" s="3">
        <v>6.1600837788028162E-2</v>
      </c>
      <c r="D2715" s="1">
        <v>428170.87754134036</v>
      </c>
      <c r="E2715" s="1">
        <v>18682142</v>
      </c>
      <c r="F2715" s="1">
        <v>56128198</v>
      </c>
      <c r="G2715" s="16">
        <v>34161.289572317328</v>
      </c>
      <c r="H2715">
        <v>168.27</v>
      </c>
      <c r="I2715" s="1">
        <v>636.78</v>
      </c>
      <c r="J2715" s="16">
        <v>462332.16711365769</v>
      </c>
      <c r="K2715" s="5">
        <v>0.20148415143803619</v>
      </c>
      <c r="L2715" s="10">
        <v>980315.56469999999</v>
      </c>
    </row>
    <row r="2716" spans="1:12" x14ac:dyDescent="0.25">
      <c r="A2716">
        <v>2715</v>
      </c>
      <c r="B2716" s="3">
        <v>0.19906793864656477</v>
      </c>
      <c r="C2716" s="3">
        <v>7.2266989938901974E-2</v>
      </c>
      <c r="D2716" s="1">
        <v>204190.92556536003</v>
      </c>
      <c r="E2716" s="1">
        <v>9286599</v>
      </c>
      <c r="F2716" s="1">
        <v>41804112</v>
      </c>
      <c r="G2716" s="16">
        <v>41946.456006485627</v>
      </c>
      <c r="H2716">
        <v>372.98</v>
      </c>
      <c r="I2716" s="1">
        <v>1113.3600000000001</v>
      </c>
      <c r="J2716" s="16">
        <v>246137.38157184565</v>
      </c>
      <c r="K2716" s="5">
        <v>-2.8038094002257704E-2</v>
      </c>
      <c r="L2716" s="10">
        <v>-21546.4457</v>
      </c>
    </row>
    <row r="2717" spans="1:12" x14ac:dyDescent="0.25">
      <c r="A2717">
        <v>2716</v>
      </c>
      <c r="B2717" s="3">
        <v>0.15337455566554664</v>
      </c>
      <c r="C2717" s="3">
        <v>6.1502352369647698E-2</v>
      </c>
      <c r="D2717" s="1">
        <v>220437.99058838183</v>
      </c>
      <c r="E2717" s="1">
        <v>8030146</v>
      </c>
      <c r="F2717" s="1">
        <v>29631890</v>
      </c>
      <c r="G2717" s="16">
        <v>16213.514061703519</v>
      </c>
      <c r="H2717">
        <v>66.37</v>
      </c>
      <c r="I2717" s="1">
        <v>210.5</v>
      </c>
      <c r="J2717" s="16">
        <v>236651.50465008535</v>
      </c>
      <c r="K2717" s="5">
        <v>-8.8665122653912826E-2</v>
      </c>
      <c r="L2717" s="10">
        <v>-198647.42869999999</v>
      </c>
    </row>
    <row r="2718" spans="1:12" x14ac:dyDescent="0.25">
      <c r="A2718">
        <v>2717</v>
      </c>
      <c r="B2718" s="3">
        <v>0.20994364799443016</v>
      </c>
      <c r="C2718" s="3">
        <v>3.106720717594693E-2</v>
      </c>
      <c r="D2718" s="1">
        <v>183254.66940391812</v>
      </c>
      <c r="E2718" s="1">
        <v>8802890</v>
      </c>
      <c r="F2718" s="1">
        <v>32369316</v>
      </c>
      <c r="G2718" s="16">
        <v>19062.717784376873</v>
      </c>
      <c r="H2718">
        <v>149.41999999999999</v>
      </c>
      <c r="I2718" s="1">
        <v>471.79999999999995</v>
      </c>
      <c r="J2718" s="16">
        <v>202317.38718829499</v>
      </c>
      <c r="K2718" s="5">
        <v>3.7434216416486817E-2</v>
      </c>
      <c r="L2718" s="10">
        <v>207094.60089999999</v>
      </c>
    </row>
    <row r="2719" spans="1:12" x14ac:dyDescent="0.25">
      <c r="A2719">
        <v>2718</v>
      </c>
      <c r="B2719" s="3">
        <v>0.20624338281811594</v>
      </c>
      <c r="C2719" s="3">
        <v>5.1121271453340597E-2</v>
      </c>
      <c r="D2719" s="1">
        <v>251600.76997757039</v>
      </c>
      <c r="E2719" s="1">
        <v>11862201</v>
      </c>
      <c r="F2719" s="1">
        <v>41272663</v>
      </c>
      <c r="G2719" s="16">
        <v>35682.170332344023</v>
      </c>
      <c r="H2719">
        <v>270.72000000000003</v>
      </c>
      <c r="I2719" s="1">
        <v>752.33</v>
      </c>
      <c r="J2719" s="16">
        <v>287282.94030991441</v>
      </c>
      <c r="K2719" s="5">
        <v>0.16151530703574704</v>
      </c>
      <c r="L2719" s="10">
        <v>655018.50439999998</v>
      </c>
    </row>
    <row r="2720" spans="1:12" x14ac:dyDescent="0.25">
      <c r="A2720">
        <v>2719</v>
      </c>
      <c r="B2720" s="3">
        <v>0.17848353971281933</v>
      </c>
      <c r="C2720" s="3">
        <v>7.804837192091324E-2</v>
      </c>
      <c r="D2720" s="1">
        <v>142307.85488620508</v>
      </c>
      <c r="E2720" s="1">
        <v>5847451</v>
      </c>
      <c r="F2720" s="1">
        <v>25469237</v>
      </c>
      <c r="G2720" s="16">
        <v>9674.0845329466629</v>
      </c>
      <c r="H2720">
        <v>47.36</v>
      </c>
      <c r="I2720" s="1">
        <v>230.04000000000002</v>
      </c>
      <c r="J2720" s="16">
        <v>151981.93941915175</v>
      </c>
      <c r="K2720" s="5">
        <v>0.14209384345604356</v>
      </c>
      <c r="L2720" s="10">
        <v>175295.71030000001</v>
      </c>
    </row>
    <row r="2721" spans="1:12" x14ac:dyDescent="0.25">
      <c r="A2721">
        <v>2720</v>
      </c>
      <c r="B2721" s="3">
        <v>0.17314435170414433</v>
      </c>
      <c r="C2721" s="3">
        <v>7.0029050264590845E-2</v>
      </c>
      <c r="D2721" s="1">
        <v>76397.316730116203</v>
      </c>
      <c r="E2721" s="1">
        <v>2529250</v>
      </c>
      <c r="F2721" s="1">
        <v>12114767</v>
      </c>
      <c r="G2721" s="16">
        <v>11440.648884115992</v>
      </c>
      <c r="H2721">
        <v>53.85</v>
      </c>
      <c r="I2721" s="1">
        <v>213.25</v>
      </c>
      <c r="J2721" s="16">
        <v>87837.965614232191</v>
      </c>
      <c r="K2721" s="5">
        <v>0.1418514297363711</v>
      </c>
      <c r="L2721" s="10">
        <v>129424.1347</v>
      </c>
    </row>
    <row r="2722" spans="1:12" x14ac:dyDescent="0.25">
      <c r="A2722">
        <v>2721</v>
      </c>
      <c r="B2722" s="3">
        <v>0.20517515823816712</v>
      </c>
      <c r="C2722" s="3">
        <v>4.9595157935839906E-2</v>
      </c>
      <c r="D2722" s="1">
        <v>145019.52342546618</v>
      </c>
      <c r="E2722" s="1">
        <v>5405244</v>
      </c>
      <c r="F2722" s="1">
        <v>18965304</v>
      </c>
      <c r="G2722" s="16">
        <v>32809.507483626221</v>
      </c>
      <c r="H2722">
        <v>309.74</v>
      </c>
      <c r="I2722" s="1">
        <v>905.01</v>
      </c>
      <c r="J2722" s="16">
        <v>177829.0309090924</v>
      </c>
      <c r="K2722" s="5">
        <v>9.7740124959578345E-2</v>
      </c>
      <c r="L2722" s="10">
        <v>245213.5183</v>
      </c>
    </row>
    <row r="2723" spans="1:12" x14ac:dyDescent="0.25">
      <c r="A2723">
        <v>2722</v>
      </c>
      <c r="B2723" s="3">
        <v>0.19765879975895145</v>
      </c>
      <c r="C2723" s="3">
        <v>7.6596374818619889E-2</v>
      </c>
      <c r="D2723" s="1">
        <v>140085.10769078648</v>
      </c>
      <c r="E2723" s="1">
        <v>6326426</v>
      </c>
      <c r="F2723" s="1">
        <v>23174975</v>
      </c>
      <c r="G2723" s="16">
        <v>30228.66743052427</v>
      </c>
      <c r="H2723">
        <v>212.14</v>
      </c>
      <c r="I2723" s="1">
        <v>545.28</v>
      </c>
      <c r="J2723" s="16">
        <v>170313.77512131075</v>
      </c>
      <c r="K2723" s="5">
        <v>9.6988021392336726E-2</v>
      </c>
      <c r="L2723" s="10">
        <v>154412.47750000001</v>
      </c>
    </row>
    <row r="2724" spans="1:12" x14ac:dyDescent="0.25">
      <c r="A2724">
        <v>2723</v>
      </c>
      <c r="B2724" s="3">
        <v>0.10119938013332357</v>
      </c>
      <c r="C2724" s="3">
        <v>6.4310516500739184E-2</v>
      </c>
      <c r="D2724" s="1">
        <v>154914.60873410021</v>
      </c>
      <c r="E2724" s="1">
        <v>3993056</v>
      </c>
      <c r="F2724" s="1">
        <v>18880451</v>
      </c>
      <c r="G2724" s="16">
        <v>45659.1894420752</v>
      </c>
      <c r="H2724">
        <v>144.91999999999999</v>
      </c>
      <c r="I2724" s="1">
        <v>454.26</v>
      </c>
      <c r="J2724" s="16">
        <v>200573.79817617542</v>
      </c>
      <c r="K2724" s="5">
        <v>9.2638104100335697E-2</v>
      </c>
      <c r="L2724" s="10">
        <v>211075.8627</v>
      </c>
    </row>
    <row r="2725" spans="1:12" x14ac:dyDescent="0.25">
      <c r="A2725">
        <v>2724</v>
      </c>
      <c r="B2725" s="3">
        <v>0.17232979196614029</v>
      </c>
      <c r="C2725" s="3">
        <v>3.5817614361153369E-2</v>
      </c>
      <c r="D2725" s="1">
        <v>200593.08042970466</v>
      </c>
      <c r="E2725" s="1">
        <v>7999992</v>
      </c>
      <c r="F2725" s="1">
        <v>29055633</v>
      </c>
      <c r="G2725" s="16">
        <v>21265.32947060468</v>
      </c>
      <c r="H2725">
        <v>99.66</v>
      </c>
      <c r="I2725" s="1">
        <v>293.71000000000004</v>
      </c>
      <c r="J2725" s="16">
        <v>221858.40990030934</v>
      </c>
      <c r="K2725" s="5">
        <v>0.18707030966958932</v>
      </c>
      <c r="L2725" s="10">
        <v>933726.67420000001</v>
      </c>
    </row>
    <row r="2726" spans="1:12" x14ac:dyDescent="0.25">
      <c r="A2726">
        <v>2725</v>
      </c>
      <c r="B2726" s="3">
        <v>0.17153395493775364</v>
      </c>
      <c r="C2726" s="3">
        <v>3.6397477766075326E-2</v>
      </c>
      <c r="D2726" s="1">
        <v>266179.84806874854</v>
      </c>
      <c r="E2726" s="1">
        <v>10574978</v>
      </c>
      <c r="F2726" s="1">
        <v>38379362</v>
      </c>
      <c r="G2726" s="16">
        <v>55713.008066771341</v>
      </c>
      <c r="H2726">
        <v>377.88</v>
      </c>
      <c r="I2726" s="1">
        <v>1041.0900000000001</v>
      </c>
      <c r="J2726" s="16">
        <v>321892.85613551986</v>
      </c>
      <c r="K2726" s="5">
        <v>0.18807175745081936</v>
      </c>
      <c r="L2726" s="10">
        <v>1350582.6823</v>
      </c>
    </row>
    <row r="2727" spans="1:12" x14ac:dyDescent="0.25">
      <c r="A2727">
        <v>2726</v>
      </c>
      <c r="B2727" s="3">
        <v>0.16485337720019155</v>
      </c>
      <c r="C2727" s="3">
        <v>4.322188115481243E-2</v>
      </c>
      <c r="D2727" s="1">
        <v>147639.47692899438</v>
      </c>
      <c r="E2727" s="1">
        <v>5680079</v>
      </c>
      <c r="F2727" s="1">
        <v>28459211</v>
      </c>
      <c r="G2727" s="16">
        <v>30686.680347294532</v>
      </c>
      <c r="H2727">
        <v>162.88999999999999</v>
      </c>
      <c r="I2727" s="1">
        <v>626.12</v>
      </c>
      <c r="J2727" s="16">
        <v>178326.1572762889</v>
      </c>
      <c r="K2727" s="5">
        <v>7.0394681302530598E-2</v>
      </c>
      <c r="L2727" s="10">
        <v>238287.99</v>
      </c>
    </row>
    <row r="2728" spans="1:12" x14ac:dyDescent="0.25">
      <c r="A2728">
        <v>2727</v>
      </c>
      <c r="B2728" s="3">
        <v>0.22671444144396732</v>
      </c>
      <c r="C2728" s="3">
        <v>4.7279627535151969E-2</v>
      </c>
      <c r="D2728" s="1">
        <v>103467.96188585156</v>
      </c>
      <c r="E2728" s="1">
        <v>5415638</v>
      </c>
      <c r="F2728" s="1">
        <v>25413819</v>
      </c>
      <c r="G2728" s="16">
        <v>11205.774415592605</v>
      </c>
      <c r="H2728">
        <v>61.04</v>
      </c>
      <c r="I2728" s="1">
        <v>179.98</v>
      </c>
      <c r="J2728" s="16">
        <v>114673.73630144417</v>
      </c>
      <c r="K2728" s="5">
        <v>0.11639218611188033</v>
      </c>
      <c r="L2728" s="10">
        <v>234407.07800000001</v>
      </c>
    </row>
    <row r="2729" spans="1:12" x14ac:dyDescent="0.25">
      <c r="A2729">
        <v>2728</v>
      </c>
      <c r="B2729" s="3">
        <v>0.11827246553379168</v>
      </c>
      <c r="C2729" s="3">
        <v>7.8757903155850045E-2</v>
      </c>
      <c r="D2729" s="1">
        <v>87428.952505606954</v>
      </c>
      <c r="E2729" s="1">
        <v>2387015</v>
      </c>
      <c r="F2729" s="1">
        <v>16153581</v>
      </c>
      <c r="G2729" s="16">
        <v>41298.403310247748</v>
      </c>
      <c r="H2729">
        <v>131.96</v>
      </c>
      <c r="I2729" s="1">
        <v>353.96000000000004</v>
      </c>
      <c r="J2729" s="16">
        <v>128727.35581585471</v>
      </c>
      <c r="K2729" s="5">
        <v>0.1084204960508738</v>
      </c>
      <c r="L2729" s="10">
        <v>113946.96090000001</v>
      </c>
    </row>
    <row r="2730" spans="1:12" x14ac:dyDescent="0.25">
      <c r="A2730">
        <v>2729</v>
      </c>
      <c r="B2730" s="3">
        <v>0.22975276885823037</v>
      </c>
      <c r="C2730" s="3">
        <v>3.2385701477795278E-2</v>
      </c>
      <c r="D2730" s="1">
        <v>135271.94048840771</v>
      </c>
      <c r="E2730" s="1">
        <v>7192667</v>
      </c>
      <c r="F2730" s="1">
        <v>29322293</v>
      </c>
      <c r="G2730" s="16">
        <v>12587.281755268588</v>
      </c>
      <c r="H2730">
        <v>69.98</v>
      </c>
      <c r="I2730" s="1">
        <v>184.54000000000002</v>
      </c>
      <c r="J2730" s="16">
        <v>147859.22224367631</v>
      </c>
      <c r="K2730" s="5">
        <v>0.17204945990461756</v>
      </c>
      <c r="L2730" s="10">
        <v>695706.77509999997</v>
      </c>
    </row>
    <row r="2731" spans="1:12" x14ac:dyDescent="0.25">
      <c r="A2731">
        <v>2730</v>
      </c>
      <c r="B2731" s="3">
        <v>0.22593034700676665</v>
      </c>
      <c r="C2731" s="3">
        <v>3.3329796096735129E-2</v>
      </c>
      <c r="D2731" s="1">
        <v>256588.78492533966</v>
      </c>
      <c r="E2731" s="1">
        <v>17279866</v>
      </c>
      <c r="F2731" s="1">
        <v>52053786</v>
      </c>
      <c r="G2731" s="16">
        <v>11512.37619274566</v>
      </c>
      <c r="H2731">
        <v>103.97</v>
      </c>
      <c r="I2731" s="1">
        <v>416.6</v>
      </c>
      <c r="J2731" s="16">
        <v>268101.16111808532</v>
      </c>
      <c r="K2731" s="5">
        <v>7.387805203534914E-2</v>
      </c>
      <c r="L2731" s="10">
        <v>520827.06270000001</v>
      </c>
    </row>
    <row r="2732" spans="1:12" x14ac:dyDescent="0.25">
      <c r="A2732">
        <v>2731</v>
      </c>
      <c r="B2732" s="3">
        <v>0.17938487177229456</v>
      </c>
      <c r="C2732" s="3">
        <v>4.087272901435679E-2</v>
      </c>
      <c r="D2732" s="1">
        <v>487235.65521683078</v>
      </c>
      <c r="E2732" s="1">
        <v>24504420</v>
      </c>
      <c r="F2732" s="1">
        <v>70413268</v>
      </c>
      <c r="G2732" s="16">
        <v>13754.938882604769</v>
      </c>
      <c r="H2732">
        <v>67.739999999999995</v>
      </c>
      <c r="I2732" s="1">
        <v>236.73000000000002</v>
      </c>
      <c r="J2732" s="16">
        <v>500990.59409943555</v>
      </c>
      <c r="K2732" s="5">
        <v>0.23380444809576872</v>
      </c>
      <c r="L2732" s="10">
        <v>2170699.8292999999</v>
      </c>
    </row>
    <row r="2733" spans="1:12" x14ac:dyDescent="0.25">
      <c r="A2733">
        <v>2732</v>
      </c>
      <c r="B2733" s="3">
        <v>0.13438629039770528</v>
      </c>
      <c r="C2733" s="3">
        <v>5.0660066649502095E-2</v>
      </c>
      <c r="D2733" s="1">
        <v>113064.27372643504</v>
      </c>
      <c r="E2733" s="1">
        <v>3262533</v>
      </c>
      <c r="F2733" s="1">
        <v>14448056</v>
      </c>
      <c r="G2733" s="16">
        <v>55321.357752506621</v>
      </c>
      <c r="H2733">
        <v>228.7</v>
      </c>
      <c r="I2733" s="1">
        <v>577.01</v>
      </c>
      <c r="J2733" s="16">
        <v>168385.63147894165</v>
      </c>
      <c r="K2733" s="5">
        <v>6.4593343409149989E-2</v>
      </c>
      <c r="L2733" s="10">
        <v>148618.69699999999</v>
      </c>
    </row>
    <row r="2734" spans="1:12" x14ac:dyDescent="0.25">
      <c r="A2734">
        <v>2733</v>
      </c>
      <c r="B2734" s="3">
        <v>0.23811568246657971</v>
      </c>
      <c r="C2734" s="3">
        <v>7.444111615030001E-2</v>
      </c>
      <c r="D2734" s="1">
        <v>118360.74613974988</v>
      </c>
      <c r="E2734" s="1">
        <v>6574376</v>
      </c>
      <c r="F2734" s="1">
        <v>31896716</v>
      </c>
      <c r="G2734" s="16">
        <v>7032.9123999692456</v>
      </c>
      <c r="H2734">
        <v>54.16</v>
      </c>
      <c r="I2734" s="1">
        <v>216.64</v>
      </c>
      <c r="J2734" s="16">
        <v>125393.65853971912</v>
      </c>
      <c r="K2734" s="5">
        <v>0.15676521212189462</v>
      </c>
      <c r="L2734" s="10">
        <v>207495.19510000001</v>
      </c>
    </row>
    <row r="2735" spans="1:12" x14ac:dyDescent="0.25">
      <c r="A2735">
        <v>2734</v>
      </c>
      <c r="B2735" s="3">
        <v>0.23559381312871561</v>
      </c>
      <c r="C2735" s="3">
        <v>7.5844748105634061E-2</v>
      </c>
      <c r="D2735" s="1">
        <v>57894.423737622943</v>
      </c>
      <c r="E2735" s="1">
        <v>2425862</v>
      </c>
      <c r="F2735" s="1">
        <v>11244716</v>
      </c>
      <c r="G2735" s="16">
        <v>13290.520904197349</v>
      </c>
      <c r="H2735">
        <v>131.25</v>
      </c>
      <c r="I2735" s="1">
        <v>400.78999999999996</v>
      </c>
      <c r="J2735" s="16">
        <v>71184.944641820286</v>
      </c>
      <c r="K2735" s="5">
        <v>2.7332360637008519E-2</v>
      </c>
      <c r="L2735" s="10">
        <v>31178.3207</v>
      </c>
    </row>
    <row r="2736" spans="1:12" x14ac:dyDescent="0.25">
      <c r="A2736">
        <v>2735</v>
      </c>
      <c r="B2736" s="3">
        <v>0.11456848933999934</v>
      </c>
      <c r="C2736" s="3">
        <v>5.9585974732029395E-2</v>
      </c>
      <c r="D2736" s="1">
        <v>165513.12432504268</v>
      </c>
      <c r="E2736" s="1">
        <v>5039828</v>
      </c>
      <c r="F2736" s="1">
        <v>21603965</v>
      </c>
      <c r="G2736" s="16">
        <v>21209.898809960843</v>
      </c>
      <c r="H2736">
        <v>66.099999999999994</v>
      </c>
      <c r="I2736" s="1">
        <v>291.17999999999995</v>
      </c>
      <c r="J2736" s="16">
        <v>186723.02313500352</v>
      </c>
      <c r="K2736" s="5">
        <v>-6.8327322992429822E-3</v>
      </c>
      <c r="L2736" s="10">
        <v>29520.241300000002</v>
      </c>
    </row>
    <row r="2737" spans="1:12" x14ac:dyDescent="0.25">
      <c r="A2737">
        <v>2736</v>
      </c>
      <c r="B2737" s="3">
        <v>0.18223254677839928</v>
      </c>
      <c r="C2737" s="3">
        <v>7.904545554876459E-2</v>
      </c>
      <c r="D2737" s="1">
        <v>107992.40995661856</v>
      </c>
      <c r="E2737" s="1">
        <v>3695789</v>
      </c>
      <c r="F2737" s="1">
        <v>14494365</v>
      </c>
      <c r="G2737" s="16">
        <v>14146.210216287394</v>
      </c>
      <c r="H2737">
        <v>71.06</v>
      </c>
      <c r="I2737" s="1">
        <v>208.57999999999998</v>
      </c>
      <c r="J2737" s="16">
        <v>122138.62017290595</v>
      </c>
      <c r="K2737" s="5">
        <v>-8.855618951607222E-2</v>
      </c>
      <c r="L2737" s="10">
        <v>-73225.819900000002</v>
      </c>
    </row>
    <row r="2738" spans="1:12" x14ac:dyDescent="0.25">
      <c r="A2738">
        <v>2737</v>
      </c>
      <c r="B2738" s="3">
        <v>0.14473330500211234</v>
      </c>
      <c r="C2738" s="3">
        <v>4.0459086024573661E-2</v>
      </c>
      <c r="D2738" s="1">
        <v>453705.39834409568</v>
      </c>
      <c r="E2738" s="1">
        <v>18555364</v>
      </c>
      <c r="F2738" s="1">
        <v>57736369</v>
      </c>
      <c r="G2738" s="16">
        <v>18374.499618623879</v>
      </c>
      <c r="H2738">
        <v>70.58</v>
      </c>
      <c r="I2738" s="1">
        <v>250.15000000000003</v>
      </c>
      <c r="J2738" s="16">
        <v>472079.89796271955</v>
      </c>
      <c r="K2738" s="5">
        <v>-2.8630532096489414E-3</v>
      </c>
      <c r="L2738" s="10">
        <v>-20031.5249</v>
      </c>
    </row>
    <row r="2739" spans="1:12" x14ac:dyDescent="0.25">
      <c r="A2739">
        <v>2738</v>
      </c>
      <c r="B2739" s="3">
        <v>0.20066629274494557</v>
      </c>
      <c r="C2739" s="3">
        <v>5.1863330141277142E-2</v>
      </c>
      <c r="D2739" s="1">
        <v>213462.09580934505</v>
      </c>
      <c r="E2739" s="1">
        <v>9786138</v>
      </c>
      <c r="F2739" s="1">
        <v>33451859</v>
      </c>
      <c r="G2739" s="16">
        <v>16494.800930690024</v>
      </c>
      <c r="H2739">
        <v>95.13</v>
      </c>
      <c r="I2739" s="1">
        <v>246.85000000000002</v>
      </c>
      <c r="J2739" s="16">
        <v>229956.89674003507</v>
      </c>
      <c r="K2739" s="5">
        <v>0.11870689951860897</v>
      </c>
      <c r="L2739" s="10">
        <v>374169.25270000001</v>
      </c>
    </row>
    <row r="2740" spans="1:12" x14ac:dyDescent="0.25">
      <c r="A2740">
        <v>2739</v>
      </c>
      <c r="B2740" s="3">
        <v>0.14978918662397714</v>
      </c>
      <c r="C2740" s="3">
        <v>5.364098526412657E-2</v>
      </c>
      <c r="D2740" s="1">
        <v>103295.09132882237</v>
      </c>
      <c r="E2740" s="1">
        <v>3145599</v>
      </c>
      <c r="F2740" s="1">
        <v>14326897</v>
      </c>
      <c r="G2740" s="16">
        <v>37155.98363647901</v>
      </c>
      <c r="H2740">
        <v>204.75</v>
      </c>
      <c r="I2740" s="1">
        <v>810.2</v>
      </c>
      <c r="J2740" s="16">
        <v>140451.07496530138</v>
      </c>
      <c r="K2740" s="5">
        <v>0.12396068944728683</v>
      </c>
      <c r="L2740" s="10">
        <v>252728.24950000001</v>
      </c>
    </row>
    <row r="2741" spans="1:12" x14ac:dyDescent="0.25">
      <c r="A2741">
        <v>2740</v>
      </c>
      <c r="B2741" s="3">
        <v>0.14539202056102724</v>
      </c>
      <c r="C2741" s="3">
        <v>3.3273837538527799E-2</v>
      </c>
      <c r="D2741" s="1">
        <v>108068.61281626765</v>
      </c>
      <c r="E2741" s="1">
        <v>3240422</v>
      </c>
      <c r="F2741" s="1">
        <v>17286599</v>
      </c>
      <c r="G2741" s="16">
        <v>17900.634328504257</v>
      </c>
      <c r="H2741">
        <v>69.09</v>
      </c>
      <c r="I2741" s="1">
        <v>240.54000000000002</v>
      </c>
      <c r="J2741" s="16">
        <v>125969.2471447719</v>
      </c>
      <c r="K2741" s="5">
        <v>0.17211826517400139</v>
      </c>
      <c r="L2741" s="10">
        <v>541563.12520000001</v>
      </c>
    </row>
    <row r="2742" spans="1:12" x14ac:dyDescent="0.25">
      <c r="A2742">
        <v>2741</v>
      </c>
      <c r="B2742" s="3">
        <v>0.10095323272944852</v>
      </c>
      <c r="C2742" s="3">
        <v>2.0850330029940304E-2</v>
      </c>
      <c r="D2742" s="1">
        <v>132447.38812077153</v>
      </c>
      <c r="E2742" s="1">
        <v>3794171</v>
      </c>
      <c r="F2742" s="1">
        <v>29298525</v>
      </c>
      <c r="G2742" s="16">
        <v>40255.358544834664</v>
      </c>
      <c r="H2742">
        <v>114.42</v>
      </c>
      <c r="I2742" s="1">
        <v>294.79000000000002</v>
      </c>
      <c r="J2742" s="16">
        <v>172702.74666560619</v>
      </c>
      <c r="K2742" s="5">
        <v>0.18315154306258119</v>
      </c>
      <c r="L2742" s="10">
        <v>1477803.4036999999</v>
      </c>
    </row>
    <row r="2743" spans="1:12" x14ac:dyDescent="0.25">
      <c r="A2743">
        <v>2742</v>
      </c>
      <c r="B2743" s="3">
        <v>0.17166842849688757</v>
      </c>
      <c r="C2743" s="3">
        <v>2.0689615386421806E-2</v>
      </c>
      <c r="D2743" s="1">
        <v>141720.91470210897</v>
      </c>
      <c r="E2743" s="1">
        <v>5634046</v>
      </c>
      <c r="F2743" s="1">
        <v>28539325</v>
      </c>
      <c r="G2743" s="16">
        <v>20504.701642874727</v>
      </c>
      <c r="H2743">
        <v>95.37</v>
      </c>
      <c r="I2743" s="1">
        <v>290.89</v>
      </c>
      <c r="J2743" s="16">
        <v>162225.61634498369</v>
      </c>
      <c r="K2743" s="5">
        <v>0.25244903955306952</v>
      </c>
      <c r="L2743" s="10">
        <v>1760474.807</v>
      </c>
    </row>
    <row r="2744" spans="1:12" x14ac:dyDescent="0.25">
      <c r="A2744">
        <v>2743</v>
      </c>
      <c r="B2744" s="3">
        <v>0.23096434008500091</v>
      </c>
      <c r="C2744" s="3">
        <v>6.2385535605813114E-2</v>
      </c>
      <c r="D2744" s="1">
        <v>115409.66892110773</v>
      </c>
      <c r="E2744" s="1">
        <v>4749038</v>
      </c>
      <c r="F2744" s="1">
        <v>20926969</v>
      </c>
      <c r="G2744" s="16">
        <v>12685.719080992094</v>
      </c>
      <c r="H2744">
        <v>92.13</v>
      </c>
      <c r="I2744" s="1">
        <v>373.71999999999997</v>
      </c>
      <c r="J2744" s="16">
        <v>128095.38800209982</v>
      </c>
      <c r="K2744" s="5">
        <v>0.1644864556528734</v>
      </c>
      <c r="L2744" s="10">
        <v>249605.8658</v>
      </c>
    </row>
    <row r="2745" spans="1:12" x14ac:dyDescent="0.25">
      <c r="A2745">
        <v>2744</v>
      </c>
      <c r="B2745" s="3">
        <v>0.14895886992743523</v>
      </c>
      <c r="C2745" s="3">
        <v>4.9727402610320659E-2</v>
      </c>
      <c r="D2745" s="1">
        <v>92790.247116281738</v>
      </c>
      <c r="E2745" s="1">
        <v>2817435</v>
      </c>
      <c r="F2745" s="1">
        <v>18379735</v>
      </c>
      <c r="G2745" s="16">
        <v>35542.056747852577</v>
      </c>
      <c r="H2745">
        <v>140.63</v>
      </c>
      <c r="I2745" s="1">
        <v>350.39</v>
      </c>
      <c r="J2745" s="16">
        <v>128332.30386413432</v>
      </c>
      <c r="K2745" s="5">
        <v>8.0734037322803529E-2</v>
      </c>
      <c r="L2745" s="10">
        <v>172754.6514</v>
      </c>
    </row>
    <row r="2746" spans="1:12" x14ac:dyDescent="0.25">
      <c r="A2746">
        <v>2745</v>
      </c>
      <c r="B2746" s="3">
        <v>0.22472177568470011</v>
      </c>
      <c r="C2746" s="3">
        <v>3.2948235488785921E-2</v>
      </c>
      <c r="D2746" s="1">
        <v>126144.12232616504</v>
      </c>
      <c r="E2746" s="1">
        <v>6534904</v>
      </c>
      <c r="F2746" s="1">
        <v>25015128</v>
      </c>
      <c r="G2746" s="16">
        <v>10865.651318575488</v>
      </c>
      <c r="H2746">
        <v>75.38</v>
      </c>
      <c r="I2746" s="1">
        <v>218.11</v>
      </c>
      <c r="J2746" s="16">
        <v>137009.77364474052</v>
      </c>
      <c r="K2746" s="5">
        <v>9.4522578202913807E-2</v>
      </c>
      <c r="L2746" s="10">
        <v>347196.78610000003</v>
      </c>
    </row>
    <row r="2747" spans="1:12" x14ac:dyDescent="0.25">
      <c r="A2747">
        <v>2746</v>
      </c>
      <c r="B2747" s="3">
        <v>0.22308448821453575</v>
      </c>
      <c r="C2747" s="3">
        <v>2.1126342597251952E-2</v>
      </c>
      <c r="D2747" s="1">
        <v>42903.634525901587</v>
      </c>
      <c r="E2747" s="1">
        <v>1712283</v>
      </c>
      <c r="F2747" s="1">
        <v>13531042</v>
      </c>
      <c r="G2747" s="16">
        <v>17663.900752157813</v>
      </c>
      <c r="H2747">
        <v>155.62</v>
      </c>
      <c r="I2747" s="1">
        <v>428.55</v>
      </c>
      <c r="J2747" s="16">
        <v>60567.535278059397</v>
      </c>
      <c r="K2747" s="5">
        <v>0.14940015292894077</v>
      </c>
      <c r="L2747" s="10">
        <v>397948.78940000001</v>
      </c>
    </row>
    <row r="2748" spans="1:12" x14ac:dyDescent="0.25">
      <c r="A2748">
        <v>2747</v>
      </c>
      <c r="B2748" s="3">
        <v>0.22673481448698277</v>
      </c>
      <c r="C2748" s="3">
        <v>2.4525236753428364E-2</v>
      </c>
      <c r="D2748" s="1">
        <v>127186.81208808423</v>
      </c>
      <c r="E2748" s="1">
        <v>5148252</v>
      </c>
      <c r="F2748" s="1">
        <v>20148539</v>
      </c>
      <c r="G2748" s="16">
        <v>14292.34205410864</v>
      </c>
      <c r="H2748">
        <v>100.52</v>
      </c>
      <c r="I2748" s="1">
        <v>290.45</v>
      </c>
      <c r="J2748" s="16">
        <v>141479.15414219289</v>
      </c>
      <c r="K2748" s="5">
        <v>0.14502937535818727</v>
      </c>
      <c r="L2748" s="10">
        <v>738973.42940000002</v>
      </c>
    </row>
    <row r="2749" spans="1:12" x14ac:dyDescent="0.25">
      <c r="A2749">
        <v>2748</v>
      </c>
      <c r="B2749" s="3">
        <v>0.19916479308033841</v>
      </c>
      <c r="C2749" s="3">
        <v>3.2980928101442791E-2</v>
      </c>
      <c r="D2749" s="1">
        <v>82313.57270729405</v>
      </c>
      <c r="E2749" s="1">
        <v>2999479</v>
      </c>
      <c r="F2749" s="1">
        <v>14200218</v>
      </c>
      <c r="G2749" s="16">
        <v>9852.6382098096692</v>
      </c>
      <c r="H2749">
        <v>45.13</v>
      </c>
      <c r="I2749" s="1">
        <v>188.89</v>
      </c>
      <c r="J2749" s="16">
        <v>92166.210917103715</v>
      </c>
      <c r="K2749" s="5">
        <v>7.883027954766994E-2</v>
      </c>
      <c r="L2749" s="10">
        <v>191627.0888</v>
      </c>
    </row>
    <row r="2750" spans="1:12" x14ac:dyDescent="0.25">
      <c r="A2750">
        <v>2749</v>
      </c>
      <c r="B2750" s="3">
        <v>0.19616504429611203</v>
      </c>
      <c r="C2750" s="3">
        <v>4.7274438463536406E-2</v>
      </c>
      <c r="D2750" s="1">
        <v>154577.38146742652</v>
      </c>
      <c r="E2750" s="1">
        <v>6929178</v>
      </c>
      <c r="F2750" s="1">
        <v>24726078</v>
      </c>
      <c r="G2750" s="16">
        <v>15315.382789197414</v>
      </c>
      <c r="H2750">
        <v>106.28</v>
      </c>
      <c r="I2750" s="1">
        <v>400.02</v>
      </c>
      <c r="J2750" s="16">
        <v>169892.76425662392</v>
      </c>
      <c r="K2750" s="5">
        <v>0.19980724624455073</v>
      </c>
      <c r="L2750" s="10">
        <v>547832.24320000003</v>
      </c>
    </row>
    <row r="2751" spans="1:12" x14ac:dyDescent="0.25">
      <c r="A2751">
        <v>2750</v>
      </c>
      <c r="B2751" s="3">
        <v>0.15425927308467688</v>
      </c>
      <c r="C2751" s="3">
        <v>7.71267550628634E-2</v>
      </c>
      <c r="D2751" s="1">
        <v>144470.17706414949</v>
      </c>
      <c r="E2751" s="1">
        <v>5284839</v>
      </c>
      <c r="F2751" s="1">
        <v>35108579</v>
      </c>
      <c r="G2751" s="16">
        <v>18498.767561786422</v>
      </c>
      <c r="H2751">
        <v>76.16</v>
      </c>
      <c r="I2751" s="1">
        <v>207.41</v>
      </c>
      <c r="J2751" s="16">
        <v>162968.94462593592</v>
      </c>
      <c r="K2751" s="5">
        <v>8.9477285477931268E-2</v>
      </c>
      <c r="L2751" s="10">
        <v>135902.90669999999</v>
      </c>
    </row>
    <row r="2752" spans="1:12" x14ac:dyDescent="0.25">
      <c r="A2752">
        <v>2751</v>
      </c>
      <c r="B2752" s="3">
        <v>0.12939590019067926</v>
      </c>
      <c r="C2752" s="3">
        <v>6.3872370656934074E-2</v>
      </c>
      <c r="D2752" s="1">
        <v>201390.82505558783</v>
      </c>
      <c r="E2752" s="1">
        <v>6560845</v>
      </c>
      <c r="F2752" s="1">
        <v>35304584</v>
      </c>
      <c r="G2752" s="16">
        <v>65906.059147484077</v>
      </c>
      <c r="H2752">
        <v>299.97000000000003</v>
      </c>
      <c r="I2752" s="1">
        <v>795.18000000000006</v>
      </c>
      <c r="J2752" s="16">
        <v>267296.88420307194</v>
      </c>
      <c r="K2752" s="5">
        <v>0.19259254034172746</v>
      </c>
      <c r="L2752" s="10">
        <v>591115.95070000004</v>
      </c>
    </row>
    <row r="2753" spans="1:12" x14ac:dyDescent="0.25">
      <c r="A2753">
        <v>2752</v>
      </c>
      <c r="B2753" s="3">
        <v>0.13285328914985867</v>
      </c>
      <c r="C2753" s="3">
        <v>2.891492432385602E-2</v>
      </c>
      <c r="D2753" s="1">
        <v>233490.87408756514</v>
      </c>
      <c r="E2753" s="1">
        <v>7728629</v>
      </c>
      <c r="F2753" s="1">
        <v>36846339</v>
      </c>
      <c r="G2753" s="16">
        <v>29235.072757581325</v>
      </c>
      <c r="H2753">
        <v>103.37</v>
      </c>
      <c r="I2753" s="1">
        <v>292.81</v>
      </c>
      <c r="J2753" s="16">
        <v>262725.94684514648</v>
      </c>
      <c r="K2753" s="5">
        <v>0.13477527446140022</v>
      </c>
      <c r="L2753" s="10">
        <v>1054841.4188000001</v>
      </c>
    </row>
    <row r="2754" spans="1:12" x14ac:dyDescent="0.25">
      <c r="A2754">
        <v>2753</v>
      </c>
      <c r="B2754" s="3">
        <v>0.17436025560978347</v>
      </c>
      <c r="C2754" s="3">
        <v>2.7858428524456691E-2</v>
      </c>
      <c r="D2754" s="1">
        <v>18871.768528856435</v>
      </c>
      <c r="E2754" s="1">
        <v>518125</v>
      </c>
      <c r="F2754" s="1">
        <v>6947055</v>
      </c>
      <c r="G2754" s="16">
        <v>26187.038065303845</v>
      </c>
      <c r="H2754">
        <v>150.32</v>
      </c>
      <c r="I2754" s="1">
        <v>430.33</v>
      </c>
      <c r="J2754" s="16">
        <v>45058.806594160284</v>
      </c>
      <c r="K2754" s="5">
        <v>0.29453848824516921</v>
      </c>
      <c r="L2754" s="10">
        <v>428343.87520000001</v>
      </c>
    </row>
    <row r="2755" spans="1:12" x14ac:dyDescent="0.25">
      <c r="A2755">
        <v>2754</v>
      </c>
      <c r="B2755" s="3">
        <v>0.24299093199335164</v>
      </c>
      <c r="C2755" s="3">
        <v>6.9658326027004738E-2</v>
      </c>
      <c r="D2755" s="1">
        <v>95314.509468504883</v>
      </c>
      <c r="E2755" s="1">
        <v>5431973</v>
      </c>
      <c r="F2755" s="1">
        <v>21667981</v>
      </c>
      <c r="G2755" s="16">
        <v>20020.419775414011</v>
      </c>
      <c r="H2755">
        <v>279.19</v>
      </c>
      <c r="I2755" s="1">
        <v>811.34999999999991</v>
      </c>
      <c r="J2755" s="16">
        <v>115334.92924391889</v>
      </c>
      <c r="K2755" s="5">
        <v>6.9721306251577866E-3</v>
      </c>
      <c r="L2755" s="10">
        <v>28006.454300000001</v>
      </c>
    </row>
    <row r="2756" spans="1:12" x14ac:dyDescent="0.25">
      <c r="A2756">
        <v>2755</v>
      </c>
      <c r="B2756" s="3">
        <v>0.14039579937968391</v>
      </c>
      <c r="C2756" s="3">
        <v>4.6429738485722988E-2</v>
      </c>
      <c r="D2756" s="1">
        <v>97499.180039674902</v>
      </c>
      <c r="E2756" s="1">
        <v>2872817</v>
      </c>
      <c r="F2756" s="1">
        <v>19421653</v>
      </c>
      <c r="G2756" s="16">
        <v>57966.720077393424</v>
      </c>
      <c r="H2756">
        <v>251.37</v>
      </c>
      <c r="I2756" s="1">
        <v>623.17000000000007</v>
      </c>
      <c r="J2756" s="16">
        <v>155465.90011706832</v>
      </c>
      <c r="K2756" s="5">
        <v>0.25329558624223569</v>
      </c>
      <c r="L2756" s="10">
        <v>680373.66319999995</v>
      </c>
    </row>
    <row r="2757" spans="1:12" x14ac:dyDescent="0.25">
      <c r="A2757">
        <v>2756</v>
      </c>
      <c r="B2757" s="3">
        <v>0.20304758798966835</v>
      </c>
      <c r="C2757" s="3">
        <v>5.8866085739741766E-2</v>
      </c>
      <c r="D2757" s="1">
        <v>74184.356110397537</v>
      </c>
      <c r="E2757" s="1">
        <v>2186005</v>
      </c>
      <c r="F2757" s="1">
        <v>10382906</v>
      </c>
      <c r="G2757" s="16">
        <v>7328.9730392353758</v>
      </c>
      <c r="H2757">
        <v>34.32</v>
      </c>
      <c r="I2757" s="1">
        <v>128.35</v>
      </c>
      <c r="J2757" s="16">
        <v>81513.329149632918</v>
      </c>
      <c r="K2757" s="5">
        <v>6.9356121439135721E-2</v>
      </c>
      <c r="L2757" s="10">
        <v>65984.651599999997</v>
      </c>
    </row>
    <row r="2758" spans="1:12" x14ac:dyDescent="0.25">
      <c r="A2758">
        <v>2757</v>
      </c>
      <c r="B2758" s="3">
        <v>0.24399437403564656</v>
      </c>
      <c r="C2758" s="3">
        <v>6.0025353931908096E-2</v>
      </c>
      <c r="D2758" s="1">
        <v>160610.92683576941</v>
      </c>
      <c r="E2758" s="1">
        <v>9201905</v>
      </c>
      <c r="F2758" s="1">
        <v>32489025</v>
      </c>
      <c r="G2758" s="16">
        <v>18254.509203032452</v>
      </c>
      <c r="H2758">
        <v>194.29</v>
      </c>
      <c r="I2758" s="1">
        <v>613.52</v>
      </c>
      <c r="J2758" s="16">
        <v>178865.43603880185</v>
      </c>
      <c r="K2758" s="5">
        <v>2.9037607541543942E-2</v>
      </c>
      <c r="L2758" s="10">
        <v>79860.769799999995</v>
      </c>
    </row>
    <row r="2759" spans="1:12" x14ac:dyDescent="0.25">
      <c r="A2759">
        <v>2758</v>
      </c>
      <c r="B2759" s="3">
        <v>0.18587595518403333</v>
      </c>
      <c r="C2759" s="3">
        <v>5.9466097082704714E-2</v>
      </c>
      <c r="D2759" s="1">
        <v>122611.9275039371</v>
      </c>
      <c r="E2759" s="1">
        <v>5223639</v>
      </c>
      <c r="F2759" s="1">
        <v>24638446</v>
      </c>
      <c r="G2759" s="16">
        <v>20448.430522073355</v>
      </c>
      <c r="H2759">
        <v>105.71</v>
      </c>
      <c r="I2759" s="1">
        <v>345.49</v>
      </c>
      <c r="J2759" s="16">
        <v>143060.35802601045</v>
      </c>
      <c r="K2759" s="5">
        <v>0.22561707907780879</v>
      </c>
      <c r="L2759" s="10">
        <v>404339.14689999999</v>
      </c>
    </row>
    <row r="2760" spans="1:12" x14ac:dyDescent="0.25">
      <c r="A2760">
        <v>2759</v>
      </c>
      <c r="B2760" s="3">
        <v>0.11437037148775969</v>
      </c>
      <c r="C2760" s="3">
        <v>7.8312880991001033E-2</v>
      </c>
      <c r="D2760" s="1">
        <v>134110.17987033178</v>
      </c>
      <c r="E2760" s="1">
        <v>3613332</v>
      </c>
      <c r="F2760" s="1">
        <v>16167341</v>
      </c>
      <c r="G2760" s="16">
        <v>26454.143291505083</v>
      </c>
      <c r="H2760">
        <v>82.52</v>
      </c>
      <c r="I2760" s="1">
        <v>300.52</v>
      </c>
      <c r="J2760" s="16">
        <v>160564.32316183686</v>
      </c>
      <c r="K2760" s="5">
        <v>-8.6540668256622363E-2</v>
      </c>
      <c r="L2760" s="10">
        <v>-95690.561300000001</v>
      </c>
    </row>
    <row r="2761" spans="1:12" x14ac:dyDescent="0.25">
      <c r="A2761">
        <v>2760</v>
      </c>
      <c r="B2761" s="3">
        <v>0.13797776806575698</v>
      </c>
      <c r="C2761" s="3">
        <v>7.2109909434728892E-2</v>
      </c>
      <c r="D2761" s="1">
        <v>205987.55685438911</v>
      </c>
      <c r="E2761" s="1">
        <v>6981835</v>
      </c>
      <c r="F2761" s="1">
        <v>26080348</v>
      </c>
      <c r="G2761" s="16">
        <v>49369.433402812276</v>
      </c>
      <c r="H2761">
        <v>210.12</v>
      </c>
      <c r="I2761" s="1">
        <v>649.78</v>
      </c>
      <c r="J2761" s="16">
        <v>255356.9902572014</v>
      </c>
      <c r="K2761" s="5">
        <v>0.16659799779331189</v>
      </c>
      <c r="L2761" s="10">
        <v>358410.3504</v>
      </c>
    </row>
    <row r="2762" spans="1:12" x14ac:dyDescent="0.25">
      <c r="A2762">
        <v>2761</v>
      </c>
      <c r="B2762" s="3">
        <v>0.23278570705451246</v>
      </c>
      <c r="C2762" s="3">
        <v>7.3875498132251916E-2</v>
      </c>
      <c r="D2762" s="1">
        <v>113731.39971392273</v>
      </c>
      <c r="E2762" s="1">
        <v>6143504</v>
      </c>
      <c r="F2762" s="1">
        <v>32082836</v>
      </c>
      <c r="G2762" s="16">
        <v>16014.676085264709</v>
      </c>
      <c r="H2762">
        <v>118.12</v>
      </c>
      <c r="I2762" s="1">
        <v>330.32</v>
      </c>
      <c r="J2762" s="16">
        <v>129746.07579918744</v>
      </c>
      <c r="K2762" s="5">
        <v>7.6366069710704532E-2</v>
      </c>
      <c r="L2762" s="10">
        <v>99463.805300000007</v>
      </c>
    </row>
    <row r="2763" spans="1:12" x14ac:dyDescent="0.25">
      <c r="A2763">
        <v>2762</v>
      </c>
      <c r="B2763" s="3">
        <v>0.21234397581035119</v>
      </c>
      <c r="C2763" s="3">
        <v>4.8814958993243923E-2</v>
      </c>
      <c r="D2763" s="1">
        <v>348419.05979984527</v>
      </c>
      <c r="E2763" s="1">
        <v>27307699</v>
      </c>
      <c r="F2763" s="1">
        <v>92852082</v>
      </c>
      <c r="G2763" s="16">
        <v>17105.305691053491</v>
      </c>
      <c r="H2763">
        <v>136.85</v>
      </c>
      <c r="I2763" s="1">
        <v>399.5</v>
      </c>
      <c r="J2763" s="16">
        <v>365524.36549089878</v>
      </c>
      <c r="K2763" s="5">
        <v>0.12148240890005989</v>
      </c>
      <c r="L2763" s="10">
        <v>710187.31370000006</v>
      </c>
    </row>
    <row r="2764" spans="1:12" x14ac:dyDescent="0.25">
      <c r="A2764">
        <v>2763</v>
      </c>
      <c r="B2764" s="3">
        <v>0.13681858116940321</v>
      </c>
      <c r="C2764" s="3">
        <v>2.8274474348944673E-2</v>
      </c>
      <c r="D2764" s="1">
        <v>183244.66840018099</v>
      </c>
      <c r="E2764" s="1">
        <v>6177680</v>
      </c>
      <c r="F2764" s="1">
        <v>30756792</v>
      </c>
      <c r="G2764" s="16">
        <v>55351.981397548821</v>
      </c>
      <c r="H2764">
        <v>233.23</v>
      </c>
      <c r="I2764" s="1">
        <v>616.17999999999995</v>
      </c>
      <c r="J2764" s="16">
        <v>238596.6497977298</v>
      </c>
      <c r="K2764" s="5">
        <v>0.21401470500538397</v>
      </c>
      <c r="L2764" s="10">
        <v>1542730.5866</v>
      </c>
    </row>
    <row r="2765" spans="1:12" x14ac:dyDescent="0.25">
      <c r="A2765">
        <v>2764</v>
      </c>
      <c r="B2765" s="3">
        <v>0.24884688573582769</v>
      </c>
      <c r="C2765" s="3">
        <v>3.1265887506632492E-2</v>
      </c>
      <c r="D2765" s="1">
        <v>106721.26863048525</v>
      </c>
      <c r="E2765" s="1">
        <v>6273932</v>
      </c>
      <c r="F2765" s="1">
        <v>29343799</v>
      </c>
      <c r="G2765" s="16">
        <v>21910.431578931362</v>
      </c>
      <c r="H2765">
        <v>244.27</v>
      </c>
      <c r="I2765" s="1">
        <v>730.91</v>
      </c>
      <c r="J2765" s="16">
        <v>128631.70020941662</v>
      </c>
      <c r="K2765" s="5">
        <v>0.12182493769588261</v>
      </c>
      <c r="L2765" s="10">
        <v>410014.89309999999</v>
      </c>
    </row>
    <row r="2766" spans="1:12" x14ac:dyDescent="0.25">
      <c r="A2766">
        <v>2765</v>
      </c>
      <c r="B2766" s="3">
        <v>0.15707615348970227</v>
      </c>
      <c r="C2766" s="3">
        <v>5.3895873494045302E-2</v>
      </c>
      <c r="D2766" s="1">
        <v>102948.82424745898</v>
      </c>
      <c r="E2766" s="1">
        <v>3816546</v>
      </c>
      <c r="F2766" s="1">
        <v>28057243</v>
      </c>
      <c r="G2766" s="16">
        <v>29562.554622072857</v>
      </c>
      <c r="H2766">
        <v>147.33000000000001</v>
      </c>
      <c r="I2766" s="1">
        <v>462.52</v>
      </c>
      <c r="J2766" s="16">
        <v>132511.37886953185</v>
      </c>
      <c r="K2766" s="5">
        <v>0.13413720917471222</v>
      </c>
      <c r="L2766" s="10">
        <v>272973.17080000002</v>
      </c>
    </row>
    <row r="2767" spans="1:12" x14ac:dyDescent="0.25">
      <c r="A2767">
        <v>2766</v>
      </c>
      <c r="B2767" s="3">
        <v>0.23963029071028624</v>
      </c>
      <c r="C2767" s="3">
        <v>5.4667003203324488E-2</v>
      </c>
      <c r="D2767" s="1">
        <v>38434.500881981112</v>
      </c>
      <c r="E2767" s="1">
        <v>1636248</v>
      </c>
      <c r="F2767" s="1">
        <v>11732440</v>
      </c>
      <c r="G2767" s="16">
        <v>15364.204719121521</v>
      </c>
      <c r="H2767">
        <v>119.76</v>
      </c>
      <c r="I2767" s="1">
        <v>336.49</v>
      </c>
      <c r="J2767" s="16">
        <v>53798.705601102629</v>
      </c>
      <c r="K2767" s="5">
        <v>9.9380419620998237E-2</v>
      </c>
      <c r="L2767" s="10">
        <v>93575.270699999994</v>
      </c>
    </row>
    <row r="2768" spans="1:12" x14ac:dyDescent="0.25">
      <c r="A2768">
        <v>2767</v>
      </c>
      <c r="B2768" s="3">
        <v>0.13978902111741789</v>
      </c>
      <c r="C2768" s="3">
        <v>7.2410215722998897E-2</v>
      </c>
      <c r="D2768" s="1">
        <v>124546.26208812369</v>
      </c>
      <c r="E2768" s="1">
        <v>3662004</v>
      </c>
      <c r="F2768" s="1">
        <v>21139110</v>
      </c>
      <c r="G2768" s="16">
        <v>16739.281586542849</v>
      </c>
      <c r="H2768">
        <v>62.26</v>
      </c>
      <c r="I2768" s="1">
        <v>197.22</v>
      </c>
      <c r="J2768" s="16">
        <v>141285.54367466655</v>
      </c>
      <c r="K2768" s="5">
        <v>8.9379017144293443E-2</v>
      </c>
      <c r="L2768" s="10">
        <v>140520.8394</v>
      </c>
    </row>
    <row r="2769" spans="1:12" x14ac:dyDescent="0.25">
      <c r="A2769">
        <v>2768</v>
      </c>
      <c r="B2769" s="3">
        <v>0.20027256026380949</v>
      </c>
      <c r="C2769" s="3">
        <v>4.6402193269250824E-2</v>
      </c>
      <c r="D2769" s="1">
        <v>205010.14093556145</v>
      </c>
      <c r="E2769" s="1">
        <v>9380152</v>
      </c>
      <c r="F2769" s="1">
        <v>31568571</v>
      </c>
      <c r="G2769" s="16">
        <v>9518.9716285372724</v>
      </c>
      <c r="H2769">
        <v>54.76</v>
      </c>
      <c r="I2769" s="1">
        <v>208.45999999999998</v>
      </c>
      <c r="J2769" s="16">
        <v>214529.11256409873</v>
      </c>
      <c r="K2769" s="5">
        <v>0.15280367573423864</v>
      </c>
      <c r="L2769" s="10">
        <v>510738.92420000001</v>
      </c>
    </row>
    <row r="2770" spans="1:12" x14ac:dyDescent="0.25">
      <c r="A2770">
        <v>2769</v>
      </c>
      <c r="B2770" s="3">
        <v>0.12534622185075117</v>
      </c>
      <c r="C2770" s="3">
        <v>4.7834813132538637E-2</v>
      </c>
      <c r="D2770" s="1">
        <v>861005.48797761532</v>
      </c>
      <c r="E2770" s="1">
        <v>31479524</v>
      </c>
      <c r="F2770" s="1">
        <v>81609309</v>
      </c>
      <c r="G2770" s="16">
        <v>66093.319699032727</v>
      </c>
      <c r="H2770">
        <v>254.14</v>
      </c>
      <c r="I2770" s="1">
        <v>747.83999999999992</v>
      </c>
      <c r="J2770" s="16">
        <v>927098.80767664802</v>
      </c>
      <c r="K2770" s="5">
        <v>6.3073366000174463E-2</v>
      </c>
      <c r="L2770" s="10">
        <v>843100.59950000001</v>
      </c>
    </row>
    <row r="2771" spans="1:12" x14ac:dyDescent="0.25">
      <c r="A2771">
        <v>2770</v>
      </c>
      <c r="B2771" s="3">
        <v>0.12031732431635059</v>
      </c>
      <c r="C2771" s="3">
        <v>2.7228632176539168E-2</v>
      </c>
      <c r="D2771" s="1">
        <v>320029.45555929252</v>
      </c>
      <c r="E2771" s="1">
        <v>10002038</v>
      </c>
      <c r="F2771" s="1">
        <v>42372664</v>
      </c>
      <c r="G2771" s="16">
        <v>17849.325809845657</v>
      </c>
      <c r="H2771">
        <v>50.83</v>
      </c>
      <c r="I2771" s="1">
        <v>190.38</v>
      </c>
      <c r="J2771" s="16">
        <v>337878.78136913816</v>
      </c>
      <c r="K2771" s="5">
        <v>0.20152638792752239</v>
      </c>
      <c r="L2771" s="10">
        <v>2154691.4328000001</v>
      </c>
    </row>
    <row r="2772" spans="1:12" x14ac:dyDescent="0.25">
      <c r="A2772">
        <v>2771</v>
      </c>
      <c r="B2772" s="3">
        <v>0.12961416009218024</v>
      </c>
      <c r="C2772" s="3">
        <v>2.4225560710869981E-2</v>
      </c>
      <c r="D2772" s="1">
        <v>282632.543178247</v>
      </c>
      <c r="E2772" s="1">
        <v>10589275</v>
      </c>
      <c r="F2772" s="1">
        <v>48531485</v>
      </c>
      <c r="G2772" s="16">
        <v>36886.571644838172</v>
      </c>
      <c r="H2772">
        <v>146.54</v>
      </c>
      <c r="I2772" s="1">
        <v>542.99</v>
      </c>
      <c r="J2772" s="16">
        <v>319519.11482308514</v>
      </c>
      <c r="K2772" s="5">
        <v>9.7188754890509266E-2</v>
      </c>
      <c r="L2772" s="10">
        <v>1135634.6125</v>
      </c>
    </row>
    <row r="2773" spans="1:12" x14ac:dyDescent="0.25">
      <c r="A2773">
        <v>2772</v>
      </c>
      <c r="B2773" s="3">
        <v>0.21503619038779515</v>
      </c>
      <c r="C2773" s="3">
        <v>6.0890111695287713E-2</v>
      </c>
      <c r="D2773" s="1">
        <v>52767.744454995263</v>
      </c>
      <c r="E2773" s="1">
        <v>2041843</v>
      </c>
      <c r="F2773" s="1">
        <v>11527642</v>
      </c>
      <c r="G2773" s="16">
        <v>23061.139226230665</v>
      </c>
      <c r="H2773">
        <v>188.8</v>
      </c>
      <c r="I2773" s="1">
        <v>568.26</v>
      </c>
      <c r="J2773" s="16">
        <v>75828.883681225925</v>
      </c>
      <c r="K2773" s="5">
        <v>0.18838539526992312</v>
      </c>
      <c r="L2773" s="10">
        <v>169993.47260000001</v>
      </c>
    </row>
    <row r="2774" spans="1:12" x14ac:dyDescent="0.25">
      <c r="A2774">
        <v>2773</v>
      </c>
      <c r="B2774" s="3">
        <v>0.19308485521608831</v>
      </c>
      <c r="C2774" s="3">
        <v>7.8786948974468946E-2</v>
      </c>
      <c r="D2774" s="1">
        <v>456820.26702814648</v>
      </c>
      <c r="E2774" s="1">
        <v>30972842</v>
      </c>
      <c r="F2774" s="1">
        <v>91881946</v>
      </c>
      <c r="G2774" s="16">
        <v>22630.464564952541</v>
      </c>
      <c r="H2774">
        <v>152.88999999999999</v>
      </c>
      <c r="I2774" s="1">
        <v>545.01</v>
      </c>
      <c r="J2774" s="16">
        <v>479450.73159309902</v>
      </c>
      <c r="K2774" s="5">
        <v>0.13018529744145904</v>
      </c>
      <c r="L2774" s="10">
        <v>487858.36739999999</v>
      </c>
    </row>
    <row r="2775" spans="1:12" x14ac:dyDescent="0.25">
      <c r="A2775">
        <v>2774</v>
      </c>
      <c r="B2775" s="3">
        <v>0.10896476008043932</v>
      </c>
      <c r="C2775" s="3">
        <v>2.6625110815717112E-2</v>
      </c>
      <c r="D2775" s="1">
        <v>180187.09186006029</v>
      </c>
      <c r="E2775" s="1">
        <v>5349911</v>
      </c>
      <c r="F2775" s="1">
        <v>21942049</v>
      </c>
      <c r="G2775" s="16">
        <v>85912.680859513348</v>
      </c>
      <c r="H2775">
        <v>324.81</v>
      </c>
      <c r="I2775" s="1">
        <v>777.28</v>
      </c>
      <c r="J2775" s="16">
        <v>266099.77271957364</v>
      </c>
      <c r="K2775" s="5">
        <v>7.8441796223786137E-2</v>
      </c>
      <c r="L2775" s="10">
        <v>688511.59210000001</v>
      </c>
    </row>
    <row r="2776" spans="1:12" x14ac:dyDescent="0.25">
      <c r="A2776">
        <v>2775</v>
      </c>
      <c r="B2776" s="3">
        <v>0.19517078672547145</v>
      </c>
      <c r="C2776" s="3">
        <v>7.3326795266857231E-2</v>
      </c>
      <c r="D2776" s="1">
        <v>157287.5780928843</v>
      </c>
      <c r="E2776" s="1">
        <v>7015896</v>
      </c>
      <c r="F2776" s="1">
        <v>23304889</v>
      </c>
      <c r="G2776" s="16">
        <v>23702.719385369179</v>
      </c>
      <c r="H2776">
        <v>163.19999999999999</v>
      </c>
      <c r="I2776" s="1">
        <v>456.24999999999994</v>
      </c>
      <c r="J2776" s="16">
        <v>180990.29747825349</v>
      </c>
      <c r="K2776" s="5">
        <v>6.833308565835057E-2</v>
      </c>
      <c r="L2776" s="10">
        <v>100622.3135</v>
      </c>
    </row>
    <row r="2777" spans="1:12" x14ac:dyDescent="0.25">
      <c r="A2777">
        <v>2776</v>
      </c>
      <c r="B2777" s="3">
        <v>0.17598697939869107</v>
      </c>
      <c r="C2777" s="3">
        <v>5.7598740658426753E-2</v>
      </c>
      <c r="D2777" s="1">
        <v>163330.1640018484</v>
      </c>
      <c r="E2777" s="1">
        <v>6630292</v>
      </c>
      <c r="F2777" s="1">
        <v>21617367</v>
      </c>
      <c r="G2777" s="16">
        <v>42664.742249754483</v>
      </c>
      <c r="H2777">
        <v>248.84</v>
      </c>
      <c r="I2777" s="1">
        <v>738.08</v>
      </c>
      <c r="J2777" s="16">
        <v>205994.90625160289</v>
      </c>
      <c r="K2777" s="5">
        <v>0.12652778858110575</v>
      </c>
      <c r="L2777" s="10">
        <v>329330.6251</v>
      </c>
    </row>
    <row r="2778" spans="1:12" x14ac:dyDescent="0.25">
      <c r="A2778">
        <v>2777</v>
      </c>
      <c r="B2778" s="3">
        <v>0.10556285340752708</v>
      </c>
      <c r="C2778" s="3">
        <v>5.7049240293288589E-2</v>
      </c>
      <c r="D2778" s="1">
        <v>107899.49116814733</v>
      </c>
      <c r="E2778" s="1">
        <v>2822103</v>
      </c>
      <c r="F2778" s="1">
        <v>14408567</v>
      </c>
      <c r="G2778" s="16">
        <v>30419.752410400168</v>
      </c>
      <c r="H2778">
        <v>89.31</v>
      </c>
      <c r="I2778" s="1">
        <v>270.71000000000004</v>
      </c>
      <c r="J2778" s="16">
        <v>138319.2435785475</v>
      </c>
      <c r="K2778" s="5">
        <v>6.8474833726700213E-3</v>
      </c>
      <c r="L2778" s="10">
        <v>30919.283500000001</v>
      </c>
    </row>
    <row r="2779" spans="1:12" x14ac:dyDescent="0.25">
      <c r="A2779">
        <v>2778</v>
      </c>
      <c r="B2779" s="3">
        <v>0.18250883718206684</v>
      </c>
      <c r="C2779" s="3">
        <v>2.2638686672070772E-2</v>
      </c>
      <c r="D2779" s="1">
        <v>238123.64806075313</v>
      </c>
      <c r="E2779" s="1">
        <v>9978686</v>
      </c>
      <c r="F2779" s="1">
        <v>34146745</v>
      </c>
      <c r="G2779" s="16">
        <v>17717.340466071622</v>
      </c>
      <c r="H2779">
        <v>109.32</v>
      </c>
      <c r="I2779" s="1">
        <v>431.15999999999997</v>
      </c>
      <c r="J2779" s="16">
        <v>255840.98852682475</v>
      </c>
      <c r="K2779" s="5">
        <v>0.16537412458326994</v>
      </c>
      <c r="L2779" s="10">
        <v>1601974.9938999999</v>
      </c>
    </row>
    <row r="2780" spans="1:12" x14ac:dyDescent="0.25">
      <c r="A2780">
        <v>2779</v>
      </c>
      <c r="B2780" s="3">
        <v>0.1677409922210793</v>
      </c>
      <c r="C2780" s="3">
        <v>4.6674664944811831E-2</v>
      </c>
      <c r="D2780" s="1">
        <v>115532.28729485934</v>
      </c>
      <c r="E2780" s="1">
        <v>3750858</v>
      </c>
      <c r="F2780" s="1">
        <v>16618790</v>
      </c>
      <c r="G2780" s="16">
        <v>20424.171088759529</v>
      </c>
      <c r="H2780">
        <v>92.32</v>
      </c>
      <c r="I2780" s="1">
        <v>216.76</v>
      </c>
      <c r="J2780" s="16">
        <v>135956.45838361888</v>
      </c>
      <c r="K2780" s="5">
        <v>0.14789437070907821</v>
      </c>
      <c r="L2780" s="10">
        <v>325461.09519999998</v>
      </c>
    </row>
    <row r="2781" spans="1:12" x14ac:dyDescent="0.25">
      <c r="A2781">
        <v>2780</v>
      </c>
      <c r="B2781" s="3">
        <v>0.10429131782755031</v>
      </c>
      <c r="C2781" s="3">
        <v>3.5519426758433753E-2</v>
      </c>
      <c r="D2781" s="1">
        <v>379954.93824635056</v>
      </c>
      <c r="E2781" s="1">
        <v>11047601</v>
      </c>
      <c r="F2781" s="1">
        <v>34238884</v>
      </c>
      <c r="G2781" s="16">
        <v>66970.426882464424</v>
      </c>
      <c r="H2781">
        <v>218.06</v>
      </c>
      <c r="I2781" s="1">
        <v>596.04</v>
      </c>
      <c r="J2781" s="16">
        <v>446925.365128815</v>
      </c>
      <c r="K2781" s="5">
        <v>0.28474945394854401</v>
      </c>
      <c r="L2781" s="10">
        <v>2760189.5803999999</v>
      </c>
    </row>
    <row r="2782" spans="1:12" x14ac:dyDescent="0.25">
      <c r="A2782">
        <v>2781</v>
      </c>
      <c r="B2782" s="3">
        <v>0.13318167654196672</v>
      </c>
      <c r="C2782" s="3">
        <v>4.2486101352008518E-2</v>
      </c>
      <c r="D2782" s="1">
        <v>426380.11541972106</v>
      </c>
      <c r="E2782" s="1">
        <v>16306457</v>
      </c>
      <c r="F2782" s="1">
        <v>48167737</v>
      </c>
      <c r="G2782" s="16">
        <v>34425.027154858362</v>
      </c>
      <c r="H2782">
        <v>122.16</v>
      </c>
      <c r="I2782" s="1">
        <v>314.83000000000004</v>
      </c>
      <c r="J2782" s="16">
        <v>460805.1425745794</v>
      </c>
      <c r="K2782" s="5">
        <v>0.18575326773510326</v>
      </c>
      <c r="L2782" s="10">
        <v>1524582.9613000001</v>
      </c>
    </row>
    <row r="2783" spans="1:12" x14ac:dyDescent="0.25">
      <c r="A2783">
        <v>2782</v>
      </c>
      <c r="B2783" s="3">
        <v>0.20991316879477837</v>
      </c>
      <c r="C2783" s="3">
        <v>5.0703408786928569E-2</v>
      </c>
      <c r="D2783" s="1">
        <v>136593.46804266088</v>
      </c>
      <c r="E2783" s="1">
        <v>5183326</v>
      </c>
      <c r="F2783" s="1">
        <v>19747779</v>
      </c>
      <c r="G2783" s="16">
        <v>22503.636450126149</v>
      </c>
      <c r="H2783">
        <v>175.81</v>
      </c>
      <c r="I2783" s="1">
        <v>424.71999999999997</v>
      </c>
      <c r="J2783" s="16">
        <v>159097.10449278704</v>
      </c>
      <c r="K2783" s="5">
        <v>0.18816543404760158</v>
      </c>
      <c r="L2783" s="10">
        <v>436123.88150000002</v>
      </c>
    </row>
    <row r="2784" spans="1:12" x14ac:dyDescent="0.25">
      <c r="A2784">
        <v>2783</v>
      </c>
      <c r="B2784" s="3">
        <v>0.14797178657393203</v>
      </c>
      <c r="C2784" s="3">
        <v>3.9804691836954662E-2</v>
      </c>
      <c r="D2784" s="1">
        <v>193839.64546742456</v>
      </c>
      <c r="E2784" s="1">
        <v>6883820</v>
      </c>
      <c r="F2784" s="1">
        <v>24274079</v>
      </c>
      <c r="G2784" s="16">
        <v>30088.194940221783</v>
      </c>
      <c r="H2784">
        <v>118.24</v>
      </c>
      <c r="I2784" s="1">
        <v>351</v>
      </c>
      <c r="J2784" s="16">
        <v>223927.84040764635</v>
      </c>
      <c r="K2784" s="5">
        <v>5.4909567324015876E-2</v>
      </c>
      <c r="L2784" s="10">
        <v>234684.6202</v>
      </c>
    </row>
    <row r="2785" spans="1:12" x14ac:dyDescent="0.25">
      <c r="A2785">
        <v>2784</v>
      </c>
      <c r="B2785" s="3">
        <v>0.228768840953225</v>
      </c>
      <c r="C2785" s="3">
        <v>7.5298387888705021E-2</v>
      </c>
      <c r="D2785" s="1">
        <v>118576.69052620337</v>
      </c>
      <c r="E2785" s="1">
        <v>6272833</v>
      </c>
      <c r="F2785" s="1">
        <v>28184380</v>
      </c>
      <c r="G2785" s="16">
        <v>14971.640003928509</v>
      </c>
      <c r="H2785">
        <v>107.06</v>
      </c>
      <c r="I2785" s="1">
        <v>283.33000000000004</v>
      </c>
      <c r="J2785" s="16">
        <v>133548.33053013188</v>
      </c>
      <c r="K2785" s="5">
        <v>0.18559176992378196</v>
      </c>
      <c r="L2785" s="10">
        <v>234658.12659999999</v>
      </c>
    </row>
    <row r="2786" spans="1:12" x14ac:dyDescent="0.25">
      <c r="A2786">
        <v>2785</v>
      </c>
      <c r="B2786" s="3">
        <v>0.13366849266344027</v>
      </c>
      <c r="C2786" s="3">
        <v>4.1304367937221427E-2</v>
      </c>
      <c r="D2786" s="1">
        <v>120319.49291982991</v>
      </c>
      <c r="E2786" s="1">
        <v>3997624</v>
      </c>
      <c r="F2786" s="1">
        <v>24693971</v>
      </c>
      <c r="G2786" s="16">
        <v>16499.978244610564</v>
      </c>
      <c r="H2786">
        <v>58.61</v>
      </c>
      <c r="I2786" s="1">
        <v>233.14</v>
      </c>
      <c r="J2786" s="16">
        <v>136819.47116444047</v>
      </c>
      <c r="K2786" s="5">
        <v>2.0344402472222779E-2</v>
      </c>
      <c r="L2786" s="10">
        <v>64179.220800000003</v>
      </c>
    </row>
    <row r="2787" spans="1:12" x14ac:dyDescent="0.25">
      <c r="A2787">
        <v>2786</v>
      </c>
      <c r="B2787" s="3">
        <v>0.14825870573496175</v>
      </c>
      <c r="C2787" s="3">
        <v>6.0710660109052086E-2</v>
      </c>
      <c r="D2787" s="1">
        <v>202496.86080703381</v>
      </c>
      <c r="E2787" s="1">
        <v>6133358</v>
      </c>
      <c r="F2787" s="1">
        <v>20379375</v>
      </c>
      <c r="G2787" s="16">
        <v>74327.298974692254</v>
      </c>
      <c r="H2787">
        <v>404.02</v>
      </c>
      <c r="I2787" s="1">
        <v>1090.1400000000001</v>
      </c>
      <c r="J2787" s="16">
        <v>276824.15978172608</v>
      </c>
      <c r="K2787" s="5">
        <v>0.11102890710489252</v>
      </c>
      <c r="L2787" s="10">
        <v>326307.50140000001</v>
      </c>
    </row>
    <row r="2788" spans="1:12" x14ac:dyDescent="0.25">
      <c r="A2788">
        <v>2787</v>
      </c>
      <c r="B2788" s="3">
        <v>0.19561255275594974</v>
      </c>
      <c r="C2788" s="3">
        <v>6.180988966455124E-2</v>
      </c>
      <c r="D2788" s="1">
        <v>237221.15240464229</v>
      </c>
      <c r="E2788" s="1">
        <v>10604616</v>
      </c>
      <c r="F2788" s="1">
        <v>41386675</v>
      </c>
      <c r="G2788" s="16">
        <v>58535.869676866823</v>
      </c>
      <c r="H2788">
        <v>502.87</v>
      </c>
      <c r="I2788" s="1">
        <v>1263.5700000000002</v>
      </c>
      <c r="J2788" s="16">
        <v>295757.02208150912</v>
      </c>
      <c r="K2788" s="5">
        <v>-9.942263221996156E-2</v>
      </c>
      <c r="L2788" s="10">
        <v>-265491.467</v>
      </c>
    </row>
    <row r="2789" spans="1:12" x14ac:dyDescent="0.25">
      <c r="A2789">
        <v>2788</v>
      </c>
      <c r="B2789" s="3">
        <v>0.13907683050915709</v>
      </c>
      <c r="C2789" s="3">
        <v>2.6211269568684529E-2</v>
      </c>
      <c r="D2789" s="1">
        <v>251224.83482924174</v>
      </c>
      <c r="E2789" s="1">
        <v>8558700</v>
      </c>
      <c r="F2789" s="1">
        <v>30851114</v>
      </c>
      <c r="G2789" s="16">
        <v>54871.749134839461</v>
      </c>
      <c r="H2789">
        <v>273.77</v>
      </c>
      <c r="I2789" s="1">
        <v>960.49</v>
      </c>
      <c r="J2789" s="16">
        <v>306096.58396408119</v>
      </c>
      <c r="K2789" s="5">
        <v>0.30590099822698863</v>
      </c>
      <c r="L2789" s="10">
        <v>3013531.1505</v>
      </c>
    </row>
    <row r="2790" spans="1:12" x14ac:dyDescent="0.25">
      <c r="A2790">
        <v>2789</v>
      </c>
      <c r="B2790" s="3">
        <v>0.22524478807125631</v>
      </c>
      <c r="C2790" s="3">
        <v>6.5296352366687016E-2</v>
      </c>
      <c r="D2790" s="1">
        <v>56529.178331611627</v>
      </c>
      <c r="E2790" s="1">
        <v>2274999</v>
      </c>
      <c r="F2790" s="1">
        <v>14072939</v>
      </c>
      <c r="G2790" s="16">
        <v>20836.519569416305</v>
      </c>
      <c r="H2790">
        <v>187.18</v>
      </c>
      <c r="I2790" s="1">
        <v>483.79</v>
      </c>
      <c r="J2790" s="16">
        <v>77365.697901027932</v>
      </c>
      <c r="K2790" s="5">
        <v>-8.7198177697719981E-2</v>
      </c>
      <c r="L2790" s="10">
        <v>-50941.6702</v>
      </c>
    </row>
    <row r="2791" spans="1:12" x14ac:dyDescent="0.25">
      <c r="A2791">
        <v>2790</v>
      </c>
      <c r="B2791" s="3">
        <v>0.19736141730479773</v>
      </c>
      <c r="C2791" s="3">
        <v>4.8681034922916505E-2</v>
      </c>
      <c r="D2791" s="1">
        <v>198058.86967590038</v>
      </c>
      <c r="E2791" s="1">
        <v>8931343</v>
      </c>
      <c r="F2791" s="1">
        <v>42299781</v>
      </c>
      <c r="G2791" s="16">
        <v>23866.730409855925</v>
      </c>
      <c r="H2791">
        <v>167.07</v>
      </c>
      <c r="I2791" s="1">
        <v>496.86</v>
      </c>
      <c r="J2791" s="16">
        <v>221925.6000857563</v>
      </c>
      <c r="K2791" s="5">
        <v>2.9145112045457236E-2</v>
      </c>
      <c r="L2791" s="10">
        <v>151942.35449999999</v>
      </c>
    </row>
    <row r="2792" spans="1:12" x14ac:dyDescent="0.25">
      <c r="A2792">
        <v>2791</v>
      </c>
      <c r="B2792" s="3">
        <v>0.17783525210602169</v>
      </c>
      <c r="C2792" s="3">
        <v>2.068835229926037E-2</v>
      </c>
      <c r="D2792" s="1">
        <v>108137.06199360054</v>
      </c>
      <c r="E2792" s="1">
        <v>3641671</v>
      </c>
      <c r="F2792" s="1">
        <v>18610406</v>
      </c>
      <c r="G2792" s="16">
        <v>25169.668836882163</v>
      </c>
      <c r="H2792">
        <v>149.22999999999999</v>
      </c>
      <c r="I2792" s="1">
        <v>566.69000000000005</v>
      </c>
      <c r="J2792" s="16">
        <v>133306.7308304827</v>
      </c>
      <c r="K2792" s="5">
        <v>4.2144812750985056E-2</v>
      </c>
      <c r="L2792" s="10">
        <v>258006.0822</v>
      </c>
    </row>
    <row r="2793" spans="1:12" x14ac:dyDescent="0.25">
      <c r="A2793">
        <v>2792</v>
      </c>
      <c r="B2793" s="3">
        <v>0.16554173573701031</v>
      </c>
      <c r="C2793" s="3">
        <v>3.8374084832061339E-2</v>
      </c>
      <c r="D2793" s="1">
        <v>251970.84498210761</v>
      </c>
      <c r="E2793" s="1">
        <v>11655467</v>
      </c>
      <c r="F2793" s="1">
        <v>51516539</v>
      </c>
      <c r="G2793" s="16">
        <v>42403.068250186217</v>
      </c>
      <c r="H2793">
        <v>225.95</v>
      </c>
      <c r="I2793" s="1">
        <v>544.73</v>
      </c>
      <c r="J2793" s="16">
        <v>294373.91323229379</v>
      </c>
      <c r="K2793" s="5">
        <v>0.2344302237172512</v>
      </c>
      <c r="L2793" s="10">
        <v>1446890.5521</v>
      </c>
    </row>
    <row r="2794" spans="1:12" x14ac:dyDescent="0.25">
      <c r="A2794">
        <v>2793</v>
      </c>
      <c r="B2794" s="3">
        <v>0.21721619326492234</v>
      </c>
      <c r="C2794" s="3">
        <v>6.0140456934722836E-2</v>
      </c>
      <c r="D2794" s="1">
        <v>186633.68113400938</v>
      </c>
      <c r="E2794" s="1">
        <v>11884568</v>
      </c>
      <c r="F2794" s="1">
        <v>48356598</v>
      </c>
      <c r="G2794" s="16">
        <v>17268.300509940218</v>
      </c>
      <c r="H2794">
        <v>112.94</v>
      </c>
      <c r="I2794" s="1">
        <v>334.82</v>
      </c>
      <c r="J2794" s="16">
        <v>203901.98164394961</v>
      </c>
      <c r="K2794" s="5">
        <v>0.18494849598412014</v>
      </c>
      <c r="L2794" s="10">
        <v>462286.71519999998</v>
      </c>
    </row>
    <row r="2795" spans="1:12" x14ac:dyDescent="0.25">
      <c r="A2795">
        <v>2794</v>
      </c>
      <c r="B2795" s="3">
        <v>0.15293180667705381</v>
      </c>
      <c r="C2795" s="3">
        <v>6.361709954328347E-2</v>
      </c>
      <c r="D2795" s="1">
        <v>82115.919386302514</v>
      </c>
      <c r="E2795" s="1">
        <v>2985083</v>
      </c>
      <c r="F2795" s="1">
        <v>23547723</v>
      </c>
      <c r="G2795" s="16">
        <v>38010.593577566819</v>
      </c>
      <c r="H2795">
        <v>182.75</v>
      </c>
      <c r="I2795" s="1">
        <v>460.93</v>
      </c>
      <c r="J2795" s="16">
        <v>120126.51296386933</v>
      </c>
      <c r="K2795" s="5">
        <v>8.2062130801556402E-2</v>
      </c>
      <c r="L2795" s="10">
        <v>129116.6194</v>
      </c>
    </row>
    <row r="2796" spans="1:12" x14ac:dyDescent="0.25">
      <c r="A2796">
        <v>2795</v>
      </c>
      <c r="B2796" s="3">
        <v>0.14161644920859923</v>
      </c>
      <c r="C2796" s="3">
        <v>7.7922083931611277E-2</v>
      </c>
      <c r="D2796" s="1">
        <v>162779.40215444766</v>
      </c>
      <c r="E2796" s="1">
        <v>4816794</v>
      </c>
      <c r="F2796" s="1">
        <v>16945837</v>
      </c>
      <c r="G2796" s="16">
        <v>19195.501859284086</v>
      </c>
      <c r="H2796">
        <v>72.290000000000006</v>
      </c>
      <c r="I2796" s="1">
        <v>267.44</v>
      </c>
      <c r="J2796" s="16">
        <v>181974.90401373175</v>
      </c>
      <c r="K2796" s="5">
        <v>0.13059919419150742</v>
      </c>
      <c r="L2796" s="10">
        <v>191288.2733</v>
      </c>
    </row>
    <row r="2797" spans="1:12" x14ac:dyDescent="0.25">
      <c r="A2797">
        <v>2796</v>
      </c>
      <c r="B2797" s="3">
        <v>0.1600626146276245</v>
      </c>
      <c r="C2797" s="3">
        <v>2.3396328379149092E-2</v>
      </c>
      <c r="D2797" s="1">
        <v>174214.56632733817</v>
      </c>
      <c r="E2797" s="1">
        <v>6550884</v>
      </c>
      <c r="F2797" s="1">
        <v>29576596</v>
      </c>
      <c r="G2797" s="16">
        <v>17027.080296219709</v>
      </c>
      <c r="H2797">
        <v>72.91</v>
      </c>
      <c r="I2797" s="1">
        <v>212.34</v>
      </c>
      <c r="J2797" s="16">
        <v>191241.64662355787</v>
      </c>
      <c r="K2797" s="5">
        <v>3.1974702561137977E-2</v>
      </c>
      <c r="L2797" s="10">
        <v>238463.99429999999</v>
      </c>
    </row>
    <row r="2798" spans="1:12" x14ac:dyDescent="0.25">
      <c r="A2798">
        <v>2797</v>
      </c>
      <c r="B2798" s="3">
        <v>0.18723739936504102</v>
      </c>
      <c r="C2798" s="3">
        <v>5.6141792282963912E-2</v>
      </c>
      <c r="D2798" s="1">
        <v>137956.92727153108</v>
      </c>
      <c r="E2798" s="1">
        <v>5916864</v>
      </c>
      <c r="F2798" s="1">
        <v>26938113</v>
      </c>
      <c r="G2798" s="16">
        <v>11358.87983774151</v>
      </c>
      <c r="H2798">
        <v>59.3</v>
      </c>
      <c r="I2798" s="1">
        <v>266.39999999999998</v>
      </c>
      <c r="J2798" s="16">
        <v>149315.8071092726</v>
      </c>
      <c r="K2798" s="5">
        <v>7.1853494978218913E-2</v>
      </c>
      <c r="L2798" s="10">
        <v>157159.61350000001</v>
      </c>
    </row>
    <row r="2799" spans="1:12" x14ac:dyDescent="0.25">
      <c r="A2799">
        <v>2798</v>
      </c>
      <c r="B2799" s="3">
        <v>0.19214077463322771</v>
      </c>
      <c r="C2799" s="3">
        <v>5.3542710773891708E-2</v>
      </c>
      <c r="D2799" s="1">
        <v>59870.640502948314</v>
      </c>
      <c r="E2799" s="1">
        <v>2125254</v>
      </c>
      <c r="F2799" s="1">
        <v>12216732</v>
      </c>
      <c r="G2799" s="16">
        <v>20609.300539940807</v>
      </c>
      <c r="H2799">
        <v>138.26</v>
      </c>
      <c r="I2799" s="1">
        <v>472.23</v>
      </c>
      <c r="J2799" s="16">
        <v>80479.941042889113</v>
      </c>
      <c r="K2799" s="5">
        <v>0.35111997701089787</v>
      </c>
      <c r="L2799" s="10">
        <v>411062.12459999998</v>
      </c>
    </row>
    <row r="2800" spans="1:12" x14ac:dyDescent="0.25">
      <c r="A2800">
        <v>2799</v>
      </c>
      <c r="B2800" s="3">
        <v>0.24716494933905683</v>
      </c>
      <c r="C2800" s="3">
        <v>7.1784499071464475E-2</v>
      </c>
      <c r="D2800" s="1">
        <v>110075.47923262148</v>
      </c>
      <c r="E2800" s="1">
        <v>4828293</v>
      </c>
      <c r="F2800" s="1">
        <v>17404017</v>
      </c>
      <c r="G2800" s="16">
        <v>14677.415042734288</v>
      </c>
      <c r="H2800">
        <v>160.97</v>
      </c>
      <c r="I2800" s="1">
        <v>455.17999999999995</v>
      </c>
      <c r="J2800" s="16">
        <v>124752.89427535576</v>
      </c>
      <c r="K2800" s="5">
        <v>2.5187917588399056E-2</v>
      </c>
      <c r="L2800" s="10">
        <v>43074.590900000003</v>
      </c>
    </row>
    <row r="2801" spans="1:12" x14ac:dyDescent="0.25">
      <c r="A2801">
        <v>2800</v>
      </c>
      <c r="B2801" s="3">
        <v>0.12118193285518952</v>
      </c>
      <c r="C2801" s="3">
        <v>4.7434984879896169E-2</v>
      </c>
      <c r="D2801" s="1">
        <v>128212.6558672659</v>
      </c>
      <c r="E2801" s="1">
        <v>4022890</v>
      </c>
      <c r="F2801" s="1">
        <v>24851267</v>
      </c>
      <c r="G2801" s="16">
        <v>29239.030337374516</v>
      </c>
      <c r="H2801">
        <v>95.49</v>
      </c>
      <c r="I2801" s="1">
        <v>278.65999999999997</v>
      </c>
      <c r="J2801" s="16">
        <v>157451.68620464043</v>
      </c>
      <c r="K2801" s="5">
        <v>-6.9758851862065485E-2</v>
      </c>
      <c r="L2801" s="10">
        <v>-160443.18650000001</v>
      </c>
    </row>
    <row r="2802" spans="1:12" x14ac:dyDescent="0.25">
      <c r="A2802">
        <v>2801</v>
      </c>
      <c r="B2802" s="3">
        <v>0.13404068517775003</v>
      </c>
      <c r="C2802" s="3">
        <v>2.6523975491886603E-2</v>
      </c>
      <c r="D2802" s="1">
        <v>65878.197461334232</v>
      </c>
      <c r="E2802" s="1">
        <v>1898680</v>
      </c>
      <c r="F2802" s="1">
        <v>11418996</v>
      </c>
      <c r="G2802" s="16">
        <v>32211.259051285033</v>
      </c>
      <c r="H2802">
        <v>132.83000000000001</v>
      </c>
      <c r="I2802" s="1">
        <v>400.33000000000004</v>
      </c>
      <c r="J2802" s="16">
        <v>98089.456512619261</v>
      </c>
      <c r="K2802" s="5">
        <v>-1.3774325776441769E-3</v>
      </c>
      <c r="L2802" s="10">
        <v>4910.6076999999996</v>
      </c>
    </row>
    <row r="2803" spans="1:12" x14ac:dyDescent="0.25">
      <c r="A2803">
        <v>2802</v>
      </c>
      <c r="B2803" s="3">
        <v>0.10001155205539609</v>
      </c>
      <c r="C2803" s="3">
        <v>6.2919369117414359E-2</v>
      </c>
      <c r="D2803" s="1">
        <v>469559.37277611607</v>
      </c>
      <c r="E2803" s="1">
        <v>13395089</v>
      </c>
      <c r="F2803" s="1">
        <v>39349983</v>
      </c>
      <c r="G2803" s="16">
        <v>34750.14338798447</v>
      </c>
      <c r="H2803">
        <v>98.52</v>
      </c>
      <c r="I2803" s="1">
        <v>290.54000000000002</v>
      </c>
      <c r="J2803" s="16">
        <v>504309.51616410055</v>
      </c>
      <c r="K2803" s="5">
        <v>0.10406259110759546</v>
      </c>
      <c r="L2803" s="10">
        <v>527530.01740000001</v>
      </c>
    </row>
    <row r="2804" spans="1:12" x14ac:dyDescent="0.25">
      <c r="A2804">
        <v>2803</v>
      </c>
      <c r="B2804" s="3">
        <v>0.22373989012009154</v>
      </c>
      <c r="C2804" s="3">
        <v>4.8204846102109164E-2</v>
      </c>
      <c r="D2804" s="1">
        <v>276012.38793822913</v>
      </c>
      <c r="E2804" s="1">
        <v>18327146</v>
      </c>
      <c r="F2804" s="1">
        <v>76461053</v>
      </c>
      <c r="G2804" s="16">
        <v>10322.427963877692</v>
      </c>
      <c r="H2804">
        <v>70.98</v>
      </c>
      <c r="I2804" s="1">
        <v>263.01</v>
      </c>
      <c r="J2804" s="16">
        <v>286334.81590210681</v>
      </c>
      <c r="K2804" s="5">
        <v>0.15891708169758556</v>
      </c>
      <c r="L2804" s="10">
        <v>754736.6287</v>
      </c>
    </row>
    <row r="2805" spans="1:12" x14ac:dyDescent="0.25">
      <c r="A2805">
        <v>2804</v>
      </c>
      <c r="B2805" s="3">
        <v>0.17380411934125534</v>
      </c>
      <c r="C2805" s="3">
        <v>6.4217387249556446E-2</v>
      </c>
      <c r="D2805" s="1">
        <v>208119.98619102716</v>
      </c>
      <c r="E2805" s="1">
        <v>8359580</v>
      </c>
      <c r="F2805" s="1">
        <v>36804642</v>
      </c>
      <c r="G2805" s="16">
        <v>25907.744973813089</v>
      </c>
      <c r="H2805">
        <v>122.74</v>
      </c>
      <c r="I2805" s="1">
        <v>383.47</v>
      </c>
      <c r="J2805" s="16">
        <v>234027.73116484025</v>
      </c>
      <c r="K2805" s="5">
        <v>0.14781743953439955</v>
      </c>
      <c r="L2805" s="10">
        <v>432634.67460000003</v>
      </c>
    </row>
    <row r="2806" spans="1:12" x14ac:dyDescent="0.25">
      <c r="A2806">
        <v>2805</v>
      </c>
      <c r="B2806" s="3">
        <v>0.13589215333342727</v>
      </c>
      <c r="C2806" s="3">
        <v>6.4875958028552602E-2</v>
      </c>
      <c r="D2806" s="1">
        <v>123894.16219985287</v>
      </c>
      <c r="E2806" s="1">
        <v>3593764</v>
      </c>
      <c r="F2806" s="1">
        <v>20743390</v>
      </c>
      <c r="G2806" s="16">
        <v>15709.164077717844</v>
      </c>
      <c r="H2806">
        <v>56.8</v>
      </c>
      <c r="I2806" s="1">
        <v>197.2</v>
      </c>
      <c r="J2806" s="16">
        <v>139603.32627757071</v>
      </c>
      <c r="K2806" s="5">
        <v>7.8642713348521298E-2</v>
      </c>
      <c r="L2806" s="10">
        <v>120653.1194</v>
      </c>
    </row>
    <row r="2807" spans="1:12" x14ac:dyDescent="0.25">
      <c r="A2807">
        <v>2806</v>
      </c>
      <c r="B2807" s="3">
        <v>0.23017820708011552</v>
      </c>
      <c r="C2807" s="3">
        <v>6.1864463379087395E-2</v>
      </c>
      <c r="D2807" s="1">
        <v>99761.941201667447</v>
      </c>
      <c r="E2807" s="1">
        <v>4092586</v>
      </c>
      <c r="F2807" s="1">
        <v>21054016</v>
      </c>
      <c r="G2807" s="16">
        <v>14285.270947049094</v>
      </c>
      <c r="H2807">
        <v>134.13999999999999</v>
      </c>
      <c r="I2807" s="1">
        <v>463.05999999999995</v>
      </c>
      <c r="J2807" s="16">
        <v>114047.21214871654</v>
      </c>
      <c r="K2807" s="5">
        <v>0.39016341871040333</v>
      </c>
      <c r="L2807" s="10">
        <v>511036.34950000001</v>
      </c>
    </row>
    <row r="2808" spans="1:12" x14ac:dyDescent="0.25">
      <c r="A2808">
        <v>2807</v>
      </c>
      <c r="B2808" s="3">
        <v>0.1187537024893722</v>
      </c>
      <c r="C2808" s="3">
        <v>6.2306391704205627E-2</v>
      </c>
      <c r="D2808" s="1">
        <v>241269.00261356865</v>
      </c>
      <c r="E2808" s="1">
        <v>7487122</v>
      </c>
      <c r="F2808" s="1">
        <v>31333910</v>
      </c>
      <c r="G2808" s="16">
        <v>16171.214999232041</v>
      </c>
      <c r="H2808">
        <v>45.81</v>
      </c>
      <c r="I2808" s="1">
        <v>152.21</v>
      </c>
      <c r="J2808" s="16">
        <v>257440.21761280068</v>
      </c>
      <c r="K2808" s="5">
        <v>0.21891525010223678</v>
      </c>
      <c r="L2808" s="10">
        <v>624543.86120000004</v>
      </c>
    </row>
    <row r="2809" spans="1:12" x14ac:dyDescent="0.25">
      <c r="A2809">
        <v>2808</v>
      </c>
      <c r="B2809" s="3">
        <v>0.13853689955466481</v>
      </c>
      <c r="C2809" s="3">
        <v>5.5454804276803021E-2</v>
      </c>
      <c r="D2809" s="1">
        <v>108207.94377033394</v>
      </c>
      <c r="E2809" s="1">
        <v>3677184</v>
      </c>
      <c r="F2809" s="1">
        <v>23510821</v>
      </c>
      <c r="G2809" s="16">
        <v>32573.103269601797</v>
      </c>
      <c r="H2809">
        <v>139.13</v>
      </c>
      <c r="I2809" s="1">
        <v>415.04</v>
      </c>
      <c r="J2809" s="16">
        <v>140781.04703993574</v>
      </c>
      <c r="K2809" s="5">
        <v>0.14829325016454961</v>
      </c>
      <c r="L2809" s="10">
        <v>319720.75270000001</v>
      </c>
    </row>
    <row r="2810" spans="1:12" x14ac:dyDescent="0.25">
      <c r="A2810">
        <v>2809</v>
      </c>
      <c r="B2810" s="3">
        <v>0.1776917316813667</v>
      </c>
      <c r="C2810" s="3">
        <v>4.5095263152731192E-2</v>
      </c>
      <c r="D2810" s="1">
        <v>248504.60842286341</v>
      </c>
      <c r="E2810" s="1">
        <v>10171824</v>
      </c>
      <c r="F2810" s="1">
        <v>33153012</v>
      </c>
      <c r="G2810" s="16">
        <v>68091.607723595487</v>
      </c>
      <c r="H2810">
        <v>490.14</v>
      </c>
      <c r="I2810" s="1">
        <v>1368.8400000000001</v>
      </c>
      <c r="J2810" s="16">
        <v>316596.21614645887</v>
      </c>
      <c r="K2810" s="5">
        <v>0.16259042221294079</v>
      </c>
      <c r="L2810" s="10">
        <v>832604.21640000003</v>
      </c>
    </row>
    <row r="2811" spans="1:12" x14ac:dyDescent="0.25">
      <c r="A2811">
        <v>2810</v>
      </c>
      <c r="B2811" s="3">
        <v>0.24888058007378489</v>
      </c>
      <c r="C2811" s="3">
        <v>6.9172883190900356E-2</v>
      </c>
      <c r="D2811" s="1">
        <v>72477.881034234102</v>
      </c>
      <c r="E2811" s="1">
        <v>4261594</v>
      </c>
      <c r="F2811" s="1">
        <v>31673662</v>
      </c>
      <c r="G2811" s="16">
        <v>19278.63897777081</v>
      </c>
      <c r="H2811">
        <v>214.89</v>
      </c>
      <c r="I2811" s="1">
        <v>533.47</v>
      </c>
      <c r="J2811" s="16">
        <v>91756.520012004912</v>
      </c>
      <c r="K2811" s="5">
        <v>0.12149562122914931</v>
      </c>
      <c r="L2811" s="10">
        <v>164736.58499999999</v>
      </c>
    </row>
    <row r="2812" spans="1:12" x14ac:dyDescent="0.25">
      <c r="A2812">
        <v>2811</v>
      </c>
      <c r="B2812" s="3">
        <v>0.19377290191790258</v>
      </c>
      <c r="C2812" s="3">
        <v>4.8596602213856366E-2</v>
      </c>
      <c r="D2812" s="1">
        <v>149136.11175443209</v>
      </c>
      <c r="E2812" s="1">
        <v>6606274</v>
      </c>
      <c r="F2812" s="1">
        <v>23541084</v>
      </c>
      <c r="G2812" s="16">
        <v>13633.258153657558</v>
      </c>
      <c r="H2812">
        <v>74.739999999999995</v>
      </c>
      <c r="I2812" s="1">
        <v>326.77999999999997</v>
      </c>
      <c r="J2812" s="16">
        <v>162769.36990808963</v>
      </c>
      <c r="K2812" s="5">
        <v>8.9470508609318933E-3</v>
      </c>
      <c r="L2812" s="10">
        <v>48502.624400000001</v>
      </c>
    </row>
    <row r="2813" spans="1:12" x14ac:dyDescent="0.25">
      <c r="A2813">
        <v>2812</v>
      </c>
      <c r="B2813" s="3">
        <v>0.10789382443849886</v>
      </c>
      <c r="C2813" s="3">
        <v>5.581906931614021E-2</v>
      </c>
      <c r="D2813" s="1">
        <v>311904.26046379429</v>
      </c>
      <c r="E2813" s="1">
        <v>9216335</v>
      </c>
      <c r="F2813" s="1">
        <v>42434267</v>
      </c>
      <c r="G2813" s="16">
        <v>24265.236894122867</v>
      </c>
      <c r="H2813">
        <v>72.489999999999995</v>
      </c>
      <c r="I2813" s="1">
        <v>288.51</v>
      </c>
      <c r="J2813" s="16">
        <v>336169.49735791713</v>
      </c>
      <c r="K2813" s="5">
        <v>8.4555043533835167E-2</v>
      </c>
      <c r="L2813" s="10">
        <v>368602.00520000001</v>
      </c>
    </row>
    <row r="2814" spans="1:12" x14ac:dyDescent="0.25">
      <c r="A2814">
        <v>2813</v>
      </c>
      <c r="B2814" s="3">
        <v>0.19850617240240587</v>
      </c>
      <c r="C2814" s="3">
        <v>3.4420015368526805E-2</v>
      </c>
      <c r="D2814" s="1">
        <v>149299.21626403599</v>
      </c>
      <c r="E2814" s="1">
        <v>5427008</v>
      </c>
      <c r="F2814" s="1">
        <v>19555891</v>
      </c>
      <c r="G2814" s="16">
        <v>16934.127765750411</v>
      </c>
      <c r="H2814">
        <v>96.19</v>
      </c>
      <c r="I2814" s="1">
        <v>374.21</v>
      </c>
      <c r="J2814" s="16">
        <v>166233.34402978641</v>
      </c>
      <c r="K2814" s="5">
        <v>0.20309850625635673</v>
      </c>
      <c r="L2814" s="10">
        <v>781653.35589999997</v>
      </c>
    </row>
    <row r="2815" spans="1:12" x14ac:dyDescent="0.25">
      <c r="A2815">
        <v>2814</v>
      </c>
      <c r="B2815" s="3">
        <v>0.12004730041996442</v>
      </c>
      <c r="C2815" s="3">
        <v>6.0662015675818776E-2</v>
      </c>
      <c r="D2815" s="1">
        <v>56020.327372279673</v>
      </c>
      <c r="E2815" s="1">
        <v>1538761</v>
      </c>
      <c r="F2815" s="1">
        <v>10961654</v>
      </c>
      <c r="G2815" s="16">
        <v>36317.336391857702</v>
      </c>
      <c r="H2815">
        <v>133.6</v>
      </c>
      <c r="I2815" s="1">
        <v>502.39</v>
      </c>
      <c r="J2815" s="16">
        <v>92337.663764137367</v>
      </c>
      <c r="K2815" s="5">
        <v>0.22338973417560343</v>
      </c>
      <c r="L2815" s="10">
        <v>250944.72459999999</v>
      </c>
    </row>
    <row r="2816" spans="1:12" x14ac:dyDescent="0.25">
      <c r="A2816">
        <v>2815</v>
      </c>
      <c r="B2816" s="3">
        <v>0.23587607755510956</v>
      </c>
      <c r="C2816" s="3">
        <v>4.1799163019571636E-2</v>
      </c>
      <c r="D2816" s="1">
        <v>36937.090320633703</v>
      </c>
      <c r="E2816" s="1">
        <v>1549442</v>
      </c>
      <c r="F2816" s="1">
        <v>10983761</v>
      </c>
      <c r="G2816" s="16">
        <v>17471.035590915457</v>
      </c>
      <c r="H2816">
        <v>173.08</v>
      </c>
      <c r="I2816" s="1">
        <v>440.12</v>
      </c>
      <c r="J2816" s="16">
        <v>54408.125911549156</v>
      </c>
      <c r="K2816" s="5">
        <v>0.19926421058547947</v>
      </c>
      <c r="L2816" s="10">
        <v>214397.41810000001</v>
      </c>
    </row>
    <row r="2817" spans="1:12" x14ac:dyDescent="0.25">
      <c r="A2817">
        <v>2816</v>
      </c>
      <c r="B2817" s="3">
        <v>0.24282595192721099</v>
      </c>
      <c r="C2817" s="3">
        <v>6.1075954103826685E-2</v>
      </c>
      <c r="D2817" s="1">
        <v>233418.29318339599</v>
      </c>
      <c r="E2817" s="1">
        <v>17553303</v>
      </c>
      <c r="F2817" s="1">
        <v>59271507</v>
      </c>
      <c r="G2817" s="16">
        <v>26661.749349372709</v>
      </c>
      <c r="H2817">
        <v>370.53</v>
      </c>
      <c r="I2817" s="1">
        <v>1023.5799999999999</v>
      </c>
      <c r="J2817" s="16">
        <v>260080.04253276868</v>
      </c>
      <c r="K2817" s="5">
        <v>3.3941373343116747E-2</v>
      </c>
      <c r="L2817" s="10">
        <v>137374.60070000001</v>
      </c>
    </row>
    <row r="2818" spans="1:12" x14ac:dyDescent="0.25">
      <c r="A2818">
        <v>2817</v>
      </c>
      <c r="B2818" s="3">
        <v>0.2464724614385948</v>
      </c>
      <c r="C2818" s="3">
        <v>5.0105330730184319E-2</v>
      </c>
      <c r="D2818" s="1">
        <v>30129.355828773783</v>
      </c>
      <c r="E2818" s="1">
        <v>1317938</v>
      </c>
      <c r="F2818" s="1">
        <v>10755363</v>
      </c>
      <c r="G2818" s="16">
        <v>20066.378391439659</v>
      </c>
      <c r="H2818">
        <v>218.68</v>
      </c>
      <c r="I2818" s="1">
        <v>667.51</v>
      </c>
      <c r="J2818" s="16">
        <v>50195.734220213446</v>
      </c>
      <c r="K2818" s="5">
        <v>8.6152591182772603E-2</v>
      </c>
      <c r="L2818" s="10">
        <v>74882.170299999998</v>
      </c>
    </row>
    <row r="2819" spans="1:12" x14ac:dyDescent="0.25">
      <c r="A2819">
        <v>2818</v>
      </c>
      <c r="B2819" s="3">
        <v>0.19075865828852895</v>
      </c>
      <c r="C2819" s="3">
        <v>6.5463221854898307E-2</v>
      </c>
      <c r="D2819" s="1">
        <v>168557.47150728901</v>
      </c>
      <c r="E2819" s="1">
        <v>7355950</v>
      </c>
      <c r="F2819" s="1">
        <v>37302173</v>
      </c>
      <c r="G2819" s="16">
        <v>15186.529127822785</v>
      </c>
      <c r="H2819">
        <v>100.42</v>
      </c>
      <c r="I2819" s="1">
        <v>434.57</v>
      </c>
      <c r="J2819" s="16">
        <v>183744.00063511179</v>
      </c>
      <c r="K2819" s="5">
        <v>5.0442526243820861E-2</v>
      </c>
      <c r="L2819" s="10">
        <v>163442.73050000001</v>
      </c>
    </row>
    <row r="2820" spans="1:12" x14ac:dyDescent="0.25">
      <c r="A2820">
        <v>2819</v>
      </c>
      <c r="B2820" s="3">
        <v>0.2375580122704172</v>
      </c>
      <c r="C2820" s="3">
        <v>6.4205309351232975E-2</v>
      </c>
      <c r="D2820" s="1">
        <v>159411.99354235118</v>
      </c>
      <c r="E2820" s="1">
        <v>8828692</v>
      </c>
      <c r="F2820" s="1">
        <v>31109884</v>
      </c>
      <c r="G2820" s="16">
        <v>11564.691156990186</v>
      </c>
      <c r="H2820">
        <v>88.68</v>
      </c>
      <c r="I2820" s="1">
        <v>357.19</v>
      </c>
      <c r="J2820" s="16">
        <v>170976.68469934136</v>
      </c>
      <c r="K2820" s="5">
        <v>3.7980706557740856E-2</v>
      </c>
      <c r="L2820" s="10">
        <v>93468.246599999999</v>
      </c>
    </row>
    <row r="2821" spans="1:12" x14ac:dyDescent="0.25">
      <c r="A2821">
        <v>2820</v>
      </c>
      <c r="B2821" s="3">
        <v>0.18312465282822132</v>
      </c>
      <c r="C2821" s="3">
        <v>6.7204651099601304E-2</v>
      </c>
      <c r="D2821" s="1">
        <v>94170.831043092971</v>
      </c>
      <c r="E2821" s="1">
        <v>3233351</v>
      </c>
      <c r="F2821" s="1">
        <v>14704542</v>
      </c>
      <c r="G2821" s="16">
        <v>77119.884573853677</v>
      </c>
      <c r="H2821">
        <v>584.69000000000005</v>
      </c>
      <c r="I2821" s="1">
        <v>1286.47</v>
      </c>
      <c r="J2821" s="16">
        <v>171290.71561694663</v>
      </c>
      <c r="K2821" s="5">
        <v>-7.9203064753551704E-3</v>
      </c>
      <c r="L2821" s="10">
        <v>-12195.089900000001</v>
      </c>
    </row>
    <row r="2822" spans="1:12" x14ac:dyDescent="0.25">
      <c r="A2822">
        <v>2821</v>
      </c>
      <c r="B2822" s="3">
        <v>0.12505823874356931</v>
      </c>
      <c r="C2822" s="3">
        <v>2.6909644517685773E-2</v>
      </c>
      <c r="D2822" s="1">
        <v>142173.82819505935</v>
      </c>
      <c r="E2822" s="1">
        <v>4540527</v>
      </c>
      <c r="F2822" s="1">
        <v>29304701</v>
      </c>
      <c r="G2822" s="16">
        <v>60529.974611640537</v>
      </c>
      <c r="H2822">
        <v>231.92</v>
      </c>
      <c r="I2822" s="1">
        <v>641.67999999999995</v>
      </c>
      <c r="J2822" s="16">
        <v>202703.80280669988</v>
      </c>
      <c r="K2822" s="5">
        <v>-1.7426172071180555E-2</v>
      </c>
      <c r="L2822" s="10">
        <v>-58345.679499999998</v>
      </c>
    </row>
    <row r="2823" spans="1:12" x14ac:dyDescent="0.25">
      <c r="A2823">
        <v>2822</v>
      </c>
      <c r="B2823" s="3">
        <v>0.15904479897114496</v>
      </c>
      <c r="C2823" s="3">
        <v>3.5731796212495302E-2</v>
      </c>
      <c r="D2823" s="1">
        <v>94213.442980924316</v>
      </c>
      <c r="E2823" s="1">
        <v>2964817</v>
      </c>
      <c r="F2823" s="1">
        <v>16106894</v>
      </c>
      <c r="G2823" s="16">
        <v>48966.500204594035</v>
      </c>
      <c r="H2823">
        <v>294.82</v>
      </c>
      <c r="I2823" s="1">
        <v>1004.71</v>
      </c>
      <c r="J2823" s="16">
        <v>143179.94318551835</v>
      </c>
      <c r="K2823" s="5">
        <v>0.12934264950480687</v>
      </c>
      <c r="L2823" s="10">
        <v>449306.761</v>
      </c>
    </row>
    <row r="2824" spans="1:12" x14ac:dyDescent="0.25">
      <c r="A2824">
        <v>2823</v>
      </c>
      <c r="B2824" s="3">
        <v>0.20178168718388667</v>
      </c>
      <c r="C2824" s="3">
        <v>6.7899641928213836E-2</v>
      </c>
      <c r="D2824" s="1">
        <v>117471.92725197933</v>
      </c>
      <c r="E2824" s="1">
        <v>5415652</v>
      </c>
      <c r="F2824" s="1">
        <v>27204610</v>
      </c>
      <c r="G2824" s="16">
        <v>10606.498411992978</v>
      </c>
      <c r="H2824">
        <v>49.27</v>
      </c>
      <c r="I2824" s="1">
        <v>162.97999999999999</v>
      </c>
      <c r="J2824" s="16">
        <v>128078.4256639723</v>
      </c>
      <c r="K2824" s="5">
        <v>0.13536014913256289</v>
      </c>
      <c r="L2824" s="10">
        <v>203361.68789999999</v>
      </c>
    </row>
    <row r="2825" spans="1:12" x14ac:dyDescent="0.25">
      <c r="A2825">
        <v>2824</v>
      </c>
      <c r="B2825" s="3">
        <v>0.23294951320308785</v>
      </c>
      <c r="C2825" s="3">
        <v>7.214967516697951E-2</v>
      </c>
      <c r="D2825" s="1">
        <v>200570.56303192617</v>
      </c>
      <c r="E2825" s="1">
        <v>10843609</v>
      </c>
      <c r="F2825" s="1">
        <v>40549750</v>
      </c>
      <c r="G2825" s="16">
        <v>13949.003199606726</v>
      </c>
      <c r="H2825">
        <v>134.28</v>
      </c>
      <c r="I2825" s="1">
        <v>409.88</v>
      </c>
      <c r="J2825" s="16">
        <v>214519.5662315329</v>
      </c>
      <c r="K2825" s="5">
        <v>0.186563888913306</v>
      </c>
      <c r="L2825" s="10">
        <v>363669.96679999999</v>
      </c>
    </row>
    <row r="2826" spans="1:12" x14ac:dyDescent="0.25">
      <c r="A2826">
        <v>2825</v>
      </c>
      <c r="B2826" s="3">
        <v>0.2361783590970814</v>
      </c>
      <c r="C2826" s="3">
        <v>6.840938618163532E-2</v>
      </c>
      <c r="D2826" s="1">
        <v>203720.34725988429</v>
      </c>
      <c r="E2826" s="1">
        <v>19199294</v>
      </c>
      <c r="F2826" s="1">
        <v>91281117</v>
      </c>
      <c r="G2826" s="16">
        <v>13200.376774269331</v>
      </c>
      <c r="H2826">
        <v>100.1</v>
      </c>
      <c r="I2826" s="1">
        <v>285.35000000000002</v>
      </c>
      <c r="J2826" s="16">
        <v>216920.72403415362</v>
      </c>
      <c r="K2826" s="5">
        <v>-2.7970072423203249E-2</v>
      </c>
      <c r="L2826" s="10">
        <v>36236.161999999997</v>
      </c>
    </row>
    <row r="2827" spans="1:12" x14ac:dyDescent="0.25">
      <c r="A2827">
        <v>2826</v>
      </c>
      <c r="B2827" s="3">
        <v>0.1976843412766891</v>
      </c>
      <c r="C2827" s="3">
        <v>2.4682194354525445E-2</v>
      </c>
      <c r="D2827" s="1">
        <v>167019.60092087899</v>
      </c>
      <c r="E2827" s="1">
        <v>9402522</v>
      </c>
      <c r="F2827" s="1">
        <v>43673068</v>
      </c>
      <c r="G2827" s="16">
        <v>13992.063006764167</v>
      </c>
      <c r="H2827">
        <v>78.98</v>
      </c>
      <c r="I2827" s="1">
        <v>221.98000000000002</v>
      </c>
      <c r="J2827" s="16">
        <v>181011.66392764315</v>
      </c>
      <c r="K2827" s="5">
        <v>0.21130523768166912</v>
      </c>
      <c r="L2827" s="10">
        <v>1336998.868</v>
      </c>
    </row>
    <row r="2828" spans="1:12" x14ac:dyDescent="0.25">
      <c r="A2828">
        <v>2827</v>
      </c>
      <c r="B2828" s="3">
        <v>0.18975388100191293</v>
      </c>
      <c r="C2828" s="3">
        <v>4.5021708943662031E-2</v>
      </c>
      <c r="D2828" s="1">
        <v>245082.57113933162</v>
      </c>
      <c r="E2828" s="1">
        <v>10642592</v>
      </c>
      <c r="F2828" s="1">
        <v>41759834</v>
      </c>
      <c r="G2828" s="16">
        <v>22102.551267702449</v>
      </c>
      <c r="H2828">
        <v>145.13999999999999</v>
      </c>
      <c r="I2828" s="1">
        <v>384.39</v>
      </c>
      <c r="J2828" s="16">
        <v>267185.12240703404</v>
      </c>
      <c r="K2828" s="5">
        <v>0.21461799494154371</v>
      </c>
      <c r="L2828" s="10">
        <v>976232.5368</v>
      </c>
    </row>
    <row r="2829" spans="1:12" x14ac:dyDescent="0.25">
      <c r="A2829">
        <v>2828</v>
      </c>
      <c r="B2829" s="3">
        <v>0.21444855300627616</v>
      </c>
      <c r="C2829" s="3">
        <v>4.8464011012415445E-2</v>
      </c>
      <c r="D2829" s="1">
        <v>63107.992283795786</v>
      </c>
      <c r="E2829" s="1">
        <v>2436481</v>
      </c>
      <c r="F2829" s="1">
        <v>16296299</v>
      </c>
      <c r="G2829" s="16">
        <v>20004.803470839506</v>
      </c>
      <c r="H2829">
        <v>163.12</v>
      </c>
      <c r="I2829" s="1">
        <v>430.61</v>
      </c>
      <c r="J2829" s="16">
        <v>83112.795754635299</v>
      </c>
      <c r="K2829" s="5">
        <v>6.7091458530728204E-2</v>
      </c>
      <c r="L2829" s="10">
        <v>94612.120999999999</v>
      </c>
    </row>
    <row r="2830" spans="1:12" x14ac:dyDescent="0.25">
      <c r="A2830">
        <v>2829</v>
      </c>
      <c r="B2830" s="3">
        <v>0.1902728148157527</v>
      </c>
      <c r="C2830" s="3">
        <v>2.0911425553876303E-2</v>
      </c>
      <c r="D2830" s="1">
        <v>92509.297978987379</v>
      </c>
      <c r="E2830" s="1">
        <v>3261158</v>
      </c>
      <c r="F2830" s="1">
        <v>16137604</v>
      </c>
      <c r="G2830" s="16">
        <v>9471.9557865675724</v>
      </c>
      <c r="H2830">
        <v>50.59</v>
      </c>
      <c r="I2830" s="1">
        <v>214.87</v>
      </c>
      <c r="J2830" s="16">
        <v>101981.25376555495</v>
      </c>
      <c r="K2830" s="5">
        <v>0.18682327244875274</v>
      </c>
      <c r="L2830" s="10">
        <v>812444.58429999999</v>
      </c>
    </row>
    <row r="2831" spans="1:12" x14ac:dyDescent="0.25">
      <c r="A2831">
        <v>2830</v>
      </c>
      <c r="B2831" s="3">
        <v>0.2451961580294382</v>
      </c>
      <c r="C2831" s="3">
        <v>3.8936610551058022E-2</v>
      </c>
      <c r="D2831" s="1">
        <v>353849.78052323271</v>
      </c>
      <c r="E2831" s="1">
        <v>35811083</v>
      </c>
      <c r="F2831" s="1">
        <v>105335509</v>
      </c>
      <c r="G2831" s="16">
        <v>9054.6241332860482</v>
      </c>
      <c r="H2831">
        <v>73.510000000000005</v>
      </c>
      <c r="I2831" s="1">
        <v>245.54000000000002</v>
      </c>
      <c r="J2831" s="16">
        <v>362904.40465651877</v>
      </c>
      <c r="K2831" s="5">
        <v>0.21085117366098405</v>
      </c>
      <c r="L2831" s="10">
        <v>1573732.0289</v>
      </c>
    </row>
    <row r="2832" spans="1:12" x14ac:dyDescent="0.25">
      <c r="A2832">
        <v>2831</v>
      </c>
      <c r="B2832" s="3">
        <v>0.1023543462295206</v>
      </c>
      <c r="C2832" s="3">
        <v>7.5160681996737921E-2</v>
      </c>
      <c r="D2832" s="1">
        <v>108606.34930213627</v>
      </c>
      <c r="E2832" s="1">
        <v>2522593</v>
      </c>
      <c r="F2832" s="1">
        <v>9812821</v>
      </c>
      <c r="G2832" s="16">
        <v>56607.066873823314</v>
      </c>
      <c r="H2832">
        <v>181.26</v>
      </c>
      <c r="I2832" s="1">
        <v>651.65</v>
      </c>
      <c r="J2832" s="16">
        <v>165213.41617595957</v>
      </c>
      <c r="K2832" s="5">
        <v>0.28590806413735059</v>
      </c>
      <c r="L2832" s="10">
        <v>389210.27429999999</v>
      </c>
    </row>
    <row r="2833" spans="1:12" x14ac:dyDescent="0.25">
      <c r="A2833">
        <v>2832</v>
      </c>
      <c r="B2833" s="3">
        <v>0.11750638330331227</v>
      </c>
      <c r="C2833" s="3">
        <v>5.5034088271236029E-2</v>
      </c>
      <c r="D2833" s="1">
        <v>55527.996109074833</v>
      </c>
      <c r="E2833" s="1">
        <v>1334416</v>
      </c>
      <c r="F2833" s="1">
        <v>8295214</v>
      </c>
      <c r="G2833" s="16">
        <v>29832.996231889832</v>
      </c>
      <c r="H2833">
        <v>94.99</v>
      </c>
      <c r="I2833" s="1">
        <v>383.12</v>
      </c>
      <c r="J2833" s="16">
        <v>85360.992340964673</v>
      </c>
      <c r="K2833" s="5">
        <v>0.13163524873019672</v>
      </c>
      <c r="L2833" s="10">
        <v>175339.9264</v>
      </c>
    </row>
    <row r="2834" spans="1:12" x14ac:dyDescent="0.25">
      <c r="A2834">
        <v>2833</v>
      </c>
      <c r="B2834" s="3">
        <v>0.14794355201906512</v>
      </c>
      <c r="C2834" s="3">
        <v>7.7435413148835286E-2</v>
      </c>
      <c r="D2834" s="1">
        <v>151770.49279259323</v>
      </c>
      <c r="E2834" s="1">
        <v>5389103</v>
      </c>
      <c r="F2834" s="1">
        <v>22369663</v>
      </c>
      <c r="G2834" s="16">
        <v>23156.522007155665</v>
      </c>
      <c r="H2834">
        <v>90.96</v>
      </c>
      <c r="I2834" s="1">
        <v>277.58999999999997</v>
      </c>
      <c r="J2834" s="16">
        <v>174927.0147997489</v>
      </c>
      <c r="K2834" s="5">
        <v>0.10602779265948442</v>
      </c>
      <c r="L2834" s="10">
        <v>172551.77799999999</v>
      </c>
    </row>
    <row r="2835" spans="1:12" x14ac:dyDescent="0.25">
      <c r="A2835">
        <v>2834</v>
      </c>
      <c r="B2835" s="3">
        <v>0.20057695050046409</v>
      </c>
      <c r="C2835" s="3">
        <v>5.3418185822073028E-2</v>
      </c>
      <c r="D2835" s="1">
        <v>127862.52034530009</v>
      </c>
      <c r="E2835" s="1">
        <v>5859215</v>
      </c>
      <c r="F2835" s="1">
        <v>26776009</v>
      </c>
      <c r="G2835" s="16">
        <v>9354.3400685308607</v>
      </c>
      <c r="H2835">
        <v>43.18</v>
      </c>
      <c r="I2835" s="1">
        <v>181.53</v>
      </c>
      <c r="J2835" s="16">
        <v>137216.86041383096</v>
      </c>
      <c r="K2835" s="5">
        <v>9.3096056654347531E-2</v>
      </c>
      <c r="L2835" s="10">
        <v>226067.8774</v>
      </c>
    </row>
    <row r="2836" spans="1:12" x14ac:dyDescent="0.25">
      <c r="A2836">
        <v>2835</v>
      </c>
      <c r="B2836" s="3">
        <v>0.16206389376755451</v>
      </c>
      <c r="C2836" s="3">
        <v>6.1944990836274666E-2</v>
      </c>
      <c r="D2836" s="1">
        <v>105343.87770620885</v>
      </c>
      <c r="E2836" s="1">
        <v>3351041</v>
      </c>
      <c r="F2836" s="1">
        <v>15220137</v>
      </c>
      <c r="G2836" s="16">
        <v>26972.202248141006</v>
      </c>
      <c r="H2836">
        <v>117.29</v>
      </c>
      <c r="I2836" s="1">
        <v>337.78000000000003</v>
      </c>
      <c r="J2836" s="16">
        <v>132316.07995434984</v>
      </c>
      <c r="K2836" s="5">
        <v>0.12373790061283721</v>
      </c>
      <c r="L2836" s="10">
        <v>211190.7837</v>
      </c>
    </row>
    <row r="2837" spans="1:12" x14ac:dyDescent="0.25">
      <c r="A2837">
        <v>2836</v>
      </c>
      <c r="B2837" s="3">
        <v>0.21539190998091029</v>
      </c>
      <c r="C2837" s="3">
        <v>5.2179230949055952E-2</v>
      </c>
      <c r="D2837" s="1">
        <v>180850.33218503546</v>
      </c>
      <c r="E2837" s="1">
        <v>8931230</v>
      </c>
      <c r="F2837" s="1">
        <v>42756335</v>
      </c>
      <c r="G2837" s="16">
        <v>15970.048002458645</v>
      </c>
      <c r="H2837">
        <v>131.25</v>
      </c>
      <c r="I2837" s="1">
        <v>402.69</v>
      </c>
      <c r="J2837" s="16">
        <v>196820.3801874941</v>
      </c>
      <c r="K2837" s="5">
        <v>0.10952365955648534</v>
      </c>
      <c r="L2837" s="10">
        <v>321164.8849</v>
      </c>
    </row>
    <row r="2838" spans="1:12" x14ac:dyDescent="0.25">
      <c r="A2838">
        <v>2837</v>
      </c>
      <c r="B2838" s="3">
        <v>0.11201598450460154</v>
      </c>
      <c r="C2838" s="3">
        <v>7.5102956274020624E-2</v>
      </c>
      <c r="D2838" s="1">
        <v>242596.89501312457</v>
      </c>
      <c r="E2838" s="1">
        <v>7302424</v>
      </c>
      <c r="F2838" s="1">
        <v>35050153</v>
      </c>
      <c r="G2838" s="16">
        <v>18682.431740334123</v>
      </c>
      <c r="H2838">
        <v>57.46</v>
      </c>
      <c r="I2838" s="1">
        <v>243.27</v>
      </c>
      <c r="J2838" s="16">
        <v>261279.32675345868</v>
      </c>
      <c r="K2838" s="5">
        <v>-0.17188191671683031</v>
      </c>
      <c r="L2838" s="10">
        <v>-352314.85519999999</v>
      </c>
    </row>
    <row r="2839" spans="1:12" x14ac:dyDescent="0.25">
      <c r="A2839">
        <v>2838</v>
      </c>
      <c r="B2839" s="3">
        <v>0.20042788561584035</v>
      </c>
      <c r="C2839" s="3">
        <v>4.672444439355701E-2</v>
      </c>
      <c r="D2839" s="1">
        <v>116084.82626068578</v>
      </c>
      <c r="E2839" s="1">
        <v>5315553</v>
      </c>
      <c r="F2839" s="1">
        <v>24114453</v>
      </c>
      <c r="G2839" s="16">
        <v>21204.547809689582</v>
      </c>
      <c r="H2839">
        <v>122</v>
      </c>
      <c r="I2839" s="1">
        <v>313.57</v>
      </c>
      <c r="J2839" s="16">
        <v>137289.37407037534</v>
      </c>
      <c r="K2839" s="5">
        <v>0.11452340133409145</v>
      </c>
      <c r="L2839" s="10">
        <v>287422.96139999997</v>
      </c>
    </row>
    <row r="2840" spans="1:12" x14ac:dyDescent="0.25">
      <c r="A2840">
        <v>2839</v>
      </c>
      <c r="B2840" s="3">
        <v>0.13040092294151062</v>
      </c>
      <c r="C2840" s="3">
        <v>7.9620047360318719E-2</v>
      </c>
      <c r="D2840" s="1">
        <v>94700.379634031022</v>
      </c>
      <c r="E2840" s="1">
        <v>2695241</v>
      </c>
      <c r="F2840" s="1">
        <v>16422335</v>
      </c>
      <c r="G2840" s="16">
        <v>52547.782448914149</v>
      </c>
      <c r="H2840">
        <v>210.57</v>
      </c>
      <c r="I2840" s="1">
        <v>605.28</v>
      </c>
      <c r="J2840" s="16">
        <v>147248.16208294517</v>
      </c>
      <c r="K2840" s="5">
        <v>-1.6556652002620968E-2</v>
      </c>
      <c r="L2840" s="10">
        <v>6348.058</v>
      </c>
    </row>
    <row r="2841" spans="1:12" x14ac:dyDescent="0.25">
      <c r="A2841">
        <v>2840</v>
      </c>
      <c r="B2841" s="3">
        <v>0.14971651738866582</v>
      </c>
      <c r="C2841" s="3">
        <v>6.4765321563251307E-2</v>
      </c>
      <c r="D2841" s="1">
        <v>181449.52785003994</v>
      </c>
      <c r="E2841" s="1">
        <v>5524167</v>
      </c>
      <c r="F2841" s="1">
        <v>19435108</v>
      </c>
      <c r="G2841" s="16">
        <v>62612.315703675398</v>
      </c>
      <c r="H2841">
        <v>344.75</v>
      </c>
      <c r="I2841" s="1">
        <v>852.56999999999994</v>
      </c>
      <c r="J2841" s="16">
        <v>244061.84355371533</v>
      </c>
      <c r="K2841" s="5">
        <v>0.1260191337307624</v>
      </c>
      <c r="L2841" s="10">
        <v>293645.04680000001</v>
      </c>
    </row>
    <row r="2842" spans="1:12" x14ac:dyDescent="0.25">
      <c r="A2842">
        <v>2841</v>
      </c>
      <c r="B2842" s="3">
        <v>0.17284326644486409</v>
      </c>
      <c r="C2842" s="3">
        <v>2.7869863036117257E-2</v>
      </c>
      <c r="D2842" s="1">
        <v>183069.24081376177</v>
      </c>
      <c r="E2842" s="1">
        <v>7319260</v>
      </c>
      <c r="F2842" s="1">
        <v>29259365</v>
      </c>
      <c r="G2842" s="16">
        <v>25296.884510052696</v>
      </c>
      <c r="H2842">
        <v>118.88</v>
      </c>
      <c r="I2842" s="1">
        <v>325.14999999999998</v>
      </c>
      <c r="J2842" s="16">
        <v>208366.12532381446</v>
      </c>
      <c r="K2842" s="5">
        <v>-0.11022621725293363</v>
      </c>
      <c r="L2842" s="10">
        <v>-629208.04240000003</v>
      </c>
    </row>
    <row r="2843" spans="1:12" x14ac:dyDescent="0.25">
      <c r="A2843">
        <v>2842</v>
      </c>
      <c r="B2843" s="3">
        <v>0.1737387572313337</v>
      </c>
      <c r="C2843" s="3">
        <v>4.8542676363504886E-2</v>
      </c>
      <c r="D2843" s="1">
        <v>278379.06826236547</v>
      </c>
      <c r="E2843" s="1">
        <v>13528584</v>
      </c>
      <c r="F2843" s="1">
        <v>61922307</v>
      </c>
      <c r="G2843" s="16">
        <v>17000.140029293667</v>
      </c>
      <c r="H2843">
        <v>80.37</v>
      </c>
      <c r="I2843" s="1">
        <v>249.01</v>
      </c>
      <c r="J2843" s="16">
        <v>295379.20829165913</v>
      </c>
      <c r="K2843" s="5">
        <v>0.23445684086512122</v>
      </c>
      <c r="L2843" s="10">
        <v>1104577.9826</v>
      </c>
    </row>
    <row r="2844" spans="1:12" x14ac:dyDescent="0.25">
      <c r="A2844">
        <v>2843</v>
      </c>
      <c r="B2844" s="3">
        <v>0.16549610428109862</v>
      </c>
      <c r="C2844" s="3">
        <v>3.8084564165557999E-2</v>
      </c>
      <c r="D2844" s="1">
        <v>60787.34239121728</v>
      </c>
      <c r="E2844" s="1">
        <v>1957632</v>
      </c>
      <c r="F2844" s="1">
        <v>11712597</v>
      </c>
      <c r="G2844" s="16">
        <v>39292.302569404012</v>
      </c>
      <c r="H2844">
        <v>209.49</v>
      </c>
      <c r="I2844" s="1">
        <v>586.54999999999995</v>
      </c>
      <c r="J2844" s="16">
        <v>100079.64496062128</v>
      </c>
      <c r="K2844" s="5">
        <v>4.7511861996266808E-4</v>
      </c>
      <c r="L2844" s="10">
        <v>28942.4094</v>
      </c>
    </row>
    <row r="2845" spans="1:12" x14ac:dyDescent="0.25">
      <c r="A2845">
        <v>2844</v>
      </c>
      <c r="B2845" s="3">
        <v>0.10968052986733363</v>
      </c>
      <c r="C2845" s="3">
        <v>5.2598881017752147E-2</v>
      </c>
      <c r="D2845" s="1">
        <v>112538.35389994086</v>
      </c>
      <c r="E2845" s="1">
        <v>2984461</v>
      </c>
      <c r="F2845" s="1">
        <v>20706970</v>
      </c>
      <c r="G2845" s="16">
        <v>65643.481594946948</v>
      </c>
      <c r="H2845">
        <v>222.51</v>
      </c>
      <c r="I2845" s="1">
        <v>761.77</v>
      </c>
      <c r="J2845" s="16">
        <v>178181.83549488781</v>
      </c>
      <c r="K2845" s="5">
        <v>4.3753316162206145E-2</v>
      </c>
      <c r="L2845" s="10">
        <v>112224.9249</v>
      </c>
    </row>
    <row r="2846" spans="1:12" x14ac:dyDescent="0.25">
      <c r="A2846">
        <v>2845</v>
      </c>
      <c r="B2846" s="3">
        <v>0.17607314342204133</v>
      </c>
      <c r="C2846" s="3">
        <v>2.1194069548876579E-2</v>
      </c>
      <c r="D2846" s="1">
        <v>371803.51593885646</v>
      </c>
      <c r="E2846" s="1">
        <v>18326228</v>
      </c>
      <c r="F2846" s="1">
        <v>63324730</v>
      </c>
      <c r="G2846" s="16">
        <v>28886.497187926478</v>
      </c>
      <c r="H2846">
        <v>168.73</v>
      </c>
      <c r="I2846" s="1">
        <v>562.46</v>
      </c>
      <c r="J2846" s="16">
        <v>400690.01312678296</v>
      </c>
      <c r="K2846" s="5">
        <v>0.18421009487044471</v>
      </c>
      <c r="L2846" s="10">
        <v>3090559.0419999999</v>
      </c>
    </row>
    <row r="2847" spans="1:12" x14ac:dyDescent="0.25">
      <c r="A2847">
        <v>2846</v>
      </c>
      <c r="B2847" s="3">
        <v>0.17749776376779167</v>
      </c>
      <c r="C2847" s="3">
        <v>4.9561738396607359E-2</v>
      </c>
      <c r="D2847" s="1">
        <v>289242.72882545053</v>
      </c>
      <c r="E2847" s="1">
        <v>14380687</v>
      </c>
      <c r="F2847" s="1">
        <v>45394446</v>
      </c>
      <c r="G2847" s="16">
        <v>34822.015846211958</v>
      </c>
      <c r="H2847">
        <v>205.68</v>
      </c>
      <c r="I2847" s="1">
        <v>732.02</v>
      </c>
      <c r="J2847" s="16">
        <v>324064.74467166245</v>
      </c>
      <c r="K2847" s="5">
        <v>0.19998260015472838</v>
      </c>
      <c r="L2847" s="10">
        <v>926024.39800000004</v>
      </c>
    </row>
    <row r="2848" spans="1:12" x14ac:dyDescent="0.25">
      <c r="A2848">
        <v>2847</v>
      </c>
      <c r="B2848" s="3">
        <v>0.1139804978515504</v>
      </c>
      <c r="C2848" s="3">
        <v>3.8815562236079404E-2</v>
      </c>
      <c r="D2848" s="1">
        <v>155125.23955087439</v>
      </c>
      <c r="E2848" s="1">
        <v>4174027</v>
      </c>
      <c r="F2848" s="1">
        <v>15845963</v>
      </c>
      <c r="G2848" s="16">
        <v>53681.996422445511</v>
      </c>
      <c r="H2848">
        <v>188.37</v>
      </c>
      <c r="I2848" s="1">
        <v>518.79999999999995</v>
      </c>
      <c r="J2848" s="16">
        <v>208807.23597331991</v>
      </c>
      <c r="K2848" s="5">
        <v>0.14428811911237099</v>
      </c>
      <c r="L2848" s="10">
        <v>622116.0784</v>
      </c>
    </row>
    <row r="2849" spans="1:12" x14ac:dyDescent="0.25">
      <c r="A2849">
        <v>2848</v>
      </c>
      <c r="B2849" s="3">
        <v>0.20334531738547124</v>
      </c>
      <c r="C2849" s="3">
        <v>5.9134790776597904E-2</v>
      </c>
      <c r="D2849" s="1">
        <v>127042.05224139744</v>
      </c>
      <c r="E2849" s="1">
        <v>5902958</v>
      </c>
      <c r="F2849" s="1">
        <v>27685347</v>
      </c>
      <c r="G2849" s="16">
        <v>22910.36593232429</v>
      </c>
      <c r="H2849">
        <v>169.2</v>
      </c>
      <c r="I2849" s="1">
        <v>485.55</v>
      </c>
      <c r="J2849" s="16">
        <v>149952.41817372173</v>
      </c>
      <c r="K2849" s="5">
        <v>-1.7210590758907081E-2</v>
      </c>
      <c r="L2849" s="10">
        <v>-5749.1297000000004</v>
      </c>
    </row>
    <row r="2850" spans="1:12" x14ac:dyDescent="0.25">
      <c r="A2850">
        <v>2849</v>
      </c>
      <c r="B2850" s="3">
        <v>0.24803521094889319</v>
      </c>
      <c r="C2850" s="3">
        <v>7.1247288558697233E-2</v>
      </c>
      <c r="D2850" s="1">
        <v>223377.73207369435</v>
      </c>
      <c r="E2850" s="1">
        <v>17388229</v>
      </c>
      <c r="F2850" s="1">
        <v>58291786</v>
      </c>
      <c r="G2850" s="16">
        <v>27036.398773658548</v>
      </c>
      <c r="H2850">
        <v>397.94</v>
      </c>
      <c r="I2850" s="1">
        <v>1042.08</v>
      </c>
      <c r="J2850" s="16">
        <v>250414.13084735291</v>
      </c>
      <c r="K2850" s="5">
        <v>1.6451623489002629E-2</v>
      </c>
      <c r="L2850" s="10">
        <v>72203.061700000006</v>
      </c>
    </row>
    <row r="2851" spans="1:12" x14ac:dyDescent="0.25">
      <c r="A2851">
        <v>2850</v>
      </c>
      <c r="B2851" s="3">
        <v>0.19583118053951604</v>
      </c>
      <c r="C2851" s="3">
        <v>6.53611029454568E-2</v>
      </c>
      <c r="D2851" s="1">
        <v>61280.957760326419</v>
      </c>
      <c r="E2851" s="1">
        <v>2205402</v>
      </c>
      <c r="F2851" s="1">
        <v>14259472</v>
      </c>
      <c r="G2851" s="16">
        <v>17710.559737166819</v>
      </c>
      <c r="H2851">
        <v>122.48</v>
      </c>
      <c r="I2851" s="1">
        <v>535.03</v>
      </c>
      <c r="J2851" s="16">
        <v>78991.517497493245</v>
      </c>
      <c r="K2851" s="5">
        <v>0.23558154765429165</v>
      </c>
      <c r="L2851" s="10">
        <v>220541.22210000001</v>
      </c>
    </row>
    <row r="2852" spans="1:12" x14ac:dyDescent="0.25">
      <c r="A2852">
        <v>2851</v>
      </c>
      <c r="B2852" s="3">
        <v>0.18927652508709411</v>
      </c>
      <c r="C2852" s="3">
        <v>2.4804401454011839E-2</v>
      </c>
      <c r="D2852" s="1">
        <v>203319.9241257346</v>
      </c>
      <c r="E2852" s="1">
        <v>10864724</v>
      </c>
      <c r="F2852" s="1">
        <v>44263830</v>
      </c>
      <c r="G2852" s="16">
        <v>27192.457762727943</v>
      </c>
      <c r="H2852">
        <v>177.86</v>
      </c>
      <c r="I2852" s="1">
        <v>508.81</v>
      </c>
      <c r="J2852" s="16">
        <v>230512.38188846255</v>
      </c>
      <c r="K2852" s="5">
        <v>0.24936448384944548</v>
      </c>
      <c r="L2852" s="10">
        <v>2031573.9328000001</v>
      </c>
    </row>
    <row r="2853" spans="1:12" x14ac:dyDescent="0.25">
      <c r="A2853">
        <v>2852</v>
      </c>
      <c r="B2853" s="3">
        <v>0.17301353208881645</v>
      </c>
      <c r="C2853" s="3">
        <v>5.0173226976672702E-2</v>
      </c>
      <c r="D2853" s="1">
        <v>157876.7824586434</v>
      </c>
      <c r="E2853" s="1">
        <v>6317237</v>
      </c>
      <c r="F2853" s="1">
        <v>21508795</v>
      </c>
      <c r="G2853" s="16">
        <v>71993.73178308885</v>
      </c>
      <c r="H2853">
        <v>494.94</v>
      </c>
      <c r="I2853" s="1">
        <v>1310.68</v>
      </c>
      <c r="J2853" s="16">
        <v>229870.51424173225</v>
      </c>
      <c r="K2853" s="5">
        <v>5.3301629947959617E-2</v>
      </c>
      <c r="L2853" s="10">
        <v>200236.3548</v>
      </c>
    </row>
    <row r="2854" spans="1:12" x14ac:dyDescent="0.25">
      <c r="A2854">
        <v>2853</v>
      </c>
      <c r="B2854" s="3">
        <v>0.18635166984306059</v>
      </c>
      <c r="C2854" s="3">
        <v>6.1535674507038937E-2</v>
      </c>
      <c r="D2854" s="1">
        <v>182125.93539051301</v>
      </c>
      <c r="E2854" s="1">
        <v>9558523</v>
      </c>
      <c r="F2854" s="1">
        <v>44891595</v>
      </c>
      <c r="G2854" s="16">
        <v>28047.528066832761</v>
      </c>
      <c r="H2854">
        <v>178.76</v>
      </c>
      <c r="I2854" s="1">
        <v>547.68999999999994</v>
      </c>
      <c r="J2854" s="16">
        <v>210173.46345734579</v>
      </c>
      <c r="K2854" s="5">
        <v>0.15337647336317525</v>
      </c>
      <c r="L2854" s="10">
        <v>409293.29129999998</v>
      </c>
    </row>
    <row r="2855" spans="1:12" x14ac:dyDescent="0.25">
      <c r="A2855">
        <v>2854</v>
      </c>
      <c r="B2855" s="3">
        <v>0.1794075708998131</v>
      </c>
      <c r="C2855" s="3">
        <v>7.6145980854556386E-2</v>
      </c>
      <c r="D2855" s="1">
        <v>104343.36011677382</v>
      </c>
      <c r="E2855" s="1">
        <v>4306825</v>
      </c>
      <c r="F2855" s="1">
        <v>22903739</v>
      </c>
      <c r="G2855" s="16">
        <v>17684.81562346801</v>
      </c>
      <c r="H2855">
        <v>87.11</v>
      </c>
      <c r="I2855" s="1">
        <v>323.85000000000002</v>
      </c>
      <c r="J2855" s="16">
        <v>122028.17574024183</v>
      </c>
      <c r="K2855" s="5">
        <v>0.13845534886823416</v>
      </c>
      <c r="L2855" s="10">
        <v>164097.43729999999</v>
      </c>
    </row>
    <row r="2856" spans="1:12" x14ac:dyDescent="0.25">
      <c r="A2856">
        <v>2855</v>
      </c>
      <c r="B2856" s="3">
        <v>0.12007908243793285</v>
      </c>
      <c r="C2856" s="3">
        <v>3.0725200769521479E-2</v>
      </c>
      <c r="D2856" s="1">
        <v>265956.24143654568</v>
      </c>
      <c r="E2856" s="1">
        <v>8303070</v>
      </c>
      <c r="F2856" s="1">
        <v>39616460</v>
      </c>
      <c r="G2856" s="16">
        <v>24325.21369768486</v>
      </c>
      <c r="H2856">
        <v>78.81</v>
      </c>
      <c r="I2856" s="1">
        <v>261.44</v>
      </c>
      <c r="J2856" s="16">
        <v>290281.45513423055</v>
      </c>
      <c r="K2856" s="5">
        <v>0.12651945495526815</v>
      </c>
      <c r="L2856" s="10">
        <v>1026891.9814</v>
      </c>
    </row>
    <row r="2857" spans="1:12" x14ac:dyDescent="0.25">
      <c r="A2857">
        <v>2856</v>
      </c>
      <c r="B2857" s="3">
        <v>0.16083588379605449</v>
      </c>
      <c r="C2857" s="3">
        <v>3.4522787621980952E-2</v>
      </c>
      <c r="D2857" s="1">
        <v>113284.14237768872</v>
      </c>
      <c r="E2857" s="1">
        <v>3587824</v>
      </c>
      <c r="F2857" s="1">
        <v>17974730</v>
      </c>
      <c r="G2857" s="16">
        <v>13797.214112140098</v>
      </c>
      <c r="H2857">
        <v>50</v>
      </c>
      <c r="I2857" s="1">
        <v>176.7</v>
      </c>
      <c r="J2857" s="16">
        <v>127081.35648982882</v>
      </c>
      <c r="K2857" s="5">
        <v>0.13686067078191502</v>
      </c>
      <c r="L2857" s="10">
        <v>429610.82179999998</v>
      </c>
    </row>
    <row r="2858" spans="1:12" x14ac:dyDescent="0.25">
      <c r="A2858">
        <v>2857</v>
      </c>
      <c r="B2858" s="3">
        <v>0.14251133469794711</v>
      </c>
      <c r="C2858" s="3">
        <v>6.506063159893527E-2</v>
      </c>
      <c r="D2858" s="1">
        <v>307209.77189212758</v>
      </c>
      <c r="E2858" s="1">
        <v>10634678</v>
      </c>
      <c r="F2858" s="1">
        <v>37283098</v>
      </c>
      <c r="G2858" s="16">
        <v>40453.395572255227</v>
      </c>
      <c r="H2858">
        <v>178.42</v>
      </c>
      <c r="I2858" s="1">
        <v>447.06999999999994</v>
      </c>
      <c r="J2858" s="16">
        <v>347663.16746438283</v>
      </c>
      <c r="K2858" s="5">
        <v>0.18186783011192703</v>
      </c>
      <c r="L2858" s="10">
        <v>649260.08750000002</v>
      </c>
    </row>
    <row r="2859" spans="1:12" x14ac:dyDescent="0.25">
      <c r="A2859">
        <v>2858</v>
      </c>
      <c r="B2859" s="3">
        <v>0.19273618969931644</v>
      </c>
      <c r="C2859" s="3">
        <v>7.0392761861410844E-2</v>
      </c>
      <c r="D2859" s="1">
        <v>373212.10846793489</v>
      </c>
      <c r="E2859" s="1">
        <v>20374251</v>
      </c>
      <c r="F2859" s="1">
        <v>68693108</v>
      </c>
      <c r="G2859" s="16">
        <v>46503.337935381933</v>
      </c>
      <c r="H2859">
        <v>312.95</v>
      </c>
      <c r="I2859" s="1">
        <v>750.25</v>
      </c>
      <c r="J2859" s="16">
        <v>419715.4464033168</v>
      </c>
      <c r="K2859" s="5">
        <v>0.15906621008882363</v>
      </c>
      <c r="L2859" s="10">
        <v>593868.69739999995</v>
      </c>
    </row>
    <row r="2860" spans="1:12" x14ac:dyDescent="0.25">
      <c r="A2860">
        <v>2859</v>
      </c>
      <c r="B2860" s="3">
        <v>0.19559485929067083</v>
      </c>
      <c r="C2860" s="3">
        <v>5.9984960911150381E-2</v>
      </c>
      <c r="D2860" s="1">
        <v>43950.966768699225</v>
      </c>
      <c r="E2860" s="1">
        <v>1580328</v>
      </c>
      <c r="F2860" s="1">
        <v>14806182</v>
      </c>
      <c r="G2860" s="16">
        <v>67095.002376820325</v>
      </c>
      <c r="H2860">
        <v>715.35</v>
      </c>
      <c r="I2860" s="1">
        <v>1831.8000000000002</v>
      </c>
      <c r="J2860" s="16">
        <v>111045.96914551954</v>
      </c>
      <c r="K2860" s="5">
        <v>7.2995807836508053E-2</v>
      </c>
      <c r="L2860" s="10">
        <v>111320.79889999999</v>
      </c>
    </row>
    <row r="2861" spans="1:12" x14ac:dyDescent="0.25">
      <c r="A2861">
        <v>2860</v>
      </c>
      <c r="B2861" s="3">
        <v>0.23889714748740576</v>
      </c>
      <c r="C2861" s="3">
        <v>6.8134008316893563E-2</v>
      </c>
      <c r="D2861" s="1">
        <v>191954.68180532873</v>
      </c>
      <c r="E2861" s="1">
        <v>14066461</v>
      </c>
      <c r="F2861" s="1">
        <v>43328820</v>
      </c>
      <c r="G2861" s="16">
        <v>24593.939149950304</v>
      </c>
      <c r="H2861">
        <v>250.51</v>
      </c>
      <c r="I2861" s="1">
        <v>710.81</v>
      </c>
      <c r="J2861" s="16">
        <v>216548.62095527904</v>
      </c>
      <c r="K2861" s="5">
        <v>0.1154596908734476</v>
      </c>
      <c r="L2861" s="10">
        <v>239157.10209999999</v>
      </c>
    </row>
    <row r="2862" spans="1:12" x14ac:dyDescent="0.25">
      <c r="A2862">
        <v>2861</v>
      </c>
      <c r="B2862" s="3">
        <v>0.1926461012458216</v>
      </c>
      <c r="C2862" s="3">
        <v>7.1397847380257312E-2</v>
      </c>
      <c r="D2862" s="1">
        <v>108254.95174801118</v>
      </c>
      <c r="E2862" s="1">
        <v>4768651</v>
      </c>
      <c r="F2862" s="1">
        <v>24937036</v>
      </c>
      <c r="G2862" s="16">
        <v>12868.839738065386</v>
      </c>
      <c r="H2862">
        <v>69.92</v>
      </c>
      <c r="I2862" s="1">
        <v>225.95</v>
      </c>
      <c r="J2862" s="16">
        <v>121123.79148607657</v>
      </c>
      <c r="K2862" s="5">
        <v>2.2433896455442338E-2</v>
      </c>
      <c r="L2862" s="10">
        <v>52451.183299999997</v>
      </c>
    </row>
    <row r="2863" spans="1:12" x14ac:dyDescent="0.25">
      <c r="A2863">
        <v>2862</v>
      </c>
      <c r="B2863" s="3">
        <v>0.18331158838094611</v>
      </c>
      <c r="C2863" s="3">
        <v>6.2682389518649489E-2</v>
      </c>
      <c r="D2863" s="1">
        <v>114525.8963990771</v>
      </c>
      <c r="E2863" s="1">
        <v>4818163</v>
      </c>
      <c r="F2863" s="1">
        <v>24441905</v>
      </c>
      <c r="G2863" s="16">
        <v>21107.9201147186</v>
      </c>
      <c r="H2863">
        <v>131.03</v>
      </c>
      <c r="I2863" s="1">
        <v>434.62</v>
      </c>
      <c r="J2863" s="16">
        <v>135633.8165137957</v>
      </c>
      <c r="K2863" s="5">
        <v>0.22160331291424579</v>
      </c>
      <c r="L2863" s="10">
        <v>361955.99660000001</v>
      </c>
    </row>
    <row r="2864" spans="1:12" x14ac:dyDescent="0.25">
      <c r="A2864">
        <v>2863</v>
      </c>
      <c r="B2864" s="3">
        <v>0.17955843848805225</v>
      </c>
      <c r="C2864" s="3">
        <v>6.5407792763876677E-2</v>
      </c>
      <c r="D2864" s="1">
        <v>163899.05809294444</v>
      </c>
      <c r="E2864" s="1">
        <v>6770004</v>
      </c>
      <c r="F2864" s="1">
        <v>22315383</v>
      </c>
      <c r="G2864" s="16">
        <v>17944.041917738039</v>
      </c>
      <c r="H2864">
        <v>88.43</v>
      </c>
      <c r="I2864" s="1">
        <v>298.87</v>
      </c>
      <c r="J2864" s="16">
        <v>181843.10001068248</v>
      </c>
      <c r="K2864" s="5">
        <v>6.9268012796436899E-3</v>
      </c>
      <c r="L2864" s="10">
        <v>24197.431499999999</v>
      </c>
    </row>
    <row r="2865" spans="1:12" x14ac:dyDescent="0.25">
      <c r="A2865">
        <v>2864</v>
      </c>
      <c r="B2865" s="3">
        <v>0.21905917974374309</v>
      </c>
      <c r="C2865" s="3">
        <v>4.8696535855076065E-2</v>
      </c>
      <c r="D2865" s="1">
        <v>87251.408777567427</v>
      </c>
      <c r="E2865" s="1">
        <v>5621921</v>
      </c>
      <c r="F2865" s="1">
        <v>43421078</v>
      </c>
      <c r="G2865" s="16">
        <v>15626.852964303345</v>
      </c>
      <c r="H2865">
        <v>132.69</v>
      </c>
      <c r="I2865" s="1">
        <v>390.5</v>
      </c>
      <c r="J2865" s="16">
        <v>102878.26174187077</v>
      </c>
      <c r="K2865" s="5">
        <v>8.5065519041580176E-2</v>
      </c>
      <c r="L2865" s="10">
        <v>204259.2249</v>
      </c>
    </row>
    <row r="2866" spans="1:12" x14ac:dyDescent="0.25">
      <c r="A2866">
        <v>2865</v>
      </c>
      <c r="B2866" s="3">
        <v>0.23953784015282742</v>
      </c>
      <c r="C2866" s="3">
        <v>7.3935848347861655E-2</v>
      </c>
      <c r="D2866" s="1">
        <v>271698.48178459518</v>
      </c>
      <c r="E2866" s="1">
        <v>19994120</v>
      </c>
      <c r="F2866" s="1">
        <v>58057440</v>
      </c>
      <c r="G2866" s="16">
        <v>19813.701057600567</v>
      </c>
      <c r="H2866">
        <v>202.94</v>
      </c>
      <c r="I2866" s="1">
        <v>699.84</v>
      </c>
      <c r="J2866" s="16">
        <v>291512.18284219573</v>
      </c>
      <c r="K2866" s="5">
        <v>0.15548611957727498</v>
      </c>
      <c r="L2866" s="10">
        <v>416069.16889999999</v>
      </c>
    </row>
    <row r="2867" spans="1:12" x14ac:dyDescent="0.25">
      <c r="A2867">
        <v>2866</v>
      </c>
      <c r="B2867" s="3">
        <v>0.11816841028154235</v>
      </c>
      <c r="C2867" s="3">
        <v>2.2817810185510629E-2</v>
      </c>
      <c r="D2867" s="1">
        <v>252380.9304256216</v>
      </c>
      <c r="E2867" s="1">
        <v>7811190</v>
      </c>
      <c r="F2867" s="1">
        <v>26927505</v>
      </c>
      <c r="G2867" s="16">
        <v>44021.818032020179</v>
      </c>
      <c r="H2867">
        <v>159.62</v>
      </c>
      <c r="I2867" s="1">
        <v>640.56999999999994</v>
      </c>
      <c r="J2867" s="16">
        <v>296402.74845764181</v>
      </c>
      <c r="K2867" s="5">
        <v>0.11973591270106256</v>
      </c>
      <c r="L2867" s="10">
        <v>1360279.6006</v>
      </c>
    </row>
    <row r="2868" spans="1:12" x14ac:dyDescent="0.25">
      <c r="A2868">
        <v>2867</v>
      </c>
      <c r="B2868" s="3">
        <v>0.18270212578467693</v>
      </c>
      <c r="C2868" s="3">
        <v>5.7098540625083113E-2</v>
      </c>
      <c r="D2868" s="1">
        <v>226619.50048086725</v>
      </c>
      <c r="E2868" s="1">
        <v>9505588</v>
      </c>
      <c r="F2868" s="1">
        <v>36778611</v>
      </c>
      <c r="G2868" s="16">
        <v>14544.575533407722</v>
      </c>
      <c r="H2868">
        <v>73.47</v>
      </c>
      <c r="I2868" s="1">
        <v>287.85000000000002</v>
      </c>
      <c r="J2868" s="16">
        <v>241164.07601427496</v>
      </c>
      <c r="K2868" s="5">
        <v>0.1644495677967957</v>
      </c>
      <c r="L2868" s="10">
        <v>507857.42300000001</v>
      </c>
    </row>
    <row r="2869" spans="1:12" x14ac:dyDescent="0.25">
      <c r="A2869">
        <v>2868</v>
      </c>
      <c r="B2869" s="3">
        <v>0.22230021113893814</v>
      </c>
      <c r="C2869" s="3">
        <v>6.4944282161088246E-2</v>
      </c>
      <c r="D2869" s="1">
        <v>151824.50622581106</v>
      </c>
      <c r="E2869" s="1">
        <v>7767779</v>
      </c>
      <c r="F2869" s="1">
        <v>32483636</v>
      </c>
      <c r="G2869" s="16">
        <v>17064.384324228729</v>
      </c>
      <c r="H2869">
        <v>116.24</v>
      </c>
      <c r="I2869" s="1">
        <v>377.25</v>
      </c>
      <c r="J2869" s="16">
        <v>168888.8905500398</v>
      </c>
      <c r="K2869" s="5">
        <v>0.25991059866134225</v>
      </c>
      <c r="L2869" s="10">
        <v>484196.34730000002</v>
      </c>
    </row>
    <row r="2870" spans="1:12" x14ac:dyDescent="0.25">
      <c r="A2870">
        <v>2869</v>
      </c>
      <c r="B2870" s="3">
        <v>0.24796778192603719</v>
      </c>
      <c r="C2870" s="3">
        <v>4.3521540160881743E-2</v>
      </c>
      <c r="D2870" s="1">
        <v>91077.302878666276</v>
      </c>
      <c r="E2870" s="1">
        <v>5329265</v>
      </c>
      <c r="F2870" s="1">
        <v>21958682</v>
      </c>
      <c r="G2870" s="16">
        <v>17725.252707859177</v>
      </c>
      <c r="H2870">
        <v>196.06</v>
      </c>
      <c r="I2870" s="1">
        <v>635.24</v>
      </c>
      <c r="J2870" s="16">
        <v>108802.55558652546</v>
      </c>
      <c r="K2870" s="5">
        <v>0.292777750355042</v>
      </c>
      <c r="L2870" s="10">
        <v>573060.07929999998</v>
      </c>
    </row>
    <row r="2871" spans="1:12" x14ac:dyDescent="0.25">
      <c r="A2871">
        <v>2870</v>
      </c>
      <c r="B2871" s="3">
        <v>0.15143656363353547</v>
      </c>
      <c r="C2871" s="3">
        <v>7.2963455178984907E-2</v>
      </c>
      <c r="D2871" s="1">
        <v>530251.6806906308</v>
      </c>
      <c r="E2871" s="1">
        <v>22556047</v>
      </c>
      <c r="F2871" s="1">
        <v>59362105</v>
      </c>
      <c r="G2871" s="16">
        <v>26259.284050129649</v>
      </c>
      <c r="H2871">
        <v>124.48</v>
      </c>
      <c r="I2871" s="1">
        <v>431.68000000000006</v>
      </c>
      <c r="J2871" s="16">
        <v>556510.96474076051</v>
      </c>
      <c r="K2871" s="5">
        <v>-1.4726071901271807E-2</v>
      </c>
      <c r="L2871" s="10">
        <v>-13514.8048</v>
      </c>
    </row>
    <row r="2872" spans="1:12" x14ac:dyDescent="0.25">
      <c r="A2872">
        <v>2871</v>
      </c>
      <c r="B2872" s="3">
        <v>0.18278219914931337</v>
      </c>
      <c r="C2872" s="3">
        <v>2.330878458959134E-2</v>
      </c>
      <c r="D2872" s="1">
        <v>356530.51524436095</v>
      </c>
      <c r="E2872" s="1">
        <v>14960563</v>
      </c>
      <c r="F2872" s="1">
        <v>41834790</v>
      </c>
      <c r="G2872" s="16">
        <v>27121.100971000938</v>
      </c>
      <c r="H2872">
        <v>167.74</v>
      </c>
      <c r="I2872" s="1">
        <v>509.74</v>
      </c>
      <c r="J2872" s="16">
        <v>383651.61621536186</v>
      </c>
      <c r="K2872" s="5">
        <v>2.9746951276757826E-2</v>
      </c>
      <c r="L2872" s="10">
        <v>435303.63050000003</v>
      </c>
    </row>
    <row r="2873" spans="1:12" x14ac:dyDescent="0.25">
      <c r="A2873">
        <v>2872</v>
      </c>
      <c r="B2873" s="3">
        <v>0.24764771156704177</v>
      </c>
      <c r="C2873" s="3">
        <v>4.7167205005405721E-2</v>
      </c>
      <c r="D2873" s="1">
        <v>144002.73677437296</v>
      </c>
      <c r="E2873" s="1">
        <v>8411799</v>
      </c>
      <c r="F2873" s="1">
        <v>35037646</v>
      </c>
      <c r="G2873" s="16">
        <v>11567.581097986546</v>
      </c>
      <c r="H2873">
        <v>127.59</v>
      </c>
      <c r="I2873" s="1">
        <v>474.36</v>
      </c>
      <c r="J2873" s="16">
        <v>155570.3178723595</v>
      </c>
      <c r="K2873" s="5">
        <v>0.10034589756350849</v>
      </c>
      <c r="L2873" s="10">
        <v>270454.79590000003</v>
      </c>
    </row>
    <row r="2874" spans="1:12" x14ac:dyDescent="0.25">
      <c r="A2874">
        <v>2873</v>
      </c>
      <c r="B2874" s="3">
        <v>0.10030117908169428</v>
      </c>
      <c r="C2874" s="3">
        <v>7.4773806220510719E-2</v>
      </c>
      <c r="D2874" s="1">
        <v>319028.91875315376</v>
      </c>
      <c r="E2874" s="1">
        <v>9112630</v>
      </c>
      <c r="F2874" s="1">
        <v>28298829</v>
      </c>
      <c r="G2874" s="16">
        <v>48933.421330103803</v>
      </c>
      <c r="H2874">
        <v>154.43</v>
      </c>
      <c r="I2874" s="1">
        <v>386.08000000000004</v>
      </c>
      <c r="J2874" s="16">
        <v>367962.34008325759</v>
      </c>
      <c r="K2874" s="5">
        <v>0.38695649545774191</v>
      </c>
      <c r="L2874" s="10">
        <v>1143891.4161</v>
      </c>
    </row>
    <row r="2875" spans="1:12" x14ac:dyDescent="0.25">
      <c r="A2875">
        <v>2874</v>
      </c>
      <c r="B2875" s="3">
        <v>0.17852262278683007</v>
      </c>
      <c r="C2875" s="3">
        <v>5.1007675831796606E-2</v>
      </c>
      <c r="D2875" s="1">
        <v>226901.72761202333</v>
      </c>
      <c r="E2875" s="1">
        <v>9325210</v>
      </c>
      <c r="F2875" s="1">
        <v>26665727</v>
      </c>
      <c r="G2875" s="16">
        <v>23919.341301613593</v>
      </c>
      <c r="H2875">
        <v>117.12</v>
      </c>
      <c r="I2875" s="1">
        <v>382.89</v>
      </c>
      <c r="J2875" s="16">
        <v>250821.06891363693</v>
      </c>
      <c r="K2875" s="5">
        <v>0.11671957429897813</v>
      </c>
      <c r="L2875" s="10">
        <v>431832.77149999997</v>
      </c>
    </row>
    <row r="2876" spans="1:12" x14ac:dyDescent="0.25">
      <c r="A2876">
        <v>2875</v>
      </c>
      <c r="B2876" s="3">
        <v>0.20532981194787714</v>
      </c>
      <c r="C2876" s="3">
        <v>5.984705682558375E-2</v>
      </c>
      <c r="D2876" s="1">
        <v>167805.52138480003</v>
      </c>
      <c r="E2876" s="1">
        <v>7875195</v>
      </c>
      <c r="F2876" s="1">
        <v>29635026</v>
      </c>
      <c r="G2876" s="16">
        <v>20004.706187139203</v>
      </c>
      <c r="H2876">
        <v>119.52</v>
      </c>
      <c r="I2876" s="1">
        <v>365.59</v>
      </c>
      <c r="J2876" s="16">
        <v>187810.22757193923</v>
      </c>
      <c r="K2876" s="5">
        <v>0.17183107001473163</v>
      </c>
      <c r="L2876" s="10">
        <v>384276.36369999999</v>
      </c>
    </row>
    <row r="2877" spans="1:12" x14ac:dyDescent="0.25">
      <c r="A2877">
        <v>2876</v>
      </c>
      <c r="B2877" s="3">
        <v>0.12334161999046196</v>
      </c>
      <c r="C2877" s="3">
        <v>3.6199818303247033E-2</v>
      </c>
      <c r="D2877" s="1">
        <v>222559.9095585157</v>
      </c>
      <c r="E2877" s="1">
        <v>7052264</v>
      </c>
      <c r="F2877" s="1">
        <v>42567408</v>
      </c>
      <c r="G2877" s="16">
        <v>33580.054502501698</v>
      </c>
      <c r="H2877">
        <v>127.1</v>
      </c>
      <c r="I2877" s="1">
        <v>387.38</v>
      </c>
      <c r="J2877" s="16">
        <v>256139.96406101741</v>
      </c>
      <c r="K2877" s="5">
        <v>4.4532870209835505E-2</v>
      </c>
      <c r="L2877" s="10">
        <v>267401.31439999997</v>
      </c>
    </row>
    <row r="2878" spans="1:12" x14ac:dyDescent="0.25">
      <c r="A2878">
        <v>2877</v>
      </c>
      <c r="B2878" s="3">
        <v>0.24171614301671723</v>
      </c>
      <c r="C2878" s="3">
        <v>2.2101366610323227E-2</v>
      </c>
      <c r="D2878" s="1">
        <v>72825.563742026949</v>
      </c>
      <c r="E2878" s="1">
        <v>3126019</v>
      </c>
      <c r="F2878" s="1">
        <v>21066269</v>
      </c>
      <c r="G2878" s="16">
        <v>13281.416511746915</v>
      </c>
      <c r="H2878">
        <v>105.03</v>
      </c>
      <c r="I2878" s="1">
        <v>377.43999999999994</v>
      </c>
      <c r="J2878" s="16">
        <v>86106.980253773858</v>
      </c>
      <c r="K2878" s="5">
        <v>5.6276711500221115E-2</v>
      </c>
      <c r="L2878" s="10">
        <v>215527.9008</v>
      </c>
    </row>
    <row r="2879" spans="1:12" x14ac:dyDescent="0.25">
      <c r="A2879">
        <v>2878</v>
      </c>
      <c r="B2879" s="3">
        <v>0.16157807695754003</v>
      </c>
      <c r="C2879" s="3">
        <v>7.3858650408842291E-2</v>
      </c>
      <c r="D2879" s="1">
        <v>84958.561179099503</v>
      </c>
      <c r="E2879" s="1">
        <v>3217806</v>
      </c>
      <c r="F2879" s="1">
        <v>22444916</v>
      </c>
      <c r="G2879" s="16">
        <v>18291.931111090315</v>
      </c>
      <c r="H2879">
        <v>79.28</v>
      </c>
      <c r="I2879" s="1">
        <v>276.52</v>
      </c>
      <c r="J2879" s="16">
        <v>103250.49229018981</v>
      </c>
      <c r="K2879" s="5">
        <v>6.902819626435841E-2</v>
      </c>
      <c r="L2879" s="10">
        <v>113826.5993</v>
      </c>
    </row>
    <row r="2880" spans="1:12" x14ac:dyDescent="0.25">
      <c r="A2880">
        <v>2879</v>
      </c>
      <c r="B2880" s="3">
        <v>0.14632986316689028</v>
      </c>
      <c r="C2880" s="3">
        <v>7.6907386862100677E-2</v>
      </c>
      <c r="D2880" s="1">
        <v>79471.110040112253</v>
      </c>
      <c r="E2880" s="1">
        <v>2390794</v>
      </c>
      <c r="F2880" s="1">
        <v>20039525</v>
      </c>
      <c r="G2880" s="16">
        <v>24975.417855490679</v>
      </c>
      <c r="H2880">
        <v>96.85</v>
      </c>
      <c r="I2880" s="1">
        <v>259.64</v>
      </c>
      <c r="J2880" s="16">
        <v>104446.52789560294</v>
      </c>
      <c r="K2880" s="5">
        <v>3.2619317312758959E-2</v>
      </c>
      <c r="L2880" s="10">
        <v>50817.339200000002</v>
      </c>
    </row>
    <row r="2881" spans="1:12" x14ac:dyDescent="0.25">
      <c r="A2881">
        <v>2880</v>
      </c>
      <c r="B2881" s="3">
        <v>0.1763541221674256</v>
      </c>
      <c r="C2881" s="3">
        <v>3.4395737817594738E-2</v>
      </c>
      <c r="D2881" s="1">
        <v>242300.97942378055</v>
      </c>
      <c r="E2881" s="1">
        <v>9853624</v>
      </c>
      <c r="F2881" s="1">
        <v>30132129</v>
      </c>
      <c r="G2881" s="16">
        <v>27800.598570662474</v>
      </c>
      <c r="H2881">
        <v>162.85</v>
      </c>
      <c r="I2881" s="1">
        <v>486.12</v>
      </c>
      <c r="J2881" s="16">
        <v>270101.57799444301</v>
      </c>
      <c r="K2881" s="5">
        <v>6.4449761205403439E-2</v>
      </c>
      <c r="L2881" s="10">
        <v>416162.08039999998</v>
      </c>
    </row>
    <row r="2882" spans="1:12" x14ac:dyDescent="0.25">
      <c r="A2882">
        <v>2881</v>
      </c>
      <c r="B2882" s="3">
        <v>0.12345034924259486</v>
      </c>
      <c r="C2882" s="3">
        <v>5.379347808741787E-2</v>
      </c>
      <c r="D2882" s="1">
        <v>568127.88405836595</v>
      </c>
      <c r="E2882" s="1">
        <v>20547841</v>
      </c>
      <c r="F2882" s="1">
        <v>57292994</v>
      </c>
      <c r="G2882" s="16">
        <v>26978.84677965982</v>
      </c>
      <c r="H2882">
        <v>89.54</v>
      </c>
      <c r="I2882" s="1">
        <v>370.75</v>
      </c>
      <c r="J2882" s="16">
        <v>595106.7308380258</v>
      </c>
      <c r="K2882" s="5">
        <v>4.3783163961846158E-2</v>
      </c>
      <c r="L2882" s="10">
        <v>324560.53090000001</v>
      </c>
    </row>
    <row r="2883" spans="1:12" x14ac:dyDescent="0.25">
      <c r="A2883">
        <v>2882</v>
      </c>
      <c r="B2883" s="3">
        <v>0.13028802480677373</v>
      </c>
      <c r="C2883" s="3">
        <v>6.8873414062334548E-2</v>
      </c>
      <c r="D2883" s="1">
        <v>245241.08589721844</v>
      </c>
      <c r="E2883" s="1">
        <v>8022219</v>
      </c>
      <c r="F2883" s="1">
        <v>35312223</v>
      </c>
      <c r="G2883" s="16">
        <v>57445.589791266328</v>
      </c>
      <c r="H2883">
        <v>229.61</v>
      </c>
      <c r="I2883" s="1">
        <v>683.08</v>
      </c>
      <c r="J2883" s="16">
        <v>302686.67568848474</v>
      </c>
      <c r="K2883" s="5">
        <v>8.4689025271338009E-2</v>
      </c>
      <c r="L2883" s="10">
        <v>209972.64920000001</v>
      </c>
    </row>
    <row r="2884" spans="1:12" x14ac:dyDescent="0.25">
      <c r="A2884">
        <v>2883</v>
      </c>
      <c r="B2884" s="3">
        <v>0.22156189292088035</v>
      </c>
      <c r="C2884" s="3">
        <v>5.233675103538532E-2</v>
      </c>
      <c r="D2884" s="1">
        <v>117261.67337278451</v>
      </c>
      <c r="E2884" s="1">
        <v>5976716</v>
      </c>
      <c r="F2884" s="1">
        <v>26754741</v>
      </c>
      <c r="G2884" s="16">
        <v>33688.94475036853</v>
      </c>
      <c r="H2884">
        <v>376.26</v>
      </c>
      <c r="I2884" s="1">
        <v>1062.32</v>
      </c>
      <c r="J2884" s="16">
        <v>150950.61812315305</v>
      </c>
      <c r="K2884" s="5">
        <v>5.1733459872886627E-2</v>
      </c>
      <c r="L2884" s="10">
        <v>141955.46789999999</v>
      </c>
    </row>
    <row r="2885" spans="1:12" x14ac:dyDescent="0.25">
      <c r="A2885">
        <v>2884</v>
      </c>
      <c r="B2885" s="3">
        <v>0.18359554115326104</v>
      </c>
      <c r="C2885" s="3">
        <v>5.3081392254331922E-2</v>
      </c>
      <c r="D2885" s="1">
        <v>198197.71050269096</v>
      </c>
      <c r="E2885" s="1">
        <v>8349871</v>
      </c>
      <c r="F2885" s="1">
        <v>34404521</v>
      </c>
      <c r="G2885" s="16">
        <v>11633.872153952827</v>
      </c>
      <c r="H2885">
        <v>59.08</v>
      </c>
      <c r="I2885" s="1">
        <v>222.01999999999998</v>
      </c>
      <c r="J2885" s="16">
        <v>209831.58265664379</v>
      </c>
      <c r="K2885" s="5">
        <v>0.16010765768562657</v>
      </c>
      <c r="L2885" s="10">
        <v>453148.10470000003</v>
      </c>
    </row>
    <row r="2886" spans="1:12" x14ac:dyDescent="0.25">
      <c r="A2886">
        <v>2885</v>
      </c>
      <c r="B2886" s="3">
        <v>0.2190570118410464</v>
      </c>
      <c r="C2886" s="3">
        <v>3.3409115556863198E-2</v>
      </c>
      <c r="D2886" s="1">
        <v>99370.096146507858</v>
      </c>
      <c r="E2886" s="1">
        <v>5000131</v>
      </c>
      <c r="F2886" s="1">
        <v>23024514</v>
      </c>
      <c r="G2886" s="16">
        <v>33935.383232757529</v>
      </c>
      <c r="H2886">
        <v>368.92</v>
      </c>
      <c r="I2886" s="1">
        <v>966.57000000000016</v>
      </c>
      <c r="J2886" s="16">
        <v>133305.47937926539</v>
      </c>
      <c r="K2886" s="5">
        <v>0.22114411149464996</v>
      </c>
      <c r="L2886" s="10">
        <v>745062.15870000003</v>
      </c>
    </row>
    <row r="2887" spans="1:12" x14ac:dyDescent="0.25">
      <c r="A2887">
        <v>2886</v>
      </c>
      <c r="B2887" s="3">
        <v>0.19930386204435985</v>
      </c>
      <c r="C2887" s="3">
        <v>2.2795365696981464E-2</v>
      </c>
      <c r="D2887" s="1">
        <v>163056.36967515061</v>
      </c>
      <c r="E2887" s="1">
        <v>7424537</v>
      </c>
      <c r="F2887" s="1">
        <v>25422803</v>
      </c>
      <c r="G2887" s="16">
        <v>8440.3021650811115</v>
      </c>
      <c r="H2887">
        <v>38.6</v>
      </c>
      <c r="I2887" s="1">
        <v>135.72999999999999</v>
      </c>
      <c r="J2887" s="16">
        <v>171496.67184023172</v>
      </c>
      <c r="K2887" s="5">
        <v>-6.0330248702840546E-3</v>
      </c>
      <c r="L2887" s="10">
        <v>-6473.0964999999997</v>
      </c>
    </row>
    <row r="2888" spans="1:12" x14ac:dyDescent="0.25">
      <c r="A2888">
        <v>2887</v>
      </c>
      <c r="B2888" s="3">
        <v>0.10267419706739338</v>
      </c>
      <c r="C2888" s="3">
        <v>7.6372287901450578E-2</v>
      </c>
      <c r="D2888" s="1">
        <v>236172.97039373114</v>
      </c>
      <c r="E2888" s="1">
        <v>6817612</v>
      </c>
      <c r="F2888" s="1">
        <v>26468514</v>
      </c>
      <c r="G2888" s="16">
        <v>81120.690878088848</v>
      </c>
      <c r="H2888">
        <v>290.43</v>
      </c>
      <c r="I2888" s="1">
        <v>879.11000000000013</v>
      </c>
      <c r="J2888" s="16">
        <v>317293.66127181996</v>
      </c>
      <c r="K2888" s="5">
        <v>0.16542428744043708</v>
      </c>
      <c r="L2888" s="10">
        <v>411116.5319</v>
      </c>
    </row>
    <row r="2889" spans="1:12" x14ac:dyDescent="0.25">
      <c r="A2889">
        <v>2888</v>
      </c>
      <c r="B2889" s="3">
        <v>0.24385225479691139</v>
      </c>
      <c r="C2889" s="3">
        <v>2.5912618996239561E-2</v>
      </c>
      <c r="D2889" s="1">
        <v>101567.69162154384</v>
      </c>
      <c r="E2889" s="1">
        <v>5814759</v>
      </c>
      <c r="F2889" s="1">
        <v>30512039</v>
      </c>
      <c r="G2889" s="16">
        <v>16531.12294413268</v>
      </c>
      <c r="H2889">
        <v>176.24</v>
      </c>
      <c r="I2889" s="1">
        <v>494.26</v>
      </c>
      <c r="J2889" s="16">
        <v>118098.81456567653</v>
      </c>
      <c r="K2889" s="5">
        <v>-1.0771305165117609E-2</v>
      </c>
      <c r="L2889" s="10">
        <v>1606.2886000000001</v>
      </c>
    </row>
    <row r="2890" spans="1:12" x14ac:dyDescent="0.25">
      <c r="A2890">
        <v>2889</v>
      </c>
      <c r="B2890" s="3">
        <v>0.24623354787415461</v>
      </c>
      <c r="C2890" s="3">
        <v>5.1013713049817187E-2</v>
      </c>
      <c r="D2890" s="1">
        <v>121335.89805418707</v>
      </c>
      <c r="E2890" s="1">
        <v>7034683</v>
      </c>
      <c r="F2890" s="1">
        <v>35875268</v>
      </c>
      <c r="G2890" s="16">
        <v>8956.2121444842996</v>
      </c>
      <c r="H2890">
        <v>73.489999999999995</v>
      </c>
      <c r="I2890" s="1">
        <v>240.77999999999997</v>
      </c>
      <c r="J2890" s="16">
        <v>130292.11019867138</v>
      </c>
      <c r="K2890" s="5">
        <v>0.13122664471045517</v>
      </c>
      <c r="L2890" s="10">
        <v>284697.30479999998</v>
      </c>
    </row>
    <row r="2891" spans="1:12" x14ac:dyDescent="0.25">
      <c r="A2891">
        <v>2890</v>
      </c>
      <c r="B2891" s="3">
        <v>0.18831932318692829</v>
      </c>
      <c r="C2891" s="3">
        <v>3.9382784749546818E-2</v>
      </c>
      <c r="D2891" s="1">
        <v>335921.54829123709</v>
      </c>
      <c r="E2891" s="1">
        <v>14484373</v>
      </c>
      <c r="F2891" s="1">
        <v>42176363</v>
      </c>
      <c r="G2891" s="16">
        <v>17250.033460826678</v>
      </c>
      <c r="H2891">
        <v>90.74</v>
      </c>
      <c r="I2891" s="1">
        <v>281.02</v>
      </c>
      <c r="J2891" s="16">
        <v>353171.58175206376</v>
      </c>
      <c r="K2891" s="5">
        <v>-8.108465703439513E-2</v>
      </c>
      <c r="L2891" s="10">
        <v>-497097.9878</v>
      </c>
    </row>
    <row r="2892" spans="1:12" x14ac:dyDescent="0.25">
      <c r="A2892">
        <v>2891</v>
      </c>
      <c r="B2892" s="3">
        <v>0.20042110193295959</v>
      </c>
      <c r="C2892" s="3">
        <v>2.2852588129057393E-2</v>
      </c>
      <c r="D2892" s="1">
        <v>163924.18879355697</v>
      </c>
      <c r="E2892" s="1">
        <v>7505863</v>
      </c>
      <c r="F2892" s="1">
        <v>39222059</v>
      </c>
      <c r="G2892" s="16">
        <v>17024.015764017102</v>
      </c>
      <c r="H2892">
        <v>97.93</v>
      </c>
      <c r="I2892" s="1">
        <v>353.03999999999996</v>
      </c>
      <c r="J2892" s="16">
        <v>180948.20455757406</v>
      </c>
      <c r="K2892" s="5">
        <v>0.17792465114361711</v>
      </c>
      <c r="L2892" s="10">
        <v>1272862.7113999999</v>
      </c>
    </row>
    <row r="2893" spans="1:12" x14ac:dyDescent="0.25">
      <c r="A2893">
        <v>2892</v>
      </c>
      <c r="B2893" s="3">
        <v>0.12404690302810828</v>
      </c>
      <c r="C2893" s="3">
        <v>2.5293434007068502E-2</v>
      </c>
      <c r="D2893" s="1">
        <v>125696.36626592898</v>
      </c>
      <c r="E2893" s="1">
        <v>3500127</v>
      </c>
      <c r="F2893" s="1">
        <v>14881272</v>
      </c>
      <c r="G2893" s="16">
        <v>31163.948983160579</v>
      </c>
      <c r="H2893">
        <v>103.89</v>
      </c>
      <c r="I2893" s="1">
        <v>302.86</v>
      </c>
      <c r="J2893" s="16">
        <v>156860.31524908956</v>
      </c>
      <c r="K2893" s="5">
        <v>0.15798011832885225</v>
      </c>
      <c r="L2893" s="10">
        <v>844362.97809999995</v>
      </c>
    </row>
    <row r="2894" spans="1:12" x14ac:dyDescent="0.25">
      <c r="A2894">
        <v>2893</v>
      </c>
      <c r="B2894" s="3">
        <v>0.20036331878322655</v>
      </c>
      <c r="C2894" s="3">
        <v>6.1284916001706852E-2</v>
      </c>
      <c r="D2894" s="1">
        <v>117866.46689194375</v>
      </c>
      <c r="E2894" s="1">
        <v>5395387</v>
      </c>
      <c r="F2894" s="1">
        <v>32716333</v>
      </c>
      <c r="G2894" s="16">
        <v>18888.628174536934</v>
      </c>
      <c r="H2894">
        <v>135.94999999999999</v>
      </c>
      <c r="I2894" s="1">
        <v>421.77</v>
      </c>
      <c r="J2894" s="16">
        <v>136755.09506648069</v>
      </c>
      <c r="K2894" s="5">
        <v>8.9832464368620385E-2</v>
      </c>
      <c r="L2894" s="10">
        <v>172509.29380000001</v>
      </c>
    </row>
    <row r="2895" spans="1:12" x14ac:dyDescent="0.25">
      <c r="A2895">
        <v>2894</v>
      </c>
      <c r="B2895" s="3">
        <v>0.22435183598125252</v>
      </c>
      <c r="C2895" s="3">
        <v>2.6750005646030008E-2</v>
      </c>
      <c r="D2895" s="1">
        <v>151574.8944065425</v>
      </c>
      <c r="E2895" s="1">
        <v>7837389</v>
      </c>
      <c r="F2895" s="1">
        <v>34516929</v>
      </c>
      <c r="G2895" s="16">
        <v>18071.108986307059</v>
      </c>
      <c r="H2895">
        <v>124.81</v>
      </c>
      <c r="I2895" s="1">
        <v>302.61</v>
      </c>
      <c r="J2895" s="16">
        <v>169646.00339284955</v>
      </c>
      <c r="K2895" s="5">
        <v>8.6334478099488993E-2</v>
      </c>
      <c r="L2895" s="10">
        <v>493047.64909999998</v>
      </c>
    </row>
    <row r="2896" spans="1:12" x14ac:dyDescent="0.25">
      <c r="A2896">
        <v>2895</v>
      </c>
      <c r="B2896" s="3">
        <v>0.18597047882069012</v>
      </c>
      <c r="C2896" s="3">
        <v>7.3816384623549766E-2</v>
      </c>
      <c r="D2896" s="1">
        <v>306254.56184303685</v>
      </c>
      <c r="E2896" s="1">
        <v>13053439</v>
      </c>
      <c r="F2896" s="1">
        <v>42345014</v>
      </c>
      <c r="G2896" s="16">
        <v>35173.282238748252</v>
      </c>
      <c r="H2896">
        <v>223.04</v>
      </c>
      <c r="I2896" s="1">
        <v>604.94999999999993</v>
      </c>
      <c r="J2896" s="16">
        <v>341427.84408178512</v>
      </c>
      <c r="K2896" s="5">
        <v>0.16988254999511004</v>
      </c>
      <c r="L2896" s="10">
        <v>508700.09080000001</v>
      </c>
    </row>
    <row r="2897" spans="1:12" x14ac:dyDescent="0.25">
      <c r="A2897">
        <v>2896</v>
      </c>
      <c r="B2897" s="3">
        <v>0.2398231721426537</v>
      </c>
      <c r="C2897" s="3">
        <v>3.3015229588907041E-2</v>
      </c>
      <c r="D2897" s="1">
        <v>14796.62470884062</v>
      </c>
      <c r="E2897" s="1">
        <v>479222</v>
      </c>
      <c r="F2897" s="1">
        <v>6814596</v>
      </c>
      <c r="G2897" s="16">
        <v>11905.978051613909</v>
      </c>
      <c r="H2897">
        <v>122.24</v>
      </c>
      <c r="I2897" s="1">
        <v>400.8</v>
      </c>
      <c r="J2897" s="16">
        <v>26702.602760454531</v>
      </c>
      <c r="K2897" s="5">
        <v>0.20286029780705708</v>
      </c>
      <c r="L2897" s="10">
        <v>147492.38190000001</v>
      </c>
    </row>
    <row r="2898" spans="1:12" x14ac:dyDescent="0.25">
      <c r="A2898">
        <v>2897</v>
      </c>
      <c r="B2898" s="3">
        <v>0.12675154489212945</v>
      </c>
      <c r="C2898" s="3">
        <v>7.4753410461079348E-2</v>
      </c>
      <c r="D2898" s="1">
        <v>82332.429136066174</v>
      </c>
      <c r="E2898" s="1">
        <v>2313980</v>
      </c>
      <c r="F2898" s="1">
        <v>12446173</v>
      </c>
      <c r="G2898" s="16">
        <v>35705.373258626976</v>
      </c>
      <c r="H2898">
        <v>120.97</v>
      </c>
      <c r="I2898" s="1">
        <v>337.22</v>
      </c>
      <c r="J2898" s="16">
        <v>118037.80239469315</v>
      </c>
      <c r="K2898" s="5">
        <v>4.9135031773265475E-2</v>
      </c>
      <c r="L2898" s="10">
        <v>58976.301399999997</v>
      </c>
    </row>
    <row r="2899" spans="1:12" x14ac:dyDescent="0.25">
      <c r="A2899">
        <v>2898</v>
      </c>
      <c r="B2899" s="3">
        <v>0.19034374129104822</v>
      </c>
      <c r="C2899" s="3">
        <v>7.6652600645438496E-2</v>
      </c>
      <c r="D2899" s="1">
        <v>129174.23575969874</v>
      </c>
      <c r="E2899" s="1">
        <v>6948239</v>
      </c>
      <c r="F2899" s="1">
        <v>43504660</v>
      </c>
      <c r="G2899" s="16">
        <v>17235.126460842439</v>
      </c>
      <c r="H2899">
        <v>113.53</v>
      </c>
      <c r="I2899" s="1">
        <v>418.32999999999993</v>
      </c>
      <c r="J2899" s="16">
        <v>146409.36222054117</v>
      </c>
      <c r="K2899" s="5">
        <v>0.11088932845177471</v>
      </c>
      <c r="L2899" s="10">
        <v>195064.76439999999</v>
      </c>
    </row>
    <row r="2900" spans="1:12" x14ac:dyDescent="0.25">
      <c r="A2900">
        <v>2899</v>
      </c>
      <c r="B2900" s="3">
        <v>0.17688395701341159</v>
      </c>
      <c r="C2900" s="3">
        <v>4.6822823534355899E-2</v>
      </c>
      <c r="D2900" s="1">
        <v>102058.74101253856</v>
      </c>
      <c r="E2900" s="1">
        <v>3425072</v>
      </c>
      <c r="F2900" s="1">
        <v>15349152</v>
      </c>
      <c r="G2900" s="16">
        <v>26547.218168778763</v>
      </c>
      <c r="H2900">
        <v>128.53</v>
      </c>
      <c r="I2900" s="1">
        <v>356.15999999999997</v>
      </c>
      <c r="J2900" s="16">
        <v>128605.95918131733</v>
      </c>
      <c r="K2900" s="5">
        <v>3.676274786137107E-3</v>
      </c>
      <c r="L2900" s="10">
        <v>22650.370299999999</v>
      </c>
    </row>
    <row r="2901" spans="1:12" x14ac:dyDescent="0.25">
      <c r="A2901">
        <v>2900</v>
      </c>
      <c r="B2901" s="3">
        <v>0.12208405014106027</v>
      </c>
      <c r="C2901" s="3">
        <v>2.8136044757815983E-2</v>
      </c>
      <c r="D2901" s="1">
        <v>305493.15616595396</v>
      </c>
      <c r="E2901" s="1">
        <v>10963263</v>
      </c>
      <c r="F2901" s="1">
        <v>49944731</v>
      </c>
      <c r="G2901" s="16">
        <v>22069.686822931704</v>
      </c>
      <c r="H2901">
        <v>72.59</v>
      </c>
      <c r="I2901" s="1">
        <v>332.94000000000005</v>
      </c>
      <c r="J2901" s="16">
        <v>327562.84298888565</v>
      </c>
      <c r="K2901" s="5">
        <v>0.16531589855132955</v>
      </c>
      <c r="L2901" s="10">
        <v>1649375.6327</v>
      </c>
    </row>
    <row r="2902" spans="1:12" x14ac:dyDescent="0.25">
      <c r="A2902">
        <v>2901</v>
      </c>
      <c r="B2902" s="3">
        <v>0.23165054624879061</v>
      </c>
      <c r="C2902" s="3">
        <v>6.6394715004958096E-2</v>
      </c>
      <c r="D2902" s="1">
        <v>38191.645555004194</v>
      </c>
      <c r="E2902" s="1">
        <v>1575778</v>
      </c>
      <c r="F2902" s="1">
        <v>11896687</v>
      </c>
      <c r="G2902" s="16">
        <v>8958.3021885841554</v>
      </c>
      <c r="H2902">
        <v>65.430000000000007</v>
      </c>
      <c r="I2902" s="1">
        <v>228.56</v>
      </c>
      <c r="J2902" s="16">
        <v>47149.947743588345</v>
      </c>
      <c r="K2902" s="5">
        <v>0.23572856966050881</v>
      </c>
      <c r="L2902" s="10">
        <v>132072.1151</v>
      </c>
    </row>
    <row r="2903" spans="1:12" x14ac:dyDescent="0.25">
      <c r="A2903">
        <v>2902</v>
      </c>
      <c r="B2903" s="3">
        <v>0.11129108155145756</v>
      </c>
      <c r="C2903" s="3">
        <v>7.6309174352449841E-2</v>
      </c>
      <c r="D2903" s="1">
        <v>216253.15160952264</v>
      </c>
      <c r="E2903" s="1">
        <v>6488244</v>
      </c>
      <c r="F2903" s="1">
        <v>27791737</v>
      </c>
      <c r="G2903" s="16">
        <v>20467.326718083281</v>
      </c>
      <c r="H2903">
        <v>62.49</v>
      </c>
      <c r="I2903" s="1">
        <v>282</v>
      </c>
      <c r="J2903" s="16">
        <v>236720.47832760593</v>
      </c>
      <c r="K2903" s="5">
        <v>8.8009853897317664E-2</v>
      </c>
      <c r="L2903" s="10">
        <v>187907.71720000001</v>
      </c>
    </row>
    <row r="2904" spans="1:12" x14ac:dyDescent="0.25">
      <c r="A2904">
        <v>2903</v>
      </c>
      <c r="B2904" s="3">
        <v>0.22136402780844094</v>
      </c>
      <c r="C2904" s="3">
        <v>2.5278344641095039E-2</v>
      </c>
      <c r="D2904" s="1">
        <v>213000.1934927598</v>
      </c>
      <c r="E2904" s="1">
        <v>10845373</v>
      </c>
      <c r="F2904" s="1">
        <v>35373471</v>
      </c>
      <c r="G2904" s="16">
        <v>9527.6276249513721</v>
      </c>
      <c r="H2904">
        <v>50.2</v>
      </c>
      <c r="I2904" s="1">
        <v>170.87</v>
      </c>
      <c r="J2904" s="16">
        <v>222527.82111771117</v>
      </c>
      <c r="K2904" s="5">
        <v>-4.9762865673425458E-2</v>
      </c>
      <c r="L2904" s="10">
        <v>-337046.26610000001</v>
      </c>
    </row>
    <row r="2905" spans="1:12" x14ac:dyDescent="0.25">
      <c r="A2905">
        <v>2904</v>
      </c>
      <c r="B2905" s="3">
        <v>0.11158776489815864</v>
      </c>
      <c r="C2905" s="3">
        <v>7.1205238656586622E-2</v>
      </c>
      <c r="D2905" s="1">
        <v>251339.61097707687</v>
      </c>
      <c r="E2905" s="1">
        <v>7551009</v>
      </c>
      <c r="F2905" s="1">
        <v>26560357</v>
      </c>
      <c r="G2905" s="16">
        <v>69245.379983361068</v>
      </c>
      <c r="H2905">
        <v>238.42</v>
      </c>
      <c r="I2905" s="1">
        <v>754.06</v>
      </c>
      <c r="J2905" s="16">
        <v>320584.99096043792</v>
      </c>
      <c r="K2905" s="5">
        <v>9.4866927768261E-2</v>
      </c>
      <c r="L2905" s="10">
        <v>308396.7855</v>
      </c>
    </row>
    <row r="2906" spans="1:12" x14ac:dyDescent="0.25">
      <c r="A2906">
        <v>2905</v>
      </c>
      <c r="B2906" s="3">
        <v>0.20320716544787537</v>
      </c>
      <c r="C2906" s="3">
        <v>3.4370660625070534E-2</v>
      </c>
      <c r="D2906" s="1">
        <v>113964.3662085714</v>
      </c>
      <c r="E2906" s="1">
        <v>4216338</v>
      </c>
      <c r="F2906" s="1">
        <v>19633173</v>
      </c>
      <c r="G2906" s="16">
        <v>24498.261490575773</v>
      </c>
      <c r="H2906">
        <v>180.89</v>
      </c>
      <c r="I2906" s="1">
        <v>563.91</v>
      </c>
      <c r="J2906" s="16">
        <v>138462.62769914718</v>
      </c>
      <c r="K2906" s="5">
        <v>0.16316344952171485</v>
      </c>
      <c r="L2906" s="10">
        <v>534009.65240000002</v>
      </c>
    </row>
    <row r="2907" spans="1:12" x14ac:dyDescent="0.25">
      <c r="A2907">
        <v>2906</v>
      </c>
      <c r="B2907" s="3">
        <v>0.17333684675920466</v>
      </c>
      <c r="C2907" s="3">
        <v>6.0945226416922307E-2</v>
      </c>
      <c r="D2907" s="1">
        <v>138672.88250831323</v>
      </c>
      <c r="E2907" s="1">
        <v>4594181</v>
      </c>
      <c r="F2907" s="1">
        <v>16368010</v>
      </c>
      <c r="G2907" s="16">
        <v>49105.134208090698</v>
      </c>
      <c r="H2907">
        <v>339.13</v>
      </c>
      <c r="I2907" s="1">
        <v>1094.21</v>
      </c>
      <c r="J2907" s="16">
        <v>187778.01671640392</v>
      </c>
      <c r="K2907" s="5">
        <v>0.24797672240031796</v>
      </c>
      <c r="L2907" s="10">
        <v>502513.36</v>
      </c>
    </row>
    <row r="2908" spans="1:12" x14ac:dyDescent="0.25">
      <c r="A2908">
        <v>2907</v>
      </c>
      <c r="B2908" s="3">
        <v>0.16812767530586994</v>
      </c>
      <c r="C2908" s="3">
        <v>2.640079245112513E-2</v>
      </c>
      <c r="D2908" s="1">
        <v>274037.16471082356</v>
      </c>
      <c r="E2908" s="1">
        <v>12874467</v>
      </c>
      <c r="F2908" s="1">
        <v>51748365</v>
      </c>
      <c r="G2908" s="16">
        <v>9932.5427469646802</v>
      </c>
      <c r="H2908">
        <v>37.61</v>
      </c>
      <c r="I2908" s="1">
        <v>180.24</v>
      </c>
      <c r="J2908" s="16">
        <v>283969.70745778823</v>
      </c>
      <c r="K2908" s="5">
        <v>0.11159040223425562</v>
      </c>
      <c r="L2908" s="10">
        <v>1052640.9476000001</v>
      </c>
    </row>
    <row r="2909" spans="1:12" x14ac:dyDescent="0.25">
      <c r="A2909">
        <v>2908</v>
      </c>
      <c r="B2909" s="3">
        <v>0.19840864537627778</v>
      </c>
      <c r="C2909" s="3">
        <v>3.5663270034748465E-2</v>
      </c>
      <c r="D2909" s="1">
        <v>141899.43956508287</v>
      </c>
      <c r="E2909" s="1">
        <v>6432376</v>
      </c>
      <c r="F2909" s="1">
        <v>42097550</v>
      </c>
      <c r="G2909" s="16">
        <v>32556.492960748681</v>
      </c>
      <c r="H2909">
        <v>287.13</v>
      </c>
      <c r="I2909" s="1">
        <v>862.26</v>
      </c>
      <c r="J2909" s="16">
        <v>174455.93252583154</v>
      </c>
      <c r="K2909" s="5">
        <v>5.6535262393502941E-2</v>
      </c>
      <c r="L2909" s="10">
        <v>260798.87100000001</v>
      </c>
    </row>
    <row r="2910" spans="1:12" x14ac:dyDescent="0.25">
      <c r="A2910">
        <v>2909</v>
      </c>
      <c r="B2910" s="3">
        <v>0.19933090318980656</v>
      </c>
      <c r="C2910" s="3">
        <v>7.4775333432625171E-2</v>
      </c>
      <c r="D2910" s="1">
        <v>74453.325677931964</v>
      </c>
      <c r="E2910" s="1">
        <v>2714737</v>
      </c>
      <c r="F2910" s="1">
        <v>17687454</v>
      </c>
      <c r="G2910" s="16">
        <v>22493.03886589234</v>
      </c>
      <c r="H2910">
        <v>128.28</v>
      </c>
      <c r="I2910" s="1">
        <v>339.11</v>
      </c>
      <c r="J2910" s="16">
        <v>96946.364543824311</v>
      </c>
      <c r="K2910" s="5">
        <v>1.7695798388985662E-2</v>
      </c>
      <c r="L2910" s="10">
        <v>18975.243399999999</v>
      </c>
    </row>
    <row r="2911" spans="1:12" x14ac:dyDescent="0.25">
      <c r="A2911">
        <v>2910</v>
      </c>
      <c r="B2911" s="3">
        <v>0.11329870154267763</v>
      </c>
      <c r="C2911" s="3">
        <v>5.4398812137057065E-2</v>
      </c>
      <c r="D2911" s="1">
        <v>232753.31907317144</v>
      </c>
      <c r="E2911" s="1">
        <v>7046754</v>
      </c>
      <c r="F2911" s="1">
        <v>28418540</v>
      </c>
      <c r="G2911" s="16">
        <v>45664.155450091494</v>
      </c>
      <c r="H2911">
        <v>159.47999999999999</v>
      </c>
      <c r="I2911" s="1">
        <v>460.22</v>
      </c>
      <c r="J2911" s="16">
        <v>278417.47452326294</v>
      </c>
      <c r="K2911" s="5">
        <v>0.14923332880517293</v>
      </c>
      <c r="L2911" s="10">
        <v>571688.41079999995</v>
      </c>
    </row>
    <row r="2912" spans="1:12" x14ac:dyDescent="0.25">
      <c r="A2912">
        <v>2911</v>
      </c>
      <c r="B2912" s="3">
        <v>0.18646530827780045</v>
      </c>
      <c r="C2912" s="3">
        <v>6.349314368088764E-2</v>
      </c>
      <c r="D2912" s="1">
        <v>232369.27420973332</v>
      </c>
      <c r="E2912" s="1">
        <v>9928360</v>
      </c>
      <c r="F2912" s="1">
        <v>36803712</v>
      </c>
      <c r="G2912" s="16">
        <v>26298.935794890396</v>
      </c>
      <c r="H2912">
        <v>167.73</v>
      </c>
      <c r="I2912" s="1">
        <v>473.85</v>
      </c>
      <c r="J2912" s="16">
        <v>258668.21000462372</v>
      </c>
      <c r="K2912" s="5">
        <v>-2.9501792985166621E-2</v>
      </c>
      <c r="L2912" s="10">
        <v>-42751.005899999996</v>
      </c>
    </row>
    <row r="2913" spans="1:12" x14ac:dyDescent="0.25">
      <c r="A2913">
        <v>2912</v>
      </c>
      <c r="B2913" s="3">
        <v>0.18018825753427825</v>
      </c>
      <c r="C2913" s="3">
        <v>5.9439439284786871E-2</v>
      </c>
      <c r="D2913" s="1">
        <v>56250.261073157628</v>
      </c>
      <c r="E2913" s="1">
        <v>1910663</v>
      </c>
      <c r="F2913" s="1">
        <v>11143289</v>
      </c>
      <c r="G2913" s="16">
        <v>22470.46170749018</v>
      </c>
      <c r="H2913">
        <v>135.93</v>
      </c>
      <c r="I2913" s="1">
        <v>463.61</v>
      </c>
      <c r="J2913" s="16">
        <v>78720.722780647804</v>
      </c>
      <c r="K2913" s="5">
        <v>0.17669773638434511</v>
      </c>
      <c r="L2913" s="10">
        <v>168274.36550000001</v>
      </c>
    </row>
    <row r="2914" spans="1:12" x14ac:dyDescent="0.25">
      <c r="A2914">
        <v>2913</v>
      </c>
      <c r="B2914" s="3">
        <v>0.22796909996644316</v>
      </c>
      <c r="C2914" s="3">
        <v>4.8231772142989876E-2</v>
      </c>
      <c r="D2914" s="1">
        <v>43859.841544685209</v>
      </c>
      <c r="E2914" s="1">
        <v>1783880</v>
      </c>
      <c r="F2914" s="1">
        <v>12972139</v>
      </c>
      <c r="G2914" s="16">
        <v>21818.255879981676</v>
      </c>
      <c r="H2914">
        <v>200.74</v>
      </c>
      <c r="I2914" s="1">
        <v>669</v>
      </c>
      <c r="J2914" s="16">
        <v>65678.097424666892</v>
      </c>
      <c r="K2914" s="5">
        <v>-1.1564169796748382E-3</v>
      </c>
      <c r="L2914" s="10">
        <v>4771.5024999999996</v>
      </c>
    </row>
    <row r="2915" spans="1:12" x14ac:dyDescent="0.25">
      <c r="A2915">
        <v>2914</v>
      </c>
      <c r="B2915" s="3">
        <v>0.16919854130044332</v>
      </c>
      <c r="C2915" s="3">
        <v>2.8071098616039125E-2</v>
      </c>
      <c r="D2915" s="1">
        <v>61333.619072659349</v>
      </c>
      <c r="E2915" s="1">
        <v>1663055</v>
      </c>
      <c r="F2915" s="1">
        <v>9537653</v>
      </c>
      <c r="G2915" s="16">
        <v>40409.298032175029</v>
      </c>
      <c r="H2915">
        <v>222.48</v>
      </c>
      <c r="I2915" s="1">
        <v>677.02</v>
      </c>
      <c r="J2915" s="16">
        <v>101742.91710483437</v>
      </c>
      <c r="K2915" s="5">
        <v>0.10062161536421668</v>
      </c>
      <c r="L2915" s="10">
        <v>304125.75589999999</v>
      </c>
    </row>
    <row r="2916" spans="1:12" x14ac:dyDescent="0.25">
      <c r="A2916">
        <v>2915</v>
      </c>
      <c r="B2916" s="3">
        <v>0.19843318742727376</v>
      </c>
      <c r="C2916" s="3">
        <v>4.5356342773372874E-2</v>
      </c>
      <c r="D2916" s="1">
        <v>237042.11049209666</v>
      </c>
      <c r="E2916" s="1">
        <v>13406940</v>
      </c>
      <c r="F2916" s="1">
        <v>45812154</v>
      </c>
      <c r="G2916" s="16">
        <v>12959.952965252867</v>
      </c>
      <c r="H2916">
        <v>58.8</v>
      </c>
      <c r="I2916" s="1">
        <v>185.98000000000002</v>
      </c>
      <c r="J2916" s="16">
        <v>250002.06345734952</v>
      </c>
      <c r="K2916" s="5">
        <v>0.22363433590247547</v>
      </c>
      <c r="L2916" s="10">
        <v>971955.56969999999</v>
      </c>
    </row>
    <row r="2917" spans="1:12" x14ac:dyDescent="0.25">
      <c r="A2917">
        <v>2916</v>
      </c>
      <c r="B2917" s="3">
        <v>0.22472714555044138</v>
      </c>
      <c r="C2917" s="3">
        <v>2.6953226242094532E-2</v>
      </c>
      <c r="D2917" s="1">
        <v>55335.520607302802</v>
      </c>
      <c r="E2917" s="1">
        <v>2222512</v>
      </c>
      <c r="F2917" s="1">
        <v>13164740</v>
      </c>
      <c r="G2917" s="16">
        <v>38704.948764021574</v>
      </c>
      <c r="H2917">
        <v>446.18</v>
      </c>
      <c r="I2917" s="1">
        <v>1030.56</v>
      </c>
      <c r="J2917" s="16">
        <v>94040.469371324376</v>
      </c>
      <c r="K2917" s="5">
        <v>4.0974945707620933E-2</v>
      </c>
      <c r="L2917" s="10">
        <v>126872.51880000001</v>
      </c>
    </row>
    <row r="2918" spans="1:12" x14ac:dyDescent="0.25">
      <c r="A2918">
        <v>2917</v>
      </c>
      <c r="B2918" s="3">
        <v>0.11665030820942332</v>
      </c>
      <c r="C2918" s="3">
        <v>2.4697350038165443E-2</v>
      </c>
      <c r="D2918" s="1">
        <v>180978.32120312363</v>
      </c>
      <c r="E2918" s="1">
        <v>5562859</v>
      </c>
      <c r="F2918" s="1">
        <v>21542867</v>
      </c>
      <c r="G2918" s="16">
        <v>24041.534766943452</v>
      </c>
      <c r="H2918">
        <v>76.11</v>
      </c>
      <c r="I2918" s="1">
        <v>270.57000000000005</v>
      </c>
      <c r="J2918" s="16">
        <v>205019.85597006709</v>
      </c>
      <c r="K2918" s="5">
        <v>0.15315332036486931</v>
      </c>
      <c r="L2918" s="10">
        <v>1105102.5926999999</v>
      </c>
    </row>
    <row r="2919" spans="1:12" x14ac:dyDescent="0.25">
      <c r="A2919">
        <v>2918</v>
      </c>
      <c r="B2919" s="3">
        <v>0.20642615445371582</v>
      </c>
      <c r="C2919" s="3">
        <v>3.7124665762552481E-2</v>
      </c>
      <c r="D2919" s="1">
        <v>177293.90595459772</v>
      </c>
      <c r="E2919" s="1">
        <v>8366570</v>
      </c>
      <c r="F2919" s="1">
        <v>41453620</v>
      </c>
      <c r="G2919" s="16">
        <v>26563.561756382744</v>
      </c>
      <c r="H2919">
        <v>201.79</v>
      </c>
      <c r="I2919" s="1">
        <v>585.83999999999992</v>
      </c>
      <c r="J2919" s="16">
        <v>203857.46771098048</v>
      </c>
      <c r="K2919" s="5">
        <v>0.17949754563996115</v>
      </c>
      <c r="L2919" s="10">
        <v>842592.15740000003</v>
      </c>
    </row>
    <row r="2920" spans="1:12" x14ac:dyDescent="0.25">
      <c r="A2920">
        <v>2919</v>
      </c>
      <c r="B2920" s="3">
        <v>0.21837498882319434</v>
      </c>
      <c r="C2920" s="3">
        <v>5.4033366304613833E-2</v>
      </c>
      <c r="D2920" s="1">
        <v>73714.81552806274</v>
      </c>
      <c r="E2920" s="1">
        <v>3696271</v>
      </c>
      <c r="F2920" s="1">
        <v>33161638</v>
      </c>
      <c r="G2920" s="16">
        <v>13925.932856319183</v>
      </c>
      <c r="H2920">
        <v>91.93</v>
      </c>
      <c r="I2920" s="1">
        <v>363.11</v>
      </c>
      <c r="J2920" s="16">
        <v>87640.748384381921</v>
      </c>
      <c r="K2920" s="5">
        <v>0.11930757309237811</v>
      </c>
      <c r="L2920" s="10">
        <v>189911.03570000001</v>
      </c>
    </row>
    <row r="2921" spans="1:12" x14ac:dyDescent="0.25">
      <c r="A2921">
        <v>2920</v>
      </c>
      <c r="B2921" s="3">
        <v>0.22847280584862745</v>
      </c>
      <c r="C2921" s="3">
        <v>4.6665630885140044E-2</v>
      </c>
      <c r="D2921" s="1">
        <v>127405.31141890245</v>
      </c>
      <c r="E2921" s="1">
        <v>6729540</v>
      </c>
      <c r="F2921" s="1">
        <v>30324320</v>
      </c>
      <c r="G2921" s="16">
        <v>10463.756698384026</v>
      </c>
      <c r="H2921">
        <v>57.45</v>
      </c>
      <c r="I2921" s="1">
        <v>169.07999999999998</v>
      </c>
      <c r="J2921" s="16">
        <v>137869.06811728649</v>
      </c>
      <c r="K2921" s="5">
        <v>7.7634799291981291E-2</v>
      </c>
      <c r="L2921" s="10">
        <v>173779.402</v>
      </c>
    </row>
    <row r="2922" spans="1:12" x14ac:dyDescent="0.25">
      <c r="A2922">
        <v>2921</v>
      </c>
      <c r="B2922" s="3">
        <v>0.11656560761040058</v>
      </c>
      <c r="C2922" s="3">
        <v>4.6888563785166607E-2</v>
      </c>
      <c r="D2922" s="1">
        <v>450273.48874314834</v>
      </c>
      <c r="E2922" s="1">
        <v>15660577</v>
      </c>
      <c r="F2922" s="1">
        <v>63322127</v>
      </c>
      <c r="G2922" s="16">
        <v>16695.250809402754</v>
      </c>
      <c r="H2922">
        <v>46.74</v>
      </c>
      <c r="I2922" s="1">
        <v>190.56</v>
      </c>
      <c r="J2922" s="16">
        <v>466968.73955255107</v>
      </c>
      <c r="K2922" s="5">
        <v>1.1563508313158721E-2</v>
      </c>
      <c r="L2922" s="10">
        <v>119945.68520000001</v>
      </c>
    </row>
    <row r="2923" spans="1:12" x14ac:dyDescent="0.25">
      <c r="A2923">
        <v>2922</v>
      </c>
      <c r="B2923" s="3">
        <v>0.1320881688164513</v>
      </c>
      <c r="C2923" s="3">
        <v>3.5026700886992293E-2</v>
      </c>
      <c r="D2923" s="1">
        <v>314272.29163317312</v>
      </c>
      <c r="E2923" s="1">
        <v>10365888</v>
      </c>
      <c r="F2923" s="1">
        <v>35294869</v>
      </c>
      <c r="G2923" s="16">
        <v>26797.342895432881</v>
      </c>
      <c r="H2923">
        <v>94.44</v>
      </c>
      <c r="I2923" s="1">
        <v>372.26</v>
      </c>
      <c r="J2923" s="16">
        <v>341069.63452860602</v>
      </c>
      <c r="K2923" s="5">
        <v>4.2451254617804676E-2</v>
      </c>
      <c r="L2923" s="10">
        <v>343143.90179999999</v>
      </c>
    </row>
    <row r="2924" spans="1:12" x14ac:dyDescent="0.25">
      <c r="A2924">
        <v>2923</v>
      </c>
      <c r="B2924" s="3">
        <v>0.21034971838919514</v>
      </c>
      <c r="C2924" s="3">
        <v>7.1159423121370372E-2</v>
      </c>
      <c r="D2924" s="1">
        <v>60519.789157648949</v>
      </c>
      <c r="E2924" s="1">
        <v>2300359</v>
      </c>
      <c r="F2924" s="1">
        <v>14516182</v>
      </c>
      <c r="G2924" s="16">
        <v>20735.626452517314</v>
      </c>
      <c r="H2924">
        <v>162.94999999999999</v>
      </c>
      <c r="I2924" s="1">
        <v>550.47</v>
      </c>
      <c r="J2924" s="16">
        <v>81255.415610166267</v>
      </c>
      <c r="K2924" s="5">
        <v>0.13433543732145575</v>
      </c>
      <c r="L2924" s="10">
        <v>132940.95329999999</v>
      </c>
    </row>
    <row r="2925" spans="1:12" x14ac:dyDescent="0.25">
      <c r="A2925">
        <v>2924</v>
      </c>
      <c r="B2925" s="3">
        <v>0.15834268552717898</v>
      </c>
      <c r="C2925" s="3">
        <v>7.0365958949503191E-2</v>
      </c>
      <c r="D2925" s="1">
        <v>93804.258809579522</v>
      </c>
      <c r="E2925" s="1">
        <v>2944555</v>
      </c>
      <c r="F2925" s="1">
        <v>15479342</v>
      </c>
      <c r="G2925" s="16">
        <v>31244.922987779242</v>
      </c>
      <c r="H2925">
        <v>157.02000000000001</v>
      </c>
      <c r="I2925" s="1">
        <v>441.86</v>
      </c>
      <c r="J2925" s="16">
        <v>125049.18179735876</v>
      </c>
      <c r="K2925" s="5">
        <v>3.0489684642092722E-2</v>
      </c>
      <c r="L2925" s="10">
        <v>52924.62</v>
      </c>
    </row>
    <row r="2926" spans="1:12" x14ac:dyDescent="0.25">
      <c r="A2926">
        <v>2925</v>
      </c>
      <c r="B2926" s="3">
        <v>0.11287214475255959</v>
      </c>
      <c r="C2926" s="3">
        <v>6.5323820719356746E-2</v>
      </c>
      <c r="D2926" s="1">
        <v>162727.07193409896</v>
      </c>
      <c r="E2926" s="1">
        <v>4362177</v>
      </c>
      <c r="F2926" s="1">
        <v>21435859</v>
      </c>
      <c r="G2926" s="16">
        <v>62394.279450743365</v>
      </c>
      <c r="H2926">
        <v>216.93</v>
      </c>
      <c r="I2926" s="1">
        <v>542.17000000000007</v>
      </c>
      <c r="J2926" s="16">
        <v>225121.35138484233</v>
      </c>
      <c r="K2926" s="5">
        <v>9.3333855804602989E-2</v>
      </c>
      <c r="L2926" s="10">
        <v>210726.50719999999</v>
      </c>
    </row>
    <row r="2927" spans="1:12" x14ac:dyDescent="0.25">
      <c r="A2927">
        <v>2926</v>
      </c>
      <c r="B2927" s="3">
        <v>0.11165735085338106</v>
      </c>
      <c r="C2927" s="3">
        <v>4.3454040197152842E-2</v>
      </c>
      <c r="D2927" s="1">
        <v>430235.67180906568</v>
      </c>
      <c r="E2927" s="1">
        <v>14554812</v>
      </c>
      <c r="F2927" s="1">
        <v>53157287</v>
      </c>
      <c r="G2927" s="16">
        <v>42665.446226452841</v>
      </c>
      <c r="H2927">
        <v>130.55000000000001</v>
      </c>
      <c r="I2927" s="1">
        <v>352.01000000000005</v>
      </c>
      <c r="J2927" s="16">
        <v>472901.11803551851</v>
      </c>
      <c r="K2927" s="5">
        <v>0.13544847406539492</v>
      </c>
      <c r="L2927" s="10">
        <v>1164456.0393000001</v>
      </c>
    </row>
    <row r="2928" spans="1:12" x14ac:dyDescent="0.25">
      <c r="A2928">
        <v>2927</v>
      </c>
      <c r="B2928" s="3">
        <v>0.15367851980981689</v>
      </c>
      <c r="C2928" s="3">
        <v>4.8364634909403792E-2</v>
      </c>
      <c r="D2928" s="1">
        <v>179806.4221419442</v>
      </c>
      <c r="E2928" s="1">
        <v>6559451</v>
      </c>
      <c r="F2928" s="1">
        <v>28543028</v>
      </c>
      <c r="G2928" s="16">
        <v>61877.082999238053</v>
      </c>
      <c r="H2928">
        <v>353.24</v>
      </c>
      <c r="I2928" s="1">
        <v>899.59</v>
      </c>
      <c r="J2928" s="16">
        <v>241683.50514118225</v>
      </c>
      <c r="K2928" s="5">
        <v>0.15494045914662999</v>
      </c>
      <c r="L2928" s="10">
        <v>599138.1348</v>
      </c>
    </row>
    <row r="2929" spans="1:12" x14ac:dyDescent="0.25">
      <c r="A2929">
        <v>2928</v>
      </c>
      <c r="B2929" s="3">
        <v>0.18781706767227169</v>
      </c>
      <c r="C2929" s="3">
        <v>3.7522909819472094E-2</v>
      </c>
      <c r="D2929" s="1">
        <v>235254.45006358836</v>
      </c>
      <c r="E2929" s="1">
        <v>10118702</v>
      </c>
      <c r="F2929" s="1">
        <v>34978996</v>
      </c>
      <c r="G2929" s="16">
        <v>16617.472692780229</v>
      </c>
      <c r="H2929">
        <v>107.16</v>
      </c>
      <c r="I2929" s="1">
        <v>399.42999999999995</v>
      </c>
      <c r="J2929" s="16">
        <v>251871.92275636859</v>
      </c>
      <c r="K2929" s="5">
        <v>-2.0775893579340808E-2</v>
      </c>
      <c r="L2929" s="10">
        <v>-99238.069900000002</v>
      </c>
    </row>
    <row r="2930" spans="1:12" x14ac:dyDescent="0.25">
      <c r="A2930">
        <v>2929</v>
      </c>
      <c r="B2930" s="3">
        <v>0.23351987882734049</v>
      </c>
      <c r="C2930" s="3">
        <v>2.7372468613206545E-2</v>
      </c>
      <c r="D2930" s="1">
        <v>175556.81893536297</v>
      </c>
      <c r="E2930" s="1">
        <v>9519580</v>
      </c>
      <c r="F2930" s="1">
        <v>29527383</v>
      </c>
      <c r="G2930" s="16">
        <v>16731.472020057186</v>
      </c>
      <c r="H2930">
        <v>161.94999999999999</v>
      </c>
      <c r="I2930" s="1">
        <v>609.3599999999999</v>
      </c>
      <c r="J2930" s="16">
        <v>192288.29095542015</v>
      </c>
      <c r="K2930" s="5">
        <v>0.17124498292878904</v>
      </c>
      <c r="L2930" s="10">
        <v>1046117.1631</v>
      </c>
    </row>
    <row r="2931" spans="1:12" x14ac:dyDescent="0.25">
      <c r="A2931">
        <v>2930</v>
      </c>
      <c r="B2931" s="3">
        <v>0.2123279204773908</v>
      </c>
      <c r="C2931" s="3">
        <v>3.9571991814313978E-2</v>
      </c>
      <c r="D2931" s="1">
        <v>152854.76521330385</v>
      </c>
      <c r="E2931" s="1">
        <v>7431902</v>
      </c>
      <c r="F2931" s="1">
        <v>27696492</v>
      </c>
      <c r="G2931" s="16">
        <v>22575.266760618564</v>
      </c>
      <c r="H2931">
        <v>180.53</v>
      </c>
      <c r="I2931" s="1">
        <v>611.98</v>
      </c>
      <c r="J2931" s="16">
        <v>175430.03197392242</v>
      </c>
      <c r="K2931" s="5">
        <v>5.7210468906015936E-2</v>
      </c>
      <c r="L2931" s="10">
        <v>212850.12710000001</v>
      </c>
    </row>
    <row r="2932" spans="1:12" x14ac:dyDescent="0.25">
      <c r="A2932">
        <v>2931</v>
      </c>
      <c r="B2932" s="3">
        <v>0.15520107878389161</v>
      </c>
      <c r="C2932" s="3">
        <v>5.7488616053971667E-2</v>
      </c>
      <c r="D2932" s="1">
        <v>194236.68591283876</v>
      </c>
      <c r="E2932" s="1">
        <v>7137082</v>
      </c>
      <c r="F2932" s="1">
        <v>24927594</v>
      </c>
      <c r="G2932" s="16">
        <v>96007.751301259021</v>
      </c>
      <c r="H2932">
        <v>556.77</v>
      </c>
      <c r="I2932" s="1">
        <v>1289.76</v>
      </c>
      <c r="J2932" s="16">
        <v>290244.43721409776</v>
      </c>
      <c r="K2932" s="5">
        <v>0.21308868269619313</v>
      </c>
      <c r="L2932" s="10">
        <v>764869.04819999996</v>
      </c>
    </row>
    <row r="2933" spans="1:12" x14ac:dyDescent="0.25">
      <c r="A2933">
        <v>2932</v>
      </c>
      <c r="B2933" s="3">
        <v>0.17433174255577744</v>
      </c>
      <c r="C2933" s="3">
        <v>5.7893759836371766E-2</v>
      </c>
      <c r="D2933" s="1">
        <v>74427.018893615255</v>
      </c>
      <c r="E2933" s="1">
        <v>2474662</v>
      </c>
      <c r="F2933" s="1">
        <v>17033666</v>
      </c>
      <c r="G2933" s="16">
        <v>7093.5755013341877</v>
      </c>
      <c r="H2933">
        <v>27.82</v>
      </c>
      <c r="I2933" s="1">
        <v>157.51999999999998</v>
      </c>
      <c r="J2933" s="16">
        <v>81520.594394949439</v>
      </c>
      <c r="K2933" s="5">
        <v>5.9715921496612992E-2</v>
      </c>
      <c r="L2933" s="10">
        <v>63105.577899999997</v>
      </c>
    </row>
    <row r="2934" spans="1:12" x14ac:dyDescent="0.25">
      <c r="A2934">
        <v>2933</v>
      </c>
      <c r="B2934" s="3">
        <v>0.16640666892321154</v>
      </c>
      <c r="C2934" s="3">
        <v>2.5055169413184138E-2</v>
      </c>
      <c r="D2934" s="1">
        <v>138839.52632267444</v>
      </c>
      <c r="E2934" s="1">
        <v>4485941</v>
      </c>
      <c r="F2934" s="1">
        <v>19508438</v>
      </c>
      <c r="G2934" s="16">
        <v>11376.468482744756</v>
      </c>
      <c r="H2934">
        <v>42.57</v>
      </c>
      <c r="I2934" s="1">
        <v>182.89999999999998</v>
      </c>
      <c r="J2934" s="16">
        <v>150215.99480541921</v>
      </c>
      <c r="K2934" s="5">
        <v>0.15655539452986653</v>
      </c>
      <c r="L2934" s="10">
        <v>810222.66449999996</v>
      </c>
    </row>
    <row r="2935" spans="1:12" x14ac:dyDescent="0.25">
      <c r="A2935">
        <v>2934</v>
      </c>
      <c r="B2935" s="3">
        <v>0.13926092520509159</v>
      </c>
      <c r="C2935" s="3">
        <v>4.4713780061156137E-2</v>
      </c>
      <c r="D2935" s="1">
        <v>543325.26354190626</v>
      </c>
      <c r="E2935" s="1">
        <v>21523113</v>
      </c>
      <c r="F2935" s="1">
        <v>63960848</v>
      </c>
      <c r="G2935" s="16">
        <v>26463.377228209687</v>
      </c>
      <c r="H2935">
        <v>97.91</v>
      </c>
      <c r="I2935" s="1">
        <v>307.76</v>
      </c>
      <c r="J2935" s="16">
        <v>569788.64077011589</v>
      </c>
      <c r="K2935" s="5">
        <v>0.10799257863392442</v>
      </c>
      <c r="L2935" s="10">
        <v>1037242.0848</v>
      </c>
    </row>
    <row r="2936" spans="1:12" x14ac:dyDescent="0.25">
      <c r="A2936">
        <v>2935</v>
      </c>
      <c r="B2936" s="3">
        <v>0.12607029007197759</v>
      </c>
      <c r="C2936" s="3">
        <v>2.1103538827094835E-2</v>
      </c>
      <c r="D2936" s="1">
        <v>170379.39080072017</v>
      </c>
      <c r="E2936" s="1">
        <v>6255147</v>
      </c>
      <c r="F2936" s="1">
        <v>46511565</v>
      </c>
      <c r="G2936" s="16">
        <v>37919.110305684248</v>
      </c>
      <c r="H2936">
        <v>146.58000000000001</v>
      </c>
      <c r="I2936" s="1">
        <v>571.9</v>
      </c>
      <c r="J2936" s="16">
        <v>208298.50110640441</v>
      </c>
      <c r="K2936" s="5">
        <v>-2.5535290089104962E-4</v>
      </c>
      <c r="L2936" s="10">
        <v>85544.103300000002</v>
      </c>
    </row>
    <row r="2937" spans="1:12" x14ac:dyDescent="0.25">
      <c r="A2937">
        <v>2936</v>
      </c>
      <c r="B2937" s="3">
        <v>0.24709361804716143</v>
      </c>
      <c r="C2937" s="3">
        <v>7.2539177146071651E-2</v>
      </c>
      <c r="D2937" s="1">
        <v>117635.29814436706</v>
      </c>
      <c r="E2937" s="1">
        <v>9099884</v>
      </c>
      <c r="F2937" s="1">
        <v>48384815</v>
      </c>
      <c r="G2937" s="16">
        <v>34336.577927644415</v>
      </c>
      <c r="H2937">
        <v>664.19</v>
      </c>
      <c r="I2937" s="1">
        <v>1783.81</v>
      </c>
      <c r="J2937" s="16">
        <v>151971.87607201148</v>
      </c>
      <c r="K2937" s="5">
        <v>0.13535071915132035</v>
      </c>
      <c r="L2937" s="10">
        <v>258097.40650000001</v>
      </c>
    </row>
    <row r="2938" spans="1:12" x14ac:dyDescent="0.25">
      <c r="A2938">
        <v>2937</v>
      </c>
      <c r="B2938" s="3">
        <v>0.10916375917079774</v>
      </c>
      <c r="C2938" s="3">
        <v>5.6932412582999095E-2</v>
      </c>
      <c r="D2938" s="1">
        <v>174517.74716061508</v>
      </c>
      <c r="E2938" s="1">
        <v>5186224</v>
      </c>
      <c r="F2938" s="1">
        <v>23093309</v>
      </c>
      <c r="G2938" s="16">
        <v>25544.635381729528</v>
      </c>
      <c r="H2938">
        <v>76.78</v>
      </c>
      <c r="I2938" s="1">
        <v>294.69</v>
      </c>
      <c r="J2938" s="16">
        <v>200062.3825423446</v>
      </c>
      <c r="K2938" s="5">
        <v>0.25688642249218779</v>
      </c>
      <c r="L2938" s="10">
        <v>649276.37300000002</v>
      </c>
    </row>
    <row r="2939" spans="1:12" x14ac:dyDescent="0.25">
      <c r="A2939">
        <v>2938</v>
      </c>
      <c r="B2939" s="3">
        <v>0.10943256757971825</v>
      </c>
      <c r="C2939" s="3">
        <v>4.4606716743501897E-2</v>
      </c>
      <c r="D2939" s="1">
        <v>239228.51510611112</v>
      </c>
      <c r="E2939" s="1">
        <v>7117838</v>
      </c>
      <c r="F2939" s="1">
        <v>29528709</v>
      </c>
      <c r="G2939" s="16">
        <v>27855.797319334619</v>
      </c>
      <c r="H2939">
        <v>83.8</v>
      </c>
      <c r="I2939" s="1">
        <v>302.60000000000002</v>
      </c>
      <c r="J2939" s="16">
        <v>267084.31242544577</v>
      </c>
      <c r="K2939" s="5">
        <v>-0.10924511478881582</v>
      </c>
      <c r="L2939" s="10">
        <v>-454975.30839999998</v>
      </c>
    </row>
    <row r="2940" spans="1:12" x14ac:dyDescent="0.25">
      <c r="A2940">
        <v>2939</v>
      </c>
      <c r="B2940" s="3">
        <v>0.10718442353887125</v>
      </c>
      <c r="C2940" s="3">
        <v>5.6448764144830965E-2</v>
      </c>
      <c r="D2940" s="1">
        <v>313732.33694431582</v>
      </c>
      <c r="E2940" s="1">
        <v>9240917</v>
      </c>
      <c r="F2940" s="1">
        <v>35181804</v>
      </c>
      <c r="G2940" s="16">
        <v>71088.61486335982</v>
      </c>
      <c r="H2940">
        <v>236.35</v>
      </c>
      <c r="I2940" s="1">
        <v>692.94</v>
      </c>
      <c r="J2940" s="16">
        <v>384820.95180767565</v>
      </c>
      <c r="K2940" s="5">
        <v>-8.3230724755189528E-2</v>
      </c>
      <c r="L2940" s="10">
        <v>-327444.05190000002</v>
      </c>
    </row>
    <row r="2941" spans="1:12" x14ac:dyDescent="0.25">
      <c r="A2941">
        <v>2940</v>
      </c>
      <c r="B2941" s="3">
        <v>0.23618730541958471</v>
      </c>
      <c r="C2941" s="3">
        <v>3.8238341096532E-2</v>
      </c>
      <c r="D2941" s="1">
        <v>139939.7843769032</v>
      </c>
      <c r="E2941" s="1">
        <v>7694788</v>
      </c>
      <c r="F2941" s="1">
        <v>32865508</v>
      </c>
      <c r="G2941" s="16">
        <v>10372.618531910457</v>
      </c>
      <c r="H2941">
        <v>78.53</v>
      </c>
      <c r="I2941" s="1">
        <v>314.45</v>
      </c>
      <c r="J2941" s="16">
        <v>150312.40290881367</v>
      </c>
      <c r="K2941" s="5">
        <v>0.15967607108335891</v>
      </c>
      <c r="L2941" s="10">
        <v>518177.09610000002</v>
      </c>
    </row>
    <row r="2942" spans="1:12" x14ac:dyDescent="0.25">
      <c r="A2942">
        <v>2941</v>
      </c>
      <c r="B2942" s="3">
        <v>0.20754490331270686</v>
      </c>
      <c r="C2942" s="3">
        <v>7.5170242683580024E-2</v>
      </c>
      <c r="D2942" s="1">
        <v>253793.46909083132</v>
      </c>
      <c r="E2942" s="1">
        <v>15198812</v>
      </c>
      <c r="F2942" s="1">
        <v>47597048</v>
      </c>
      <c r="G2942" s="16">
        <v>25540.434056439251</v>
      </c>
      <c r="H2942">
        <v>247.2</v>
      </c>
      <c r="I2942" s="1">
        <v>772.18000000000006</v>
      </c>
      <c r="J2942" s="16">
        <v>279333.90314727055</v>
      </c>
      <c r="K2942" s="5">
        <v>0.27645288116974948</v>
      </c>
      <c r="L2942" s="10">
        <v>660146.78130000003</v>
      </c>
    </row>
    <row r="2943" spans="1:12" x14ac:dyDescent="0.25">
      <c r="A2943">
        <v>2942</v>
      </c>
      <c r="B2943" s="3">
        <v>0.13369537528984335</v>
      </c>
      <c r="C2943" s="3">
        <v>7.0848578489280167E-2</v>
      </c>
      <c r="D2943" s="1">
        <v>319123.01166788978</v>
      </c>
      <c r="E2943" s="1">
        <v>10604216</v>
      </c>
      <c r="F2943" s="1">
        <v>33621838</v>
      </c>
      <c r="G2943" s="16">
        <v>39421.175076392152</v>
      </c>
      <c r="H2943">
        <v>162.01</v>
      </c>
      <c r="I2943" s="1">
        <v>500.4</v>
      </c>
      <c r="J2943" s="16">
        <v>358544.18674428191</v>
      </c>
      <c r="K2943" s="5">
        <v>8.4164771405510305E-2</v>
      </c>
      <c r="L2943" s="10">
        <v>256678.7843</v>
      </c>
    </row>
    <row r="2944" spans="1:12" x14ac:dyDescent="0.25">
      <c r="A2944">
        <v>2943</v>
      </c>
      <c r="B2944" s="3">
        <v>0.22064715199468579</v>
      </c>
      <c r="C2944" s="3">
        <v>4.2785327191823236E-2</v>
      </c>
      <c r="D2944" s="1">
        <v>69699.258310356046</v>
      </c>
      <c r="E2944" s="1">
        <v>2755680</v>
      </c>
      <c r="F2944" s="1">
        <v>15568772</v>
      </c>
      <c r="G2944" s="16">
        <v>31173.281731068331</v>
      </c>
      <c r="H2944">
        <v>345.12</v>
      </c>
      <c r="I2944" s="1">
        <v>895.61</v>
      </c>
      <c r="J2944" s="16">
        <v>100872.54004142438</v>
      </c>
      <c r="K2944" s="5">
        <v>9.8313528352876878E-2</v>
      </c>
      <c r="L2944" s="10">
        <v>186543.42259999999</v>
      </c>
    </row>
    <row r="2945" spans="1:12" x14ac:dyDescent="0.25">
      <c r="A2945">
        <v>2944</v>
      </c>
      <c r="B2945" s="3">
        <v>0.22884135619480583</v>
      </c>
      <c r="C2945" s="3">
        <v>7.7072389399341287E-2</v>
      </c>
      <c r="D2945" s="1">
        <v>107044.47935569681</v>
      </c>
      <c r="E2945" s="1">
        <v>5664892</v>
      </c>
      <c r="F2945" s="1">
        <v>29675187</v>
      </c>
      <c r="G2945" s="16">
        <v>44071.117109296618</v>
      </c>
      <c r="H2945">
        <v>530.45000000000005</v>
      </c>
      <c r="I2945" s="1">
        <v>1303.95</v>
      </c>
      <c r="J2945" s="16">
        <v>151115.59646499343</v>
      </c>
      <c r="K2945" s="5">
        <v>0.161986507604715</v>
      </c>
      <c r="L2945" s="10">
        <v>217266.12539999999</v>
      </c>
    </row>
    <row r="2946" spans="1:12" x14ac:dyDescent="0.25">
      <c r="A2946">
        <v>2945</v>
      </c>
      <c r="B2946" s="3">
        <v>0.24838605042789214</v>
      </c>
      <c r="C2946" s="3">
        <v>5.9248178196034021E-2</v>
      </c>
      <c r="D2946" s="1">
        <v>59462.251599129384</v>
      </c>
      <c r="E2946" s="1">
        <v>2620954</v>
      </c>
      <c r="F2946" s="1">
        <v>18254360</v>
      </c>
      <c r="G2946" s="16">
        <v>14070.409282710374</v>
      </c>
      <c r="H2946">
        <v>156.25</v>
      </c>
      <c r="I2946" s="1">
        <v>437.7</v>
      </c>
      <c r="J2946" s="16">
        <v>73532.660881839751</v>
      </c>
      <c r="K2946" s="5">
        <v>0.17241588509966038</v>
      </c>
      <c r="L2946" s="10">
        <v>177553.51439999999</v>
      </c>
    </row>
    <row r="2947" spans="1:12" x14ac:dyDescent="0.25">
      <c r="A2947">
        <v>2946</v>
      </c>
      <c r="B2947" s="3">
        <v>0.24990806919219549</v>
      </c>
      <c r="C2947" s="3">
        <v>2.4764707109443881E-2</v>
      </c>
      <c r="D2947" s="1">
        <v>96268.332349663251</v>
      </c>
      <c r="E2947" s="1">
        <v>5691521</v>
      </c>
      <c r="F2947" s="1">
        <v>28123519</v>
      </c>
      <c r="G2947" s="16">
        <v>8290.0969360726904</v>
      </c>
      <c r="H2947">
        <v>52.53</v>
      </c>
      <c r="I2947" s="1">
        <v>174.92000000000002</v>
      </c>
      <c r="J2947" s="16">
        <v>104558.42928573594</v>
      </c>
      <c r="K2947" s="5">
        <v>8.538819833111444E-3</v>
      </c>
      <c r="L2947" s="10">
        <v>61537.456200000001</v>
      </c>
    </row>
    <row r="2948" spans="1:12" x14ac:dyDescent="0.25">
      <c r="A2948">
        <v>2947</v>
      </c>
      <c r="B2948" s="3">
        <v>0.13916503056600954</v>
      </c>
      <c r="C2948" s="3">
        <v>2.0855904724570561E-2</v>
      </c>
      <c r="D2948" s="1">
        <v>122552.56625682545</v>
      </c>
      <c r="E2948" s="1">
        <v>3595553</v>
      </c>
      <c r="F2948" s="1">
        <v>17033831</v>
      </c>
      <c r="G2948" s="16">
        <v>57093.889919970206</v>
      </c>
      <c r="H2948">
        <v>245.12</v>
      </c>
      <c r="I2948" s="1">
        <v>620.04999999999995</v>
      </c>
      <c r="J2948" s="16">
        <v>179646.45617679565</v>
      </c>
      <c r="K2948" s="5">
        <v>0.14861155203846241</v>
      </c>
      <c r="L2948" s="10">
        <v>1134654.7747</v>
      </c>
    </row>
    <row r="2949" spans="1:12" x14ac:dyDescent="0.25">
      <c r="A2949">
        <v>2948</v>
      </c>
      <c r="B2949" s="3">
        <v>0.13691655771639474</v>
      </c>
      <c r="C2949" s="3">
        <v>5.6819769650182414E-2</v>
      </c>
      <c r="D2949" s="1">
        <v>45864.97319564045</v>
      </c>
      <c r="E2949" s="1">
        <v>1335137</v>
      </c>
      <c r="F2949" s="1">
        <v>11220349</v>
      </c>
      <c r="G2949" s="16">
        <v>35790.621979168398</v>
      </c>
      <c r="H2949">
        <v>150.97999999999999</v>
      </c>
      <c r="I2949" s="1">
        <v>437.15</v>
      </c>
      <c r="J2949" s="16">
        <v>81655.595174808841</v>
      </c>
      <c r="K2949" s="5">
        <v>0.17602123438453621</v>
      </c>
      <c r="L2949" s="10">
        <v>193693.33319999999</v>
      </c>
    </row>
    <row r="2950" spans="1:12" x14ac:dyDescent="0.25">
      <c r="A2950">
        <v>2949</v>
      </c>
      <c r="B2950" s="3">
        <v>0.22762794365973865</v>
      </c>
      <c r="C2950" s="3">
        <v>5.2540447175933161E-2</v>
      </c>
      <c r="D2950" s="1">
        <v>86718.658899808041</v>
      </c>
      <c r="E2950" s="1">
        <v>4560464</v>
      </c>
      <c r="F2950" s="1">
        <v>36049335</v>
      </c>
      <c r="G2950" s="16">
        <v>22047.775921252847</v>
      </c>
      <c r="H2950">
        <v>202.13</v>
      </c>
      <c r="I2950" s="1">
        <v>512.6</v>
      </c>
      <c r="J2950" s="16">
        <v>108766.43482106089</v>
      </c>
      <c r="K2950" s="5">
        <v>3.1817272027025362E-2</v>
      </c>
      <c r="L2950" s="10">
        <v>55358.003499999999</v>
      </c>
    </row>
    <row r="2951" spans="1:12" x14ac:dyDescent="0.25">
      <c r="A2951">
        <v>2950</v>
      </c>
      <c r="B2951" s="3">
        <v>0.18090017595378066</v>
      </c>
      <c r="C2951" s="3">
        <v>5.1510274811930795E-2</v>
      </c>
      <c r="D2951" s="1">
        <v>27605.493650101289</v>
      </c>
      <c r="E2951" s="1">
        <v>770058</v>
      </c>
      <c r="F2951" s="1">
        <v>8298804</v>
      </c>
      <c r="G2951" s="16">
        <v>17460.112531741612</v>
      </c>
      <c r="H2951">
        <v>87.01</v>
      </c>
      <c r="I2951" s="1">
        <v>323.69</v>
      </c>
      <c r="J2951" s="16">
        <v>45065.606181842901</v>
      </c>
      <c r="K2951" s="5">
        <v>0.2075305554828922</v>
      </c>
      <c r="L2951" s="10">
        <v>161426.2684</v>
      </c>
    </row>
    <row r="2952" spans="1:12" x14ac:dyDescent="0.25">
      <c r="A2952">
        <v>2951</v>
      </c>
      <c r="B2952" s="3">
        <v>0.15257354093780015</v>
      </c>
      <c r="C2952" s="3">
        <v>6.6173661979585102E-2</v>
      </c>
      <c r="D2952" s="1">
        <v>367365.2838822481</v>
      </c>
      <c r="E2952" s="1">
        <v>15732245</v>
      </c>
      <c r="F2952" s="1">
        <v>69023220</v>
      </c>
      <c r="G2952" s="16">
        <v>40464.117928341118</v>
      </c>
      <c r="H2952">
        <v>194.04</v>
      </c>
      <c r="I2952" s="1">
        <v>641.54999999999995</v>
      </c>
      <c r="J2952" s="16">
        <v>407829.40181058925</v>
      </c>
      <c r="K2952" s="5">
        <v>2.6764966057087072E-2</v>
      </c>
      <c r="L2952" s="10">
        <v>97716.766399999993</v>
      </c>
    </row>
    <row r="2953" spans="1:12" x14ac:dyDescent="0.25">
      <c r="A2953">
        <v>2952</v>
      </c>
      <c r="B2953" s="3">
        <v>0.14336829435597193</v>
      </c>
      <c r="C2953" s="3">
        <v>3.552119732046629E-2</v>
      </c>
      <c r="D2953" s="1">
        <v>113433.41249569235</v>
      </c>
      <c r="E2953" s="1">
        <v>3377233</v>
      </c>
      <c r="F2953" s="1">
        <v>19111793</v>
      </c>
      <c r="G2953" s="16">
        <v>19966.024886017763</v>
      </c>
      <c r="H2953">
        <v>76.08</v>
      </c>
      <c r="I2953" s="1">
        <v>281.01</v>
      </c>
      <c r="J2953" s="16">
        <v>133399.4373817101</v>
      </c>
      <c r="K2953" s="5">
        <v>0.10926470251143827</v>
      </c>
      <c r="L2953" s="10">
        <v>345529.58350000001</v>
      </c>
    </row>
    <row r="2954" spans="1:12" x14ac:dyDescent="0.25">
      <c r="A2954">
        <v>2953</v>
      </c>
      <c r="B2954" s="3">
        <v>0.18011188344407353</v>
      </c>
      <c r="C2954" s="3">
        <v>3.6309765801728192E-2</v>
      </c>
      <c r="D2954" s="1">
        <v>140053.07267984399</v>
      </c>
      <c r="E2954" s="1">
        <v>5800654</v>
      </c>
      <c r="F2954" s="1">
        <v>27624960</v>
      </c>
      <c r="G2954" s="16">
        <v>8747.5585489099285</v>
      </c>
      <c r="H2954">
        <v>35.54</v>
      </c>
      <c r="I2954" s="1">
        <v>145.16</v>
      </c>
      <c r="J2954" s="16">
        <v>148800.63122875392</v>
      </c>
      <c r="K2954" s="5">
        <v>0.11527019313561873</v>
      </c>
      <c r="L2954" s="10">
        <v>388606.03120000003</v>
      </c>
    </row>
    <row r="2955" spans="1:12" x14ac:dyDescent="0.25">
      <c r="A2955">
        <v>2954</v>
      </c>
      <c r="B2955" s="3">
        <v>0.12321717888654066</v>
      </c>
      <c r="C2955" s="3">
        <v>3.4577847278662831E-2</v>
      </c>
      <c r="D2955" s="1">
        <v>499696.87153917574</v>
      </c>
      <c r="E2955" s="1">
        <v>18048830</v>
      </c>
      <c r="F2955" s="1">
        <v>74286502</v>
      </c>
      <c r="G2955" s="16">
        <v>20823.058995883897</v>
      </c>
      <c r="H2955">
        <v>69.02</v>
      </c>
      <c r="I2955" s="1">
        <v>336.53</v>
      </c>
      <c r="J2955" s="16">
        <v>520519.93053505966</v>
      </c>
      <c r="K2955" s="5">
        <v>6.1098080485006805E-2</v>
      </c>
      <c r="L2955" s="10">
        <v>823304.46389999997</v>
      </c>
    </row>
    <row r="2956" spans="1:12" x14ac:dyDescent="0.25">
      <c r="A2956">
        <v>2955</v>
      </c>
      <c r="B2956" s="3">
        <v>0.22625659585927946</v>
      </c>
      <c r="C2956" s="3">
        <v>6.0863660046613255E-2</v>
      </c>
      <c r="D2956" s="1">
        <v>155124.71518505586</v>
      </c>
      <c r="E2956" s="1">
        <v>6267473</v>
      </c>
      <c r="F2956" s="1">
        <v>20774388</v>
      </c>
      <c r="G2956" s="16">
        <v>15506.917651143342</v>
      </c>
      <c r="H2956">
        <v>140.46</v>
      </c>
      <c r="I2956" s="1">
        <v>467.9</v>
      </c>
      <c r="J2956" s="16">
        <v>170631.63283619919</v>
      </c>
      <c r="K2956" s="5">
        <v>0.25836805695896253</v>
      </c>
      <c r="L2956" s="10">
        <v>475480.04220000003</v>
      </c>
    </row>
    <row r="2957" spans="1:12" x14ac:dyDescent="0.25">
      <c r="A2957">
        <v>2956</v>
      </c>
      <c r="B2957" s="3">
        <v>0.17345701860207879</v>
      </c>
      <c r="C2957" s="3">
        <v>6.6133285015262736E-2</v>
      </c>
      <c r="D2957" s="1">
        <v>115980.74605394399</v>
      </c>
      <c r="E2957" s="1">
        <v>4650794</v>
      </c>
      <c r="F2957" s="1">
        <v>34274149</v>
      </c>
      <c r="G2957" s="16">
        <v>54193.655273584256</v>
      </c>
      <c r="H2957">
        <v>374.7</v>
      </c>
      <c r="I2957" s="1">
        <v>870.25</v>
      </c>
      <c r="J2957" s="16">
        <v>170174.40132752823</v>
      </c>
      <c r="K2957" s="5">
        <v>0.11272856640628465</v>
      </c>
      <c r="L2957" s="10">
        <v>241559.4602</v>
      </c>
    </row>
    <row r="2958" spans="1:12" x14ac:dyDescent="0.25">
      <c r="A2958">
        <v>2957</v>
      </c>
      <c r="B2958" s="3">
        <v>0.16245640609441156</v>
      </c>
      <c r="C2958" s="3">
        <v>7.366191246749941E-2</v>
      </c>
      <c r="D2958" s="1">
        <v>455778.22820826323</v>
      </c>
      <c r="E2958" s="1">
        <v>20697576</v>
      </c>
      <c r="F2958" s="1">
        <v>60231633</v>
      </c>
      <c r="G2958" s="16">
        <v>15327.186880024785</v>
      </c>
      <c r="H2958">
        <v>66.8</v>
      </c>
      <c r="I2958" s="1">
        <v>284.56</v>
      </c>
      <c r="J2958" s="16">
        <v>471105.41508828802</v>
      </c>
      <c r="K2958" s="5">
        <v>0.19313342724754629</v>
      </c>
      <c r="L2958" s="10">
        <v>786979.68229999999</v>
      </c>
    </row>
    <row r="2959" spans="1:12" x14ac:dyDescent="0.25">
      <c r="A2959">
        <v>2958</v>
      </c>
      <c r="B2959" s="3">
        <v>0.20119682832294611</v>
      </c>
      <c r="C2959" s="3">
        <v>7.1784832824267536E-2</v>
      </c>
      <c r="D2959" s="1">
        <v>176805.37642264186</v>
      </c>
      <c r="E2959" s="1">
        <v>10174181</v>
      </c>
      <c r="F2959" s="1">
        <v>51323775</v>
      </c>
      <c r="G2959" s="16">
        <v>30092.164244294581</v>
      </c>
      <c r="H2959">
        <v>218.33</v>
      </c>
      <c r="I2959" s="1">
        <v>533.53</v>
      </c>
      <c r="J2959" s="16">
        <v>206897.54066693643</v>
      </c>
      <c r="K2959" s="5">
        <v>0.11429680216998081</v>
      </c>
      <c r="L2959" s="10">
        <v>241828.99859999999</v>
      </c>
    </row>
    <row r="2960" spans="1:12" x14ac:dyDescent="0.25">
      <c r="A2960">
        <v>2959</v>
      </c>
      <c r="B2960" s="3">
        <v>0.11008865428838785</v>
      </c>
      <c r="C2960" s="3">
        <v>6.4958452963369884E-2</v>
      </c>
      <c r="D2960" s="1">
        <v>333582.52328325866</v>
      </c>
      <c r="E2960" s="1">
        <v>9954500</v>
      </c>
      <c r="F2960" s="1">
        <v>32298727</v>
      </c>
      <c r="G2960" s="16">
        <v>77383.447977349526</v>
      </c>
      <c r="H2960">
        <v>263.52999999999997</v>
      </c>
      <c r="I2960" s="1">
        <v>677.66</v>
      </c>
      <c r="J2960" s="16">
        <v>410965.97126060817</v>
      </c>
      <c r="K2960" s="5">
        <v>0.19573543916229658</v>
      </c>
      <c r="L2960" s="10">
        <v>762312.73710000003</v>
      </c>
    </row>
    <row r="2961" spans="1:12" x14ac:dyDescent="0.25">
      <c r="A2961">
        <v>2960</v>
      </c>
      <c r="B2961" s="3">
        <v>0.16107182961936956</v>
      </c>
      <c r="C2961" s="3">
        <v>3.2889584618574531E-2</v>
      </c>
      <c r="D2961" s="1">
        <v>256086.00400382915</v>
      </c>
      <c r="E2961" s="1">
        <v>9675867</v>
      </c>
      <c r="F2961" s="1">
        <v>28762253</v>
      </c>
      <c r="G2961" s="16">
        <v>52388.395480779429</v>
      </c>
      <c r="H2961">
        <v>321.36</v>
      </c>
      <c r="I2961" s="1">
        <v>829.66000000000008</v>
      </c>
      <c r="J2961" s="16">
        <v>308474.39948460856</v>
      </c>
      <c r="K2961" s="5">
        <v>0.10807520733893163</v>
      </c>
      <c r="L2961" s="10">
        <v>866678.44200000004</v>
      </c>
    </row>
    <row r="2962" spans="1:12" x14ac:dyDescent="0.25">
      <c r="A2962">
        <v>2961</v>
      </c>
      <c r="B2962" s="3">
        <v>0.24629501896131151</v>
      </c>
      <c r="C2962" s="3">
        <v>6.0193786240558961E-2</v>
      </c>
      <c r="D2962" s="1">
        <v>290831.59108420968</v>
      </c>
      <c r="E2962" s="1">
        <v>29691747</v>
      </c>
      <c r="F2962" s="1">
        <v>86987831</v>
      </c>
      <c r="G2962" s="16">
        <v>26199.640123849123</v>
      </c>
      <c r="H2962">
        <v>378.85</v>
      </c>
      <c r="I2962" s="1">
        <v>940.31000000000006</v>
      </c>
      <c r="J2962" s="16">
        <v>317031.23120805877</v>
      </c>
      <c r="K2962" s="5">
        <v>0.15513350301134154</v>
      </c>
      <c r="L2962" s="10">
        <v>581140.12670000002</v>
      </c>
    </row>
    <row r="2963" spans="1:12" x14ac:dyDescent="0.25">
      <c r="A2963">
        <v>2962</v>
      </c>
      <c r="B2963" s="3">
        <v>0.24987834506277687</v>
      </c>
      <c r="C2963" s="3">
        <v>7.2953477971694006E-2</v>
      </c>
      <c r="D2963" s="1">
        <v>91475.117934763082</v>
      </c>
      <c r="E2963" s="1">
        <v>5407281</v>
      </c>
      <c r="F2963" s="1">
        <v>25389371</v>
      </c>
      <c r="G2963" s="16">
        <v>7892.6000805400354</v>
      </c>
      <c r="H2963">
        <v>66.73</v>
      </c>
      <c r="I2963" s="1">
        <v>224.21999999999997</v>
      </c>
      <c r="J2963" s="16">
        <v>99367.718015303122</v>
      </c>
      <c r="K2963" s="5">
        <v>0.11667294891067646</v>
      </c>
      <c r="L2963" s="10">
        <v>136431.34479999999</v>
      </c>
    </row>
    <row r="2964" spans="1:12" x14ac:dyDescent="0.25">
      <c r="A2964">
        <v>2963</v>
      </c>
      <c r="B2964" s="3">
        <v>0.20756872847759161</v>
      </c>
      <c r="C2964" s="3">
        <v>5.5702347039194952E-2</v>
      </c>
      <c r="D2964" s="1">
        <v>109017.4866836009</v>
      </c>
      <c r="E2964" s="1">
        <v>4100287</v>
      </c>
      <c r="F2964" s="1">
        <v>18287050</v>
      </c>
      <c r="G2964" s="16">
        <v>7485.9410441328255</v>
      </c>
      <c r="H2964">
        <v>36.1</v>
      </c>
      <c r="I2964" s="1">
        <v>181.31</v>
      </c>
      <c r="J2964" s="16">
        <v>116503.42772773372</v>
      </c>
      <c r="K2964" s="5">
        <v>0.17338819855326201</v>
      </c>
      <c r="L2964" s="10">
        <v>264336.46149999998</v>
      </c>
    </row>
    <row r="2965" spans="1:12" x14ac:dyDescent="0.25">
      <c r="A2965">
        <v>2964</v>
      </c>
      <c r="B2965" s="3">
        <v>0.19364461239014752</v>
      </c>
      <c r="C2965" s="3">
        <v>3.7198591799658461E-2</v>
      </c>
      <c r="D2965" s="1">
        <v>152356.86399436079</v>
      </c>
      <c r="E2965" s="1">
        <v>5438578</v>
      </c>
      <c r="F2965" s="1">
        <v>21116480</v>
      </c>
      <c r="G2965" s="16">
        <v>19857.483643562427</v>
      </c>
      <c r="H2965">
        <v>108.71</v>
      </c>
      <c r="I2965" s="1">
        <v>319.87</v>
      </c>
      <c r="J2965" s="16">
        <v>172214.3476379232</v>
      </c>
      <c r="K2965" s="5">
        <v>0.1290868327219688</v>
      </c>
      <c r="L2965" s="10">
        <v>488037.26750000002</v>
      </c>
    </row>
    <row r="2966" spans="1:12" x14ac:dyDescent="0.25">
      <c r="A2966">
        <v>2965</v>
      </c>
      <c r="B2966" s="3">
        <v>0.19052389318734281</v>
      </c>
      <c r="C2966" s="3">
        <v>4.8424161615327005E-2</v>
      </c>
      <c r="D2966" s="1">
        <v>136625.07995101766</v>
      </c>
      <c r="E2966" s="1">
        <v>5955482</v>
      </c>
      <c r="F2966" s="1">
        <v>34569865</v>
      </c>
      <c r="G2966" s="16">
        <v>30249.532063612336</v>
      </c>
      <c r="H2966">
        <v>199.54</v>
      </c>
      <c r="I2966" s="1">
        <v>539.29999999999995</v>
      </c>
      <c r="J2966" s="16">
        <v>166874.61201462999</v>
      </c>
      <c r="K2966" s="5">
        <v>5.7591504831012996E-5</v>
      </c>
      <c r="L2966" s="10">
        <v>31631.342799999999</v>
      </c>
    </row>
    <row r="2967" spans="1:12" x14ac:dyDescent="0.25">
      <c r="A2967">
        <v>2966</v>
      </c>
      <c r="B2967" s="3">
        <v>0.11262069449191903</v>
      </c>
      <c r="C2967" s="3">
        <v>6.7634681930091714E-2</v>
      </c>
      <c r="D2967" s="1">
        <v>190883.89923329442</v>
      </c>
      <c r="E2967" s="1">
        <v>5761497</v>
      </c>
      <c r="F2967" s="1">
        <v>30617039</v>
      </c>
      <c r="G2967" s="16">
        <v>38478.721337430383</v>
      </c>
      <c r="H2967">
        <v>118.36</v>
      </c>
      <c r="I2967" s="1">
        <v>374.67</v>
      </c>
      <c r="J2967" s="16">
        <v>229362.6205707248</v>
      </c>
      <c r="K2967" s="5">
        <v>0.10063898364796008</v>
      </c>
      <c r="L2967" s="10">
        <v>212374.87400000001</v>
      </c>
    </row>
    <row r="2968" spans="1:12" x14ac:dyDescent="0.25">
      <c r="A2968">
        <v>2967</v>
      </c>
      <c r="B2968" s="3">
        <v>0.20914372353420774</v>
      </c>
      <c r="C2968" s="3">
        <v>2.7733746921592556E-2</v>
      </c>
      <c r="D2968" s="1">
        <v>104647.76588774913</v>
      </c>
      <c r="E2968" s="1">
        <v>5006598</v>
      </c>
      <c r="F2968" s="1">
        <v>27531315</v>
      </c>
      <c r="G2968" s="16">
        <v>19373.749021144071</v>
      </c>
      <c r="H2968">
        <v>119.22</v>
      </c>
      <c r="I2968" s="1">
        <v>350.89</v>
      </c>
      <c r="J2968" s="16">
        <v>124021.51490889321</v>
      </c>
      <c r="K2968" s="5">
        <v>9.4839666051653393E-2</v>
      </c>
      <c r="L2968" s="10">
        <v>423551.29609999998</v>
      </c>
    </row>
    <row r="2969" spans="1:12" x14ac:dyDescent="0.25">
      <c r="A2969">
        <v>2968</v>
      </c>
      <c r="B2969" s="3">
        <v>0.12497885984311637</v>
      </c>
      <c r="C2969" s="3">
        <v>7.3004493881739102E-2</v>
      </c>
      <c r="D2969" s="1">
        <v>122992.64633256805</v>
      </c>
      <c r="E2969" s="1">
        <v>3435786</v>
      </c>
      <c r="F2969" s="1">
        <v>20285760</v>
      </c>
      <c r="G2969" s="16">
        <v>39392.716793000611</v>
      </c>
      <c r="H2969">
        <v>132.19999999999999</v>
      </c>
      <c r="I2969" s="1">
        <v>360.78999999999996</v>
      </c>
      <c r="J2969" s="16">
        <v>162385.36312556866</v>
      </c>
      <c r="K2969" s="5">
        <v>3.6960537682400207E-2</v>
      </c>
      <c r="L2969" s="10">
        <v>71796.404399999999</v>
      </c>
    </row>
    <row r="2970" spans="1:12" x14ac:dyDescent="0.25">
      <c r="A2970">
        <v>2969</v>
      </c>
      <c r="B2970" s="3">
        <v>0.13602503705998245</v>
      </c>
      <c r="C2970" s="3">
        <v>2.831077984026285E-2</v>
      </c>
      <c r="D2970" s="1">
        <v>71337.918244672852</v>
      </c>
      <c r="E2970" s="1">
        <v>1788631</v>
      </c>
      <c r="F2970" s="1">
        <v>9803215</v>
      </c>
      <c r="G2970" s="16">
        <v>50064.677702106143</v>
      </c>
      <c r="H2970">
        <v>209.46</v>
      </c>
      <c r="I2970" s="1">
        <v>633.07999999999993</v>
      </c>
      <c r="J2970" s="16">
        <v>121402.59594677899</v>
      </c>
      <c r="K2970" s="5">
        <v>0.16944117950324547</v>
      </c>
      <c r="L2970" s="10">
        <v>624732.07409999997</v>
      </c>
    </row>
    <row r="2971" spans="1:12" x14ac:dyDescent="0.25">
      <c r="A2971">
        <v>2970</v>
      </c>
      <c r="B2971" s="3">
        <v>0.19819709114684542</v>
      </c>
      <c r="C2971" s="3">
        <v>4.5115522829703422E-2</v>
      </c>
      <c r="D2971" s="1">
        <v>77636.450259025718</v>
      </c>
      <c r="E2971" s="1">
        <v>2818810</v>
      </c>
      <c r="F2971" s="1">
        <v>16523372</v>
      </c>
      <c r="G2971" s="16">
        <v>17400.436690505321</v>
      </c>
      <c r="H2971">
        <v>98.37</v>
      </c>
      <c r="I2971" s="1">
        <v>371.18000000000006</v>
      </c>
      <c r="J2971" s="16">
        <v>95036.886949531035</v>
      </c>
      <c r="K2971" s="5">
        <v>8.0384595085280439E-2</v>
      </c>
      <c r="L2971" s="10">
        <v>136181.87049999999</v>
      </c>
    </row>
    <row r="2972" spans="1:12" x14ac:dyDescent="0.25">
      <c r="A2972">
        <v>2971</v>
      </c>
      <c r="B2972" s="3">
        <v>0.15708959317131629</v>
      </c>
      <c r="C2972" s="3">
        <v>4.642341065836552E-2</v>
      </c>
      <c r="D2972" s="1">
        <v>97956.165607713745</v>
      </c>
      <c r="E2972" s="1">
        <v>3061191</v>
      </c>
      <c r="F2972" s="1">
        <v>14674401</v>
      </c>
      <c r="G2972" s="16">
        <v>48737.694742082764</v>
      </c>
      <c r="H2972">
        <v>242.67</v>
      </c>
      <c r="I2972" s="1">
        <v>588.34999999999991</v>
      </c>
      <c r="J2972" s="16">
        <v>146693.86034979651</v>
      </c>
      <c r="K2972" s="5">
        <v>0.23039725795481347</v>
      </c>
      <c r="L2972" s="10">
        <v>536521.50230000005</v>
      </c>
    </row>
    <row r="2973" spans="1:12" x14ac:dyDescent="0.25">
      <c r="A2973">
        <v>2972</v>
      </c>
      <c r="B2973" s="3">
        <v>0.13998477537522094</v>
      </c>
      <c r="C2973" s="3">
        <v>3.8900309623165305E-2</v>
      </c>
      <c r="D2973" s="1">
        <v>51722.177332542771</v>
      </c>
      <c r="E2973" s="1">
        <v>1521812</v>
      </c>
      <c r="F2973" s="1">
        <v>12677001</v>
      </c>
      <c r="G2973" s="16">
        <v>6852.6413509357417</v>
      </c>
      <c r="H2973">
        <v>21.87</v>
      </c>
      <c r="I2973" s="1">
        <v>110.07000000000001</v>
      </c>
      <c r="J2973" s="16">
        <v>58574.818683478516</v>
      </c>
      <c r="K2973" s="5">
        <v>5.39286010982018E-2</v>
      </c>
      <c r="L2973" s="10">
        <v>92760.6924</v>
      </c>
    </row>
    <row r="2974" spans="1:12" x14ac:dyDescent="0.25">
      <c r="A2974">
        <v>2973</v>
      </c>
      <c r="B2974" s="3">
        <v>0.12414335025825736</v>
      </c>
      <c r="C2974" s="3">
        <v>3.7379737271244037E-2</v>
      </c>
      <c r="D2974" s="1">
        <v>188958.98471078064</v>
      </c>
      <c r="E2974" s="1">
        <v>6009505</v>
      </c>
      <c r="F2974" s="1">
        <v>22954894</v>
      </c>
      <c r="G2974" s="16">
        <v>32605.317612970593</v>
      </c>
      <c r="H2974">
        <v>108.64</v>
      </c>
      <c r="I2974" s="1">
        <v>349.01</v>
      </c>
      <c r="J2974" s="16">
        <v>221564.30232375124</v>
      </c>
      <c r="K2974" s="5">
        <v>0.11332260695637242</v>
      </c>
      <c r="L2974" s="10">
        <v>530766.9719</v>
      </c>
    </row>
    <row r="2975" spans="1:12" x14ac:dyDescent="0.25">
      <c r="A2975">
        <v>2974</v>
      </c>
      <c r="B2975" s="3">
        <v>0.19909597405024795</v>
      </c>
      <c r="C2975" s="3">
        <v>7.253456401900038E-2</v>
      </c>
      <c r="D2975" s="1">
        <v>59680.198105467025</v>
      </c>
      <c r="E2975" s="1">
        <v>2174162</v>
      </c>
      <c r="F2975" s="1">
        <v>15440598</v>
      </c>
      <c r="G2975" s="16">
        <v>28369.312139003989</v>
      </c>
      <c r="H2975">
        <v>201.93</v>
      </c>
      <c r="I2975" s="1">
        <v>508.7</v>
      </c>
      <c r="J2975" s="16">
        <v>88049.510244471021</v>
      </c>
      <c r="K2975" s="5">
        <v>9.9019744742399246E-2</v>
      </c>
      <c r="L2975" s="10">
        <v>99361.784899999999</v>
      </c>
    </row>
    <row r="2976" spans="1:12" x14ac:dyDescent="0.25">
      <c r="A2976">
        <v>2975</v>
      </c>
      <c r="B2976" s="3">
        <v>0.11568311318108399</v>
      </c>
      <c r="C2976" s="3">
        <v>5.3189923916608248E-2</v>
      </c>
      <c r="D2976" s="1">
        <v>397363.64004640438</v>
      </c>
      <c r="E2976" s="1">
        <v>12160713</v>
      </c>
      <c r="F2976" s="1">
        <v>40083955</v>
      </c>
      <c r="G2976" s="16">
        <v>156595.66755009789</v>
      </c>
      <c r="H2976">
        <v>629.84</v>
      </c>
      <c r="I2976" s="1">
        <v>1422</v>
      </c>
      <c r="J2976" s="16">
        <v>553959.30759650224</v>
      </c>
      <c r="K2976" s="5">
        <v>8.2438783456542986E-2</v>
      </c>
      <c r="L2976" s="10">
        <v>625785.08750000002</v>
      </c>
    </row>
    <row r="2977" spans="1:12" x14ac:dyDescent="0.25">
      <c r="A2977">
        <v>2976</v>
      </c>
      <c r="B2977" s="3">
        <v>0.15748849195522518</v>
      </c>
      <c r="C2977" s="3">
        <v>3.3008532001256349E-2</v>
      </c>
      <c r="D2977" s="1">
        <v>338159.18444025319</v>
      </c>
      <c r="E2977" s="1">
        <v>14908884</v>
      </c>
      <c r="F2977" s="1">
        <v>52287084</v>
      </c>
      <c r="G2977" s="16">
        <v>39242.209454791875</v>
      </c>
      <c r="H2977">
        <v>196.1</v>
      </c>
      <c r="I2977" s="1">
        <v>535.94000000000005</v>
      </c>
      <c r="J2977" s="16">
        <v>377401.39389504504</v>
      </c>
      <c r="K2977" s="5">
        <v>0.25717700739145338</v>
      </c>
      <c r="L2977" s="10">
        <v>2378234.5144000002</v>
      </c>
    </row>
    <row r="2978" spans="1:12" x14ac:dyDescent="0.25">
      <c r="A2978">
        <v>2977</v>
      </c>
      <c r="B2978" s="3">
        <v>0.10259881830364101</v>
      </c>
      <c r="C2978" s="3">
        <v>4.7531929673360479E-2</v>
      </c>
      <c r="D2978" s="1">
        <v>201043.42356577437</v>
      </c>
      <c r="E2978" s="1">
        <v>5206336</v>
      </c>
      <c r="F2978" s="1">
        <v>20840815</v>
      </c>
      <c r="G2978" s="16">
        <v>42679.507664712633</v>
      </c>
      <c r="H2978">
        <v>123.06</v>
      </c>
      <c r="I2978" s="1">
        <v>340.48</v>
      </c>
      <c r="J2978" s="16">
        <v>243722.93123048701</v>
      </c>
      <c r="K2978" s="5">
        <v>0.12917736517265785</v>
      </c>
      <c r="L2978" s="10">
        <v>489032.9719</v>
      </c>
    </row>
    <row r="2979" spans="1:12" x14ac:dyDescent="0.25">
      <c r="A2979">
        <v>2978</v>
      </c>
      <c r="B2979" s="3">
        <v>0.14950713893634066</v>
      </c>
      <c r="C2979" s="3">
        <v>2.9186118864605697E-2</v>
      </c>
      <c r="D2979" s="1">
        <v>79800.34407975075</v>
      </c>
      <c r="E2979" s="1">
        <v>2854465</v>
      </c>
      <c r="F2979" s="1">
        <v>21906961</v>
      </c>
      <c r="G2979" s="16">
        <v>62264.113109451937</v>
      </c>
      <c r="H2979">
        <v>342.29</v>
      </c>
      <c r="I2979" s="1">
        <v>937.09999999999991</v>
      </c>
      <c r="J2979" s="16">
        <v>142064.45718920269</v>
      </c>
      <c r="K2979" s="5">
        <v>9.7506471833272254E-2</v>
      </c>
      <c r="L2979" s="10">
        <v>409777.016</v>
      </c>
    </row>
    <row r="2980" spans="1:12" x14ac:dyDescent="0.25">
      <c r="A2980">
        <v>2979</v>
      </c>
      <c r="B2980" s="3">
        <v>0.10295409162186733</v>
      </c>
      <c r="C2980" s="3">
        <v>6.7337912546722584E-2</v>
      </c>
      <c r="D2980" s="1">
        <v>145902.67059750541</v>
      </c>
      <c r="E2980" s="1">
        <v>4217041</v>
      </c>
      <c r="F2980" s="1">
        <v>22196880</v>
      </c>
      <c r="G2980" s="16">
        <v>74195.363488295654</v>
      </c>
      <c r="H2980">
        <v>238.84</v>
      </c>
      <c r="I2980" s="1">
        <v>634.98</v>
      </c>
      <c r="J2980" s="16">
        <v>220098.03408580105</v>
      </c>
      <c r="K2980" s="5">
        <v>2.4234701130017116E-2</v>
      </c>
      <c r="L2980" s="10">
        <v>70678.781900000002</v>
      </c>
    </row>
    <row r="2981" spans="1:12" x14ac:dyDescent="0.25">
      <c r="A2981">
        <v>2980</v>
      </c>
      <c r="B2981" s="3">
        <v>0.11889518571810245</v>
      </c>
      <c r="C2981" s="3">
        <v>2.0916671386168286E-2</v>
      </c>
      <c r="D2981" s="1">
        <v>46668.125421720717</v>
      </c>
      <c r="E2981" s="1">
        <v>1125038</v>
      </c>
      <c r="F2981" s="1">
        <v>8099891</v>
      </c>
      <c r="G2981" s="16">
        <v>48220.639418332037</v>
      </c>
      <c r="H2981">
        <v>176.05</v>
      </c>
      <c r="I2981" s="1">
        <v>567.5</v>
      </c>
      <c r="J2981" s="16">
        <v>94888.764840052754</v>
      </c>
      <c r="K2981" s="5">
        <v>0.16545082045255699</v>
      </c>
      <c r="L2981" s="10">
        <v>674641.53390000004</v>
      </c>
    </row>
    <row r="2982" spans="1:12" x14ac:dyDescent="0.25">
      <c r="A2982">
        <v>2981</v>
      </c>
      <c r="B2982" s="3">
        <v>0.17104596866287375</v>
      </c>
      <c r="C2982" s="3">
        <v>5.5229332162401029E-2</v>
      </c>
      <c r="D2982" s="1">
        <v>92801.832371298602</v>
      </c>
      <c r="E2982" s="1">
        <v>3049072</v>
      </c>
      <c r="F2982" s="1">
        <v>20103123</v>
      </c>
      <c r="G2982" s="16">
        <v>22197.901890067369</v>
      </c>
      <c r="H2982">
        <v>102.96</v>
      </c>
      <c r="I2982" s="1">
        <v>368.71999999999997</v>
      </c>
      <c r="J2982" s="16">
        <v>114999.73426136597</v>
      </c>
      <c r="K2982" s="5">
        <v>0.1382141384737936</v>
      </c>
      <c r="L2982" s="10">
        <v>215681.117</v>
      </c>
    </row>
    <row r="2983" spans="1:12" x14ac:dyDescent="0.25">
      <c r="A2983">
        <v>2982</v>
      </c>
      <c r="B2983" s="3">
        <v>0.12271430598605876</v>
      </c>
      <c r="C2983" s="3">
        <v>3.3620443532876604E-2</v>
      </c>
      <c r="D2983" s="1">
        <v>129072.00034610054</v>
      </c>
      <c r="E2983" s="1">
        <v>3577764</v>
      </c>
      <c r="F2983" s="1">
        <v>15433649</v>
      </c>
      <c r="G2983" s="16">
        <v>37213.854512213955</v>
      </c>
      <c r="H2983">
        <v>139.93</v>
      </c>
      <c r="I2983" s="1">
        <v>451.97</v>
      </c>
      <c r="J2983" s="16">
        <v>166285.8548583145</v>
      </c>
      <c r="K2983" s="5">
        <v>0.19269353839920661</v>
      </c>
      <c r="L2983" s="10">
        <v>782989.04150000005</v>
      </c>
    </row>
    <row r="2984" spans="1:12" x14ac:dyDescent="0.25">
      <c r="A2984">
        <v>2983</v>
      </c>
      <c r="B2984" s="3">
        <v>0.22248739329500833</v>
      </c>
      <c r="C2984" s="3">
        <v>4.9734525701127484E-2</v>
      </c>
      <c r="D2984" s="1">
        <v>82910.090557591873</v>
      </c>
      <c r="E2984" s="1">
        <v>4246006</v>
      </c>
      <c r="F2984" s="1">
        <v>24492305</v>
      </c>
      <c r="G2984" s="16">
        <v>21562.020586144259</v>
      </c>
      <c r="H2984">
        <v>189.1</v>
      </c>
      <c r="I2984" s="1">
        <v>533.28</v>
      </c>
      <c r="J2984" s="16">
        <v>104472.11114373614</v>
      </c>
      <c r="K2984" s="5">
        <v>0.17943267443619815</v>
      </c>
      <c r="L2984" s="10">
        <v>292813.6385</v>
      </c>
    </row>
    <row r="2985" spans="1:12" x14ac:dyDescent="0.25">
      <c r="A2985">
        <v>2984</v>
      </c>
      <c r="B2985" s="3">
        <v>0.10764108054204877</v>
      </c>
      <c r="C2985" s="3">
        <v>6.5831501787336807E-2</v>
      </c>
      <c r="D2985" s="1">
        <v>129577.74474491108</v>
      </c>
      <c r="E2985" s="1">
        <v>3412830</v>
      </c>
      <c r="F2985" s="1">
        <v>21230429</v>
      </c>
      <c r="G2985" s="16">
        <v>55291.559076365091</v>
      </c>
      <c r="H2985">
        <v>184.48</v>
      </c>
      <c r="I2985" s="1">
        <v>477.32999999999993</v>
      </c>
      <c r="J2985" s="16">
        <v>184869.30382127617</v>
      </c>
      <c r="K2985" s="5">
        <v>0.12119400830567548</v>
      </c>
      <c r="L2985" s="10">
        <v>226900.747</v>
      </c>
    </row>
    <row r="2986" spans="1:12" x14ac:dyDescent="0.25">
      <c r="A2986">
        <v>2985</v>
      </c>
      <c r="B2986" s="3">
        <v>0.15515085601379952</v>
      </c>
      <c r="C2986" s="3">
        <v>6.1817159263148569E-2</v>
      </c>
      <c r="D2986" s="1">
        <v>309134.02885744598</v>
      </c>
      <c r="E2986" s="1">
        <v>11356192</v>
      </c>
      <c r="F2986" s="1">
        <v>40561906</v>
      </c>
      <c r="G2986" s="16">
        <v>51112.311220684329</v>
      </c>
      <c r="H2986">
        <v>250.28</v>
      </c>
      <c r="I2986" s="1">
        <v>656.99</v>
      </c>
      <c r="J2986" s="16">
        <v>360246.34007813031</v>
      </c>
      <c r="K2986" s="5">
        <v>4.8521911296336227E-2</v>
      </c>
      <c r="L2986" s="10">
        <v>196296.64369999999</v>
      </c>
    </row>
    <row r="2987" spans="1:12" x14ac:dyDescent="0.25">
      <c r="A2987">
        <v>2986</v>
      </c>
      <c r="B2987" s="3">
        <v>0.21427554952927697</v>
      </c>
      <c r="C2987" s="3">
        <v>3.1712058119212821E-2</v>
      </c>
      <c r="D2987" s="1">
        <v>185283.61724711652</v>
      </c>
      <c r="E2987" s="1">
        <v>9098272</v>
      </c>
      <c r="F2987" s="1">
        <v>39638239</v>
      </c>
      <c r="G2987" s="16">
        <v>17101.899712299444</v>
      </c>
      <c r="H2987">
        <v>139.19999999999999</v>
      </c>
      <c r="I2987" s="1">
        <v>463.34999999999997</v>
      </c>
      <c r="J2987" s="16">
        <v>202385.51695941595</v>
      </c>
      <c r="K2987" s="5">
        <v>1.0850196231670793E-2</v>
      </c>
      <c r="L2987" s="10">
        <v>76642.998699999996</v>
      </c>
    </row>
    <row r="2988" spans="1:12" x14ac:dyDescent="0.25">
      <c r="A2988">
        <v>2987</v>
      </c>
      <c r="B2988" s="3">
        <v>0.14899313528085856</v>
      </c>
      <c r="C2988" s="3">
        <v>4.887504946124191E-2</v>
      </c>
      <c r="D2988" s="1">
        <v>414895.39806367224</v>
      </c>
      <c r="E2988" s="1">
        <v>17397075</v>
      </c>
      <c r="F2988" s="1">
        <v>53746795</v>
      </c>
      <c r="G2988" s="16">
        <v>30908.951563836068</v>
      </c>
      <c r="H2988">
        <v>143.91999999999999</v>
      </c>
      <c r="I2988" s="1">
        <v>394.47</v>
      </c>
      <c r="J2988" s="16">
        <v>445804.34962750832</v>
      </c>
      <c r="K2988" s="5">
        <v>0.19040936603164865</v>
      </c>
      <c r="L2988" s="10">
        <v>1275807.1394</v>
      </c>
    </row>
    <row r="2989" spans="1:12" x14ac:dyDescent="0.25">
      <c r="A2989">
        <v>2988</v>
      </c>
      <c r="B2989" s="3">
        <v>0.1028780013961261</v>
      </c>
      <c r="C2989" s="3">
        <v>3.4453571356606753E-2</v>
      </c>
      <c r="D2989" s="1">
        <v>144114.77554708917</v>
      </c>
      <c r="E2989" s="1">
        <v>4163943</v>
      </c>
      <c r="F2989" s="1">
        <v>26197022</v>
      </c>
      <c r="G2989" s="16">
        <v>58966.85529165349</v>
      </c>
      <c r="H2989">
        <v>189.41</v>
      </c>
      <c r="I2989" s="1">
        <v>537.38</v>
      </c>
      <c r="J2989" s="16">
        <v>203081.63083874265</v>
      </c>
      <c r="K2989" s="5">
        <v>0.12442092771012339</v>
      </c>
      <c r="L2989" s="10">
        <v>636551.96880000003</v>
      </c>
    </row>
    <row r="2990" spans="1:12" x14ac:dyDescent="0.25">
      <c r="A2990">
        <v>2989</v>
      </c>
      <c r="B2990" s="3">
        <v>0.22563643332929365</v>
      </c>
      <c r="C2990" s="3">
        <v>3.0638724675391076E-2</v>
      </c>
      <c r="D2990" s="1">
        <v>345508.46733436687</v>
      </c>
      <c r="E2990" s="1">
        <v>23223998</v>
      </c>
      <c r="F2990" s="1">
        <v>62477539</v>
      </c>
      <c r="G2990" s="16">
        <v>22541.59607902346</v>
      </c>
      <c r="H2990">
        <v>262.58999999999997</v>
      </c>
      <c r="I2990" s="1">
        <v>830.11999999999989</v>
      </c>
      <c r="J2990" s="16">
        <v>368050.06341339031</v>
      </c>
      <c r="K2990" s="5">
        <v>7.7307852015360654E-2</v>
      </c>
      <c r="L2990" s="10">
        <v>754187.0344</v>
      </c>
    </row>
    <row r="2991" spans="1:12" x14ac:dyDescent="0.25">
      <c r="A2991">
        <v>2990</v>
      </c>
      <c r="B2991" s="3">
        <v>0.15963411195446572</v>
      </c>
      <c r="C2991" s="3">
        <v>2.7133536440141527E-2</v>
      </c>
      <c r="D2991" s="1">
        <v>64582.185374980116</v>
      </c>
      <c r="E2991" s="1">
        <v>2036622</v>
      </c>
      <c r="F2991" s="1">
        <v>12420922</v>
      </c>
      <c r="G2991" s="16">
        <v>24624.788809894613</v>
      </c>
      <c r="H2991">
        <v>105.18</v>
      </c>
      <c r="I2991" s="1">
        <v>299.19000000000005</v>
      </c>
      <c r="J2991" s="16">
        <v>89206.974184874736</v>
      </c>
      <c r="K2991" s="5">
        <v>-1.1835515291642881E-2</v>
      </c>
      <c r="L2991" s="10">
        <v>-26326.346600000001</v>
      </c>
    </row>
    <row r="2992" spans="1:12" x14ac:dyDescent="0.25">
      <c r="A2992">
        <v>2991</v>
      </c>
      <c r="B2992" s="3">
        <v>0.12084442967094422</v>
      </c>
      <c r="C2992" s="3">
        <v>4.1792290146114464E-2</v>
      </c>
      <c r="D2992" s="1">
        <v>263197.72727208625</v>
      </c>
      <c r="E2992" s="1">
        <v>8245585</v>
      </c>
      <c r="F2992" s="1">
        <v>27094571</v>
      </c>
      <c r="G2992" s="16">
        <v>37110.057036129067</v>
      </c>
      <c r="H2992">
        <v>137.61000000000001</v>
      </c>
      <c r="I2992" s="1">
        <v>469.8</v>
      </c>
      <c r="J2992" s="16">
        <v>300307.78430821531</v>
      </c>
      <c r="K2992" s="5">
        <v>7.3708843477004932E-2</v>
      </c>
      <c r="L2992" s="10">
        <v>419433.9767</v>
      </c>
    </row>
    <row r="2993" spans="1:12" x14ac:dyDescent="0.25">
      <c r="A2993">
        <v>2992</v>
      </c>
      <c r="B2993" s="3">
        <v>0.1826445066829937</v>
      </c>
      <c r="C2993" s="3">
        <v>5.5222481758039427E-2</v>
      </c>
      <c r="D2993" s="1">
        <v>203195.37737969143</v>
      </c>
      <c r="E2993" s="1">
        <v>8520645</v>
      </c>
      <c r="F2993" s="1">
        <v>30975227</v>
      </c>
      <c r="G2993" s="16">
        <v>16941.972341865097</v>
      </c>
      <c r="H2993">
        <v>85.4</v>
      </c>
      <c r="I2993" s="1">
        <v>277.03999999999996</v>
      </c>
      <c r="J2993" s="16">
        <v>220137.34972155653</v>
      </c>
      <c r="K2993" s="5">
        <v>0.15051954261086681</v>
      </c>
      <c r="L2993" s="10">
        <v>443934.5698</v>
      </c>
    </row>
    <row r="2994" spans="1:12" x14ac:dyDescent="0.25">
      <c r="A2994">
        <v>2993</v>
      </c>
      <c r="B2994" s="3">
        <v>0.14319972305653719</v>
      </c>
      <c r="C2994" s="3">
        <v>5.5660927383768641E-2</v>
      </c>
      <c r="D2994" s="1">
        <v>237710.11250631302</v>
      </c>
      <c r="E2994" s="1">
        <v>8255287</v>
      </c>
      <c r="F2994" s="1">
        <v>37015040</v>
      </c>
      <c r="G2994" s="16">
        <v>69399.573327601596</v>
      </c>
      <c r="H2994">
        <v>359.39</v>
      </c>
      <c r="I2994" s="1">
        <v>948.53</v>
      </c>
      <c r="J2994" s="16">
        <v>307109.68583391461</v>
      </c>
      <c r="K2994" s="5">
        <v>0.18396625839717057</v>
      </c>
      <c r="L2994" s="10">
        <v>732829.19389999995</v>
      </c>
    </row>
    <row r="2995" spans="1:12" x14ac:dyDescent="0.25">
      <c r="A2995">
        <v>2994</v>
      </c>
      <c r="B2995" s="3">
        <v>0.17675234975457674</v>
      </c>
      <c r="C2995" s="3">
        <v>2.8066819269536549E-2</v>
      </c>
      <c r="D2995" s="1">
        <v>45863.917666331261</v>
      </c>
      <c r="E2995" s="1">
        <v>1538445</v>
      </c>
      <c r="F2995" s="1">
        <v>10904088</v>
      </c>
      <c r="G2995" s="16">
        <v>15195.889578399674</v>
      </c>
      <c r="H2995">
        <v>73.42</v>
      </c>
      <c r="I2995" s="1">
        <v>217.95</v>
      </c>
      <c r="J2995" s="16">
        <v>61059.807244730939</v>
      </c>
      <c r="K2995" s="5">
        <v>9.4867856609542056E-2</v>
      </c>
      <c r="L2995" s="10">
        <v>188709.65640000001</v>
      </c>
    </row>
    <row r="2996" spans="1:12" x14ac:dyDescent="0.25">
      <c r="A2996">
        <v>2995</v>
      </c>
      <c r="B2996" s="3">
        <v>0.16754048448459846</v>
      </c>
      <c r="C2996" s="3">
        <v>6.5432012347503829E-2</v>
      </c>
      <c r="D2996" s="1">
        <v>232712.7736352988</v>
      </c>
      <c r="E2996" s="1">
        <v>10894498</v>
      </c>
      <c r="F2996" s="1">
        <v>54987610</v>
      </c>
      <c r="G2996" s="16">
        <v>16217.832430186303</v>
      </c>
      <c r="H2996">
        <v>61.06</v>
      </c>
      <c r="I2996" s="1">
        <v>185.93</v>
      </c>
      <c r="J2996" s="16">
        <v>248930.6060654851</v>
      </c>
      <c r="K2996" s="5">
        <v>8.8699491039461731E-2</v>
      </c>
      <c r="L2996" s="10">
        <v>252140.88630000001</v>
      </c>
    </row>
    <row r="2997" spans="1:12" x14ac:dyDescent="0.25">
      <c r="A2997">
        <v>2996</v>
      </c>
      <c r="B2997" s="3">
        <v>0.20691227313838489</v>
      </c>
      <c r="C2997" s="3">
        <v>2.9315293664943065E-2</v>
      </c>
      <c r="D2997" s="1">
        <v>160815.47112817911</v>
      </c>
      <c r="E2997" s="1">
        <v>7607563</v>
      </c>
      <c r="F2997" s="1">
        <v>30731047</v>
      </c>
      <c r="G2997" s="16">
        <v>18038.932374433902</v>
      </c>
      <c r="H2997">
        <v>108.91</v>
      </c>
      <c r="I2997" s="1">
        <v>320.5</v>
      </c>
      <c r="J2997" s="16">
        <v>178854.40350261302</v>
      </c>
      <c r="K2997" s="5">
        <v>0.20625755818123731</v>
      </c>
      <c r="L2997" s="10">
        <v>1074960.2468000001</v>
      </c>
    </row>
    <row r="2998" spans="1:12" x14ac:dyDescent="0.25">
      <c r="A2998">
        <v>2997</v>
      </c>
      <c r="B2998" s="3">
        <v>0.109560196697046</v>
      </c>
      <c r="C2998" s="3">
        <v>3.4320826057074441E-2</v>
      </c>
      <c r="D2998" s="1">
        <v>240776.1973439357</v>
      </c>
      <c r="E2998" s="1">
        <v>7167992</v>
      </c>
      <c r="F2998" s="1">
        <v>28048896</v>
      </c>
      <c r="G2998" s="16">
        <v>33706.183736031729</v>
      </c>
      <c r="H2998">
        <v>101.8</v>
      </c>
      <c r="I2998" s="1">
        <v>355.83000000000004</v>
      </c>
      <c r="J2998" s="16">
        <v>274482.38107996742</v>
      </c>
      <c r="K2998" s="5">
        <v>3.230656899858677E-2</v>
      </c>
      <c r="L2998" s="10">
        <v>229463.1581</v>
      </c>
    </row>
    <row r="2999" spans="1:12" x14ac:dyDescent="0.25">
      <c r="A2999">
        <v>2998</v>
      </c>
      <c r="B2999" s="3">
        <v>0.12510887852355346</v>
      </c>
      <c r="C2999" s="3">
        <v>7.4880412643639815E-2</v>
      </c>
      <c r="D2999" s="1">
        <v>84456.489901084264</v>
      </c>
      <c r="E2999" s="1">
        <v>2360335</v>
      </c>
      <c r="F2999" s="1">
        <v>16332206</v>
      </c>
      <c r="G2999" s="16">
        <v>17501.101124992245</v>
      </c>
      <c r="H2999">
        <v>51.33</v>
      </c>
      <c r="I2999" s="1">
        <v>188.39</v>
      </c>
      <c r="J2999" s="16">
        <v>101957.59102607651</v>
      </c>
      <c r="K2999" s="5">
        <v>9.0984749947390975E-2</v>
      </c>
      <c r="L2999" s="10">
        <v>91783.906000000003</v>
      </c>
    </row>
    <row r="3000" spans="1:12" x14ac:dyDescent="0.25">
      <c r="A3000">
        <v>2999</v>
      </c>
      <c r="B3000" s="3">
        <v>0.21678185588323001</v>
      </c>
      <c r="C3000" s="3">
        <v>2.6906281017606982E-2</v>
      </c>
      <c r="D3000" s="1">
        <v>66694.098799171334</v>
      </c>
      <c r="E3000" s="1">
        <v>2598015</v>
      </c>
      <c r="F3000" s="1">
        <v>18891711</v>
      </c>
      <c r="G3000" s="16">
        <v>14719.891716693586</v>
      </c>
      <c r="H3000">
        <v>122.58</v>
      </c>
      <c r="I3000" s="1">
        <v>413.04999999999995</v>
      </c>
      <c r="J3000" s="16">
        <v>81413.99051586492</v>
      </c>
      <c r="K3000" s="5">
        <v>0.21804330896868387</v>
      </c>
      <c r="L3000" s="10">
        <v>592505.33089999994</v>
      </c>
    </row>
    <row r="3001" spans="1:12" x14ac:dyDescent="0.25">
      <c r="A3001">
        <v>3000</v>
      </c>
      <c r="B3001" s="3">
        <v>0.2396494519727024</v>
      </c>
      <c r="C3001" s="3">
        <v>5.4733940953658494E-2</v>
      </c>
      <c r="D3001" s="1">
        <v>112184.46669773471</v>
      </c>
      <c r="E3001" s="1">
        <v>6281737</v>
      </c>
      <c r="F3001" s="1">
        <v>29492513</v>
      </c>
      <c r="G3001" s="16">
        <v>14411.595014018319</v>
      </c>
      <c r="H3001">
        <v>147.62</v>
      </c>
      <c r="I3001" s="1">
        <v>516.56999999999994</v>
      </c>
      <c r="J3001" s="16">
        <v>126596.06171175302</v>
      </c>
      <c r="K3001" s="5">
        <v>0.12767455550358153</v>
      </c>
      <c r="L3001" s="10">
        <v>225644.8039</v>
      </c>
    </row>
    <row r="3002" spans="1:12" x14ac:dyDescent="0.25">
      <c r="A3002">
        <v>3001</v>
      </c>
      <c r="B3002" s="3">
        <v>0.24204597434907799</v>
      </c>
      <c r="C3002" s="3">
        <v>7.4093840355767618E-2</v>
      </c>
      <c r="D3002" s="1">
        <v>95961.499662755945</v>
      </c>
      <c r="E3002" s="1">
        <v>4124497</v>
      </c>
      <c r="F3002" s="1">
        <v>21353013</v>
      </c>
      <c r="G3002" s="16">
        <v>11013.908507230337</v>
      </c>
      <c r="H3002">
        <v>87.39</v>
      </c>
      <c r="I3002" s="1">
        <v>318.3</v>
      </c>
      <c r="J3002" s="16">
        <v>106975.40816998629</v>
      </c>
      <c r="K3002" s="5">
        <v>6.7907677638276959E-2</v>
      </c>
      <c r="L3002" s="10">
        <v>72815.933399999994</v>
      </c>
    </row>
    <row r="3003" spans="1:12" x14ac:dyDescent="0.25">
      <c r="A3003">
        <v>3002</v>
      </c>
      <c r="B3003" s="3">
        <v>0.15708788374170043</v>
      </c>
      <c r="C3003" s="3">
        <v>7.6728049909993851E-2</v>
      </c>
      <c r="D3003" s="1">
        <v>114557.15437483917</v>
      </c>
      <c r="E3003" s="1">
        <v>4247139</v>
      </c>
      <c r="F3003" s="1">
        <v>22580756</v>
      </c>
      <c r="G3003" s="16">
        <v>33859.077963201205</v>
      </c>
      <c r="H3003">
        <v>168.63</v>
      </c>
      <c r="I3003" s="1">
        <v>406.69</v>
      </c>
      <c r="J3003" s="16">
        <v>148416.23233804037</v>
      </c>
      <c r="K3003" s="5">
        <v>0.2274371992930507</v>
      </c>
      <c r="L3003" s="10">
        <v>287337.08260000002</v>
      </c>
    </row>
    <row r="3004" spans="1:12" x14ac:dyDescent="0.25">
      <c r="A3004">
        <v>3003</v>
      </c>
      <c r="B3004" s="3">
        <v>0.15540220113543379</v>
      </c>
      <c r="C3004" s="3">
        <v>2.2665615855862246E-2</v>
      </c>
      <c r="D3004" s="1">
        <v>140542.48667462287</v>
      </c>
      <c r="E3004" s="1">
        <v>4365770</v>
      </c>
      <c r="F3004" s="1">
        <v>18965322</v>
      </c>
      <c r="G3004" s="16">
        <v>40410.175148156668</v>
      </c>
      <c r="H3004">
        <v>198.15</v>
      </c>
      <c r="I3004" s="1">
        <v>609.41999999999996</v>
      </c>
      <c r="J3004" s="16">
        <v>180952.66182277954</v>
      </c>
      <c r="K3004" s="5">
        <v>4.8109801750403663E-2</v>
      </c>
      <c r="L3004" s="10">
        <v>336297.00939999998</v>
      </c>
    </row>
    <row r="3005" spans="1:12" x14ac:dyDescent="0.25">
      <c r="A3005">
        <v>3004</v>
      </c>
      <c r="B3005" s="3">
        <v>0.11405217600007977</v>
      </c>
      <c r="C3005" s="3">
        <v>3.684253995123922E-2</v>
      </c>
      <c r="D3005" s="1">
        <v>386890.87236571993</v>
      </c>
      <c r="E3005" s="1">
        <v>13266337</v>
      </c>
      <c r="F3005" s="1">
        <v>44107442</v>
      </c>
      <c r="G3005" s="16">
        <v>59970.449540271729</v>
      </c>
      <c r="H3005">
        <v>210.36</v>
      </c>
      <c r="I3005" s="1">
        <v>493.62</v>
      </c>
      <c r="J3005" s="16">
        <v>446861.32190599164</v>
      </c>
      <c r="K3005" s="5">
        <v>-5.012977662687941E-3</v>
      </c>
      <c r="L3005" s="10">
        <v>17820.9866</v>
      </c>
    </row>
    <row r="3006" spans="1:12" x14ac:dyDescent="0.25">
      <c r="A3006">
        <v>3005</v>
      </c>
      <c r="B3006" s="3">
        <v>0.12251568292755657</v>
      </c>
      <c r="C3006" s="3">
        <v>6.0903090866645165E-2</v>
      </c>
      <c r="D3006" s="1">
        <v>271265.80543398485</v>
      </c>
      <c r="E3006" s="1">
        <v>8563290</v>
      </c>
      <c r="F3006" s="1">
        <v>34858188</v>
      </c>
      <c r="G3006" s="16">
        <v>29415.658460459421</v>
      </c>
      <c r="H3006">
        <v>97.01</v>
      </c>
      <c r="I3006" s="1">
        <v>275.04000000000002</v>
      </c>
      <c r="J3006" s="16">
        <v>300681.46389444428</v>
      </c>
      <c r="K3006" s="5">
        <v>9.9217132097640368E-2</v>
      </c>
      <c r="L3006" s="10">
        <v>352343.57620000001</v>
      </c>
    </row>
    <row r="3007" spans="1:12" x14ac:dyDescent="0.25">
      <c r="A3007">
        <v>3006</v>
      </c>
      <c r="B3007" s="3">
        <v>0.11725085963123195</v>
      </c>
      <c r="C3007" s="3">
        <v>4.9433516240077816E-2</v>
      </c>
      <c r="D3007" s="1">
        <v>432059.26716084295</v>
      </c>
      <c r="E3007" s="1">
        <v>15085495</v>
      </c>
      <c r="F3007" s="1">
        <v>45504274</v>
      </c>
      <c r="G3007" s="16">
        <v>24402.933768369217</v>
      </c>
      <c r="H3007">
        <v>77.569999999999993</v>
      </c>
      <c r="I3007" s="1">
        <v>280.3</v>
      </c>
      <c r="J3007" s="16">
        <v>456462.20092921215</v>
      </c>
      <c r="K3007" s="5">
        <v>0.23294572148334169</v>
      </c>
      <c r="L3007" s="10">
        <v>1559313.9191999999</v>
      </c>
    </row>
    <row r="3008" spans="1:12" x14ac:dyDescent="0.25">
      <c r="A3008">
        <v>3007</v>
      </c>
      <c r="B3008" s="3">
        <v>0.15516954821942947</v>
      </c>
      <c r="C3008" s="3">
        <v>6.6420924004220908E-2</v>
      </c>
      <c r="D3008" s="1">
        <v>234984.13866092006</v>
      </c>
      <c r="E3008" s="1">
        <v>8633022</v>
      </c>
      <c r="F3008" s="1">
        <v>31287415</v>
      </c>
      <c r="G3008" s="16">
        <v>28483.957744203541</v>
      </c>
      <c r="H3008">
        <v>139.72</v>
      </c>
      <c r="I3008" s="1">
        <v>422.97</v>
      </c>
      <c r="J3008" s="16">
        <v>263468.09640512359</v>
      </c>
      <c r="K3008" s="5">
        <v>0.1442155262075501</v>
      </c>
      <c r="L3008" s="10">
        <v>417284.54560000001</v>
      </c>
    </row>
    <row r="3009" spans="1:12" x14ac:dyDescent="0.25">
      <c r="A3009">
        <v>3008</v>
      </c>
      <c r="B3009" s="3">
        <v>0.19360151936092634</v>
      </c>
      <c r="C3009" s="3">
        <v>2.8856128974170094E-2</v>
      </c>
      <c r="D3009" s="1">
        <v>154567.29813045682</v>
      </c>
      <c r="E3009" s="1">
        <v>6841041</v>
      </c>
      <c r="F3009" s="1">
        <v>31049050</v>
      </c>
      <c r="G3009" s="16">
        <v>23284.765593471748</v>
      </c>
      <c r="H3009">
        <v>157.96</v>
      </c>
      <c r="I3009" s="1">
        <v>605.82000000000005</v>
      </c>
      <c r="J3009" s="16">
        <v>177852.06372392859</v>
      </c>
      <c r="K3009" s="5">
        <v>2.1936770948592164E-2</v>
      </c>
      <c r="L3009" s="10">
        <v>148257.06830000001</v>
      </c>
    </row>
    <row r="3010" spans="1:12" x14ac:dyDescent="0.25">
      <c r="A3010">
        <v>3009</v>
      </c>
      <c r="B3010" s="3">
        <v>0.10848403302670752</v>
      </c>
      <c r="C3010" s="3">
        <v>2.2834606100019861E-2</v>
      </c>
      <c r="D3010" s="1">
        <v>190978.34214957131</v>
      </c>
      <c r="E3010" s="1">
        <v>5658099</v>
      </c>
      <c r="F3010" s="1">
        <v>26525398</v>
      </c>
      <c r="G3010" s="16">
        <v>19185.753564417511</v>
      </c>
      <c r="H3010">
        <v>57.49</v>
      </c>
      <c r="I3010" s="1">
        <v>233.03</v>
      </c>
      <c r="J3010" s="16">
        <v>210164.09571398882</v>
      </c>
      <c r="K3010" s="5">
        <v>0.14170367940923184</v>
      </c>
      <c r="L3010" s="10">
        <v>1154555.8498</v>
      </c>
    </row>
    <row r="3011" spans="1:12" x14ac:dyDescent="0.25">
      <c r="A3011">
        <v>3010</v>
      </c>
      <c r="B3011" s="3">
        <v>0.19585664411417072</v>
      </c>
      <c r="C3011" s="3">
        <v>6.4755133977748083E-2</v>
      </c>
      <c r="D3011" s="1">
        <v>142850.23102823415</v>
      </c>
      <c r="E3011" s="1">
        <v>6393657</v>
      </c>
      <c r="F3011" s="1">
        <v>35554112</v>
      </c>
      <c r="G3011" s="16">
        <v>22535.796828090417</v>
      </c>
      <c r="H3011">
        <v>156.01</v>
      </c>
      <c r="I3011" s="1">
        <v>461.11</v>
      </c>
      <c r="J3011" s="16">
        <v>165386.02785632457</v>
      </c>
      <c r="K3011" s="5">
        <v>7.841083751214302E-2</v>
      </c>
      <c r="L3011" s="10">
        <v>182370.07560000001</v>
      </c>
    </row>
    <row r="3012" spans="1:12" x14ac:dyDescent="0.25">
      <c r="A3012">
        <v>3011</v>
      </c>
      <c r="B3012" s="3">
        <v>0.14871558909129884</v>
      </c>
      <c r="C3012" s="3">
        <v>3.7126959939753221E-2</v>
      </c>
      <c r="D3012" s="1">
        <v>101722.49342747014</v>
      </c>
      <c r="E3012" s="1">
        <v>3085998</v>
      </c>
      <c r="F3012" s="1">
        <v>15746118</v>
      </c>
      <c r="G3012" s="16">
        <v>33493.687019719102</v>
      </c>
      <c r="H3012">
        <v>155.53</v>
      </c>
      <c r="I3012" s="1">
        <v>430.68999999999994</v>
      </c>
      <c r="J3012" s="16">
        <v>135216.18044718925</v>
      </c>
      <c r="K3012" s="5">
        <v>0.13897958968059515</v>
      </c>
      <c r="L3012" s="10">
        <v>420184.93829999998</v>
      </c>
    </row>
    <row r="3013" spans="1:12" x14ac:dyDescent="0.25">
      <c r="A3013">
        <v>3012</v>
      </c>
      <c r="B3013" s="3">
        <v>0.17515912868944872</v>
      </c>
      <c r="C3013" s="3">
        <v>5.0078571473039894E-2</v>
      </c>
      <c r="D3013" s="1">
        <v>138911.57378582004</v>
      </c>
      <c r="E3013" s="1">
        <v>5616436</v>
      </c>
      <c r="F3013" s="1">
        <v>34577643</v>
      </c>
      <c r="G3013" s="16">
        <v>47047.635564440316</v>
      </c>
      <c r="H3013">
        <v>330.33</v>
      </c>
      <c r="I3013" s="1">
        <v>907.25</v>
      </c>
      <c r="J3013" s="16">
        <v>185959.20935026035</v>
      </c>
      <c r="K3013" s="5">
        <v>0.18451108073301331</v>
      </c>
      <c r="L3013" s="10">
        <v>581739.31019999995</v>
      </c>
    </row>
    <row r="3014" spans="1:12" x14ac:dyDescent="0.25">
      <c r="A3014">
        <v>3013</v>
      </c>
      <c r="B3014" s="3">
        <v>0.15223018090399176</v>
      </c>
      <c r="C3014" s="3">
        <v>3.8874957766823835E-2</v>
      </c>
      <c r="D3014" s="1">
        <v>119802.23483981188</v>
      </c>
      <c r="E3014" s="1">
        <v>4340660</v>
      </c>
      <c r="F3014" s="1">
        <v>25507284</v>
      </c>
      <c r="G3014" s="16">
        <v>43881.962250290911</v>
      </c>
      <c r="H3014">
        <v>247.82</v>
      </c>
      <c r="I3014" s="1">
        <v>836.99</v>
      </c>
      <c r="J3014" s="16">
        <v>163684.1970901028</v>
      </c>
      <c r="K3014" s="5">
        <v>0.16976778300931072</v>
      </c>
      <c r="L3014" s="10">
        <v>623858.48080000002</v>
      </c>
    </row>
    <row r="3015" spans="1:12" x14ac:dyDescent="0.25">
      <c r="A3015">
        <v>3014</v>
      </c>
      <c r="B3015" s="3">
        <v>0.24906760050802026</v>
      </c>
      <c r="C3015" s="3">
        <v>3.0350621543377393E-2</v>
      </c>
      <c r="D3015" s="1">
        <v>122961.49236357307</v>
      </c>
      <c r="E3015" s="1">
        <v>9637572</v>
      </c>
      <c r="F3015" s="1">
        <v>44792042</v>
      </c>
      <c r="G3015" s="16">
        <v>14697.829930991324</v>
      </c>
      <c r="H3015">
        <v>123.49</v>
      </c>
      <c r="I3015" s="1">
        <v>337.40000000000003</v>
      </c>
      <c r="J3015" s="16">
        <v>137659.32229456439</v>
      </c>
      <c r="K3015" s="5">
        <v>0.27379375698084613</v>
      </c>
      <c r="L3015" s="10">
        <v>1058509.1904</v>
      </c>
    </row>
    <row r="3016" spans="1:12" x14ac:dyDescent="0.25">
      <c r="A3016">
        <v>3015</v>
      </c>
      <c r="B3016" s="3">
        <v>0.21311797764162541</v>
      </c>
      <c r="C3016" s="3">
        <v>6.7432701794989947E-2</v>
      </c>
      <c r="D3016" s="1">
        <v>118410.24894201897</v>
      </c>
      <c r="E3016" s="1">
        <v>4548449</v>
      </c>
      <c r="F3016" s="1">
        <v>17424966</v>
      </c>
      <c r="G3016" s="16">
        <v>17766.325651859388</v>
      </c>
      <c r="H3016">
        <v>143</v>
      </c>
      <c r="I3016" s="1">
        <v>554.01</v>
      </c>
      <c r="J3016" s="16">
        <v>136176.57459387835</v>
      </c>
      <c r="K3016" s="5">
        <v>7.7012565150984272E-2</v>
      </c>
      <c r="L3016" s="10">
        <v>111859.2833</v>
      </c>
    </row>
    <row r="3017" spans="1:12" x14ac:dyDescent="0.25">
      <c r="A3017">
        <v>3016</v>
      </c>
      <c r="B3017" s="3">
        <v>0.16751113964196845</v>
      </c>
      <c r="C3017" s="3">
        <v>3.9512086076091135E-2</v>
      </c>
      <c r="D3017" s="1">
        <v>100993.68678163853</v>
      </c>
      <c r="E3017" s="1">
        <v>3276137</v>
      </c>
      <c r="F3017" s="1">
        <v>20774396</v>
      </c>
      <c r="G3017" s="16">
        <v>51482.25548379033</v>
      </c>
      <c r="H3017">
        <v>335.35</v>
      </c>
      <c r="I3017" s="1">
        <v>1102.6399999999999</v>
      </c>
      <c r="J3017" s="16">
        <v>152475.94226542886</v>
      </c>
      <c r="K3017" s="5">
        <v>0.16112550885333271</v>
      </c>
      <c r="L3017" s="10">
        <v>515898.87900000002</v>
      </c>
    </row>
    <row r="3018" spans="1:12" x14ac:dyDescent="0.25">
      <c r="A3018">
        <v>3017</v>
      </c>
      <c r="B3018" s="3">
        <v>0.21288027844461727</v>
      </c>
      <c r="C3018" s="3">
        <v>5.4875264824658071E-2</v>
      </c>
      <c r="D3018" s="1">
        <v>91868.806883418001</v>
      </c>
      <c r="E3018" s="1">
        <v>4479274</v>
      </c>
      <c r="F3018" s="1">
        <v>31652876</v>
      </c>
      <c r="G3018" s="16">
        <v>21544.699311252709</v>
      </c>
      <c r="H3018">
        <v>173.16</v>
      </c>
      <c r="I3018" s="1">
        <v>640.61</v>
      </c>
      <c r="J3018" s="16">
        <v>113413.50619467071</v>
      </c>
      <c r="K3018" s="5">
        <v>0.15493211463509798</v>
      </c>
      <c r="L3018" s="10">
        <v>261679.8946</v>
      </c>
    </row>
    <row r="3019" spans="1:12" x14ac:dyDescent="0.25">
      <c r="A3019">
        <v>3018</v>
      </c>
      <c r="B3019" s="3">
        <v>0.20785756768013849</v>
      </c>
      <c r="C3019" s="3">
        <v>5.2073705487508115E-2</v>
      </c>
      <c r="D3019" s="1">
        <v>87442.126471003678</v>
      </c>
      <c r="E3019" s="1">
        <v>3292411</v>
      </c>
      <c r="F3019" s="1">
        <v>13235678</v>
      </c>
      <c r="G3019" s="16">
        <v>17116.860638477574</v>
      </c>
      <c r="H3019">
        <v>104.29</v>
      </c>
      <c r="I3019" s="1">
        <v>371.88000000000005</v>
      </c>
      <c r="J3019" s="16">
        <v>104558.98710948126</v>
      </c>
      <c r="K3019" s="5">
        <v>5.3615882935626191E-2</v>
      </c>
      <c r="L3019" s="10">
        <v>68904.581200000001</v>
      </c>
    </row>
    <row r="3020" spans="1:12" x14ac:dyDescent="0.25">
      <c r="A3020">
        <v>3019</v>
      </c>
      <c r="B3020" s="3">
        <v>0.11034034383477767</v>
      </c>
      <c r="C3020" s="3">
        <v>5.4865856042169286E-2</v>
      </c>
      <c r="D3020" s="1">
        <v>160200.88755393281</v>
      </c>
      <c r="E3020" s="1">
        <v>4785992</v>
      </c>
      <c r="F3020" s="1">
        <v>25873096</v>
      </c>
      <c r="G3020" s="16">
        <v>39194.951858523978</v>
      </c>
      <c r="H3020">
        <v>133.82</v>
      </c>
      <c r="I3020" s="1">
        <v>462.09</v>
      </c>
      <c r="J3020" s="16">
        <v>199395.83941245679</v>
      </c>
      <c r="K3020" s="5">
        <v>0.14671602582792739</v>
      </c>
      <c r="L3020" s="10">
        <v>422144.64559999999</v>
      </c>
    </row>
    <row r="3021" spans="1:12" x14ac:dyDescent="0.25">
      <c r="A3021">
        <v>3020</v>
      </c>
      <c r="B3021" s="3">
        <v>0.23309153873053667</v>
      </c>
      <c r="C3021" s="3">
        <v>6.5675860420053439E-2</v>
      </c>
      <c r="D3021" s="1">
        <v>158277.30253887025</v>
      </c>
      <c r="E3021" s="1">
        <v>8563428</v>
      </c>
      <c r="F3021" s="1">
        <v>33296626</v>
      </c>
      <c r="G3021" s="16">
        <v>17870.524589352484</v>
      </c>
      <c r="H3021">
        <v>172.29</v>
      </c>
      <c r="I3021" s="1">
        <v>481.17999999999995</v>
      </c>
      <c r="J3021" s="16">
        <v>176147.82712822274</v>
      </c>
      <c r="K3021" s="5">
        <v>7.6831140503154594E-2</v>
      </c>
      <c r="L3021" s="10">
        <v>152875.4479</v>
      </c>
    </row>
    <row r="3022" spans="1:12" x14ac:dyDescent="0.25">
      <c r="A3022">
        <v>3021</v>
      </c>
      <c r="B3022" s="3">
        <v>0.2205793731898818</v>
      </c>
      <c r="C3022" s="3">
        <v>5.2328712900227725E-2</v>
      </c>
      <c r="D3022" s="1">
        <v>156197.46389002455</v>
      </c>
      <c r="E3022" s="1">
        <v>7921164</v>
      </c>
      <c r="F3022" s="1">
        <v>33144685</v>
      </c>
      <c r="G3022" s="16">
        <v>10303.119602835559</v>
      </c>
      <c r="H3022">
        <v>53.87</v>
      </c>
      <c r="I3022" s="1">
        <v>165.67</v>
      </c>
      <c r="J3022" s="16">
        <v>166500.58349286011</v>
      </c>
      <c r="K3022" s="5">
        <v>0.10089908190697117</v>
      </c>
      <c r="L3022" s="10">
        <v>262929.90730000002</v>
      </c>
    </row>
    <row r="3023" spans="1:12" x14ac:dyDescent="0.25">
      <c r="A3023">
        <v>3022</v>
      </c>
      <c r="B3023" s="3">
        <v>0.16960100887918053</v>
      </c>
      <c r="C3023" s="3">
        <v>4.2676353853389734E-2</v>
      </c>
      <c r="D3023" s="1">
        <v>421587.02605738019</v>
      </c>
      <c r="E3023" s="1">
        <v>19982798</v>
      </c>
      <c r="F3023" s="1">
        <v>59494812</v>
      </c>
      <c r="G3023" s="16">
        <v>24754.077548990816</v>
      </c>
      <c r="H3023">
        <v>113.71</v>
      </c>
      <c r="I3023" s="1">
        <v>372.09</v>
      </c>
      <c r="J3023" s="16">
        <v>446341.10360637103</v>
      </c>
      <c r="K3023" s="5">
        <v>0.14714465938035468</v>
      </c>
      <c r="L3023" s="10">
        <v>1246961.9509000001</v>
      </c>
    </row>
    <row r="3024" spans="1:12" x14ac:dyDescent="0.25">
      <c r="A3024">
        <v>3023</v>
      </c>
      <c r="B3024" s="3">
        <v>0.16452186569679986</v>
      </c>
      <c r="C3024" s="3">
        <v>5.7476561011438082E-2</v>
      </c>
      <c r="D3024" s="1">
        <v>243059.05822478028</v>
      </c>
      <c r="E3024" s="1">
        <v>11174779</v>
      </c>
      <c r="F3024" s="1">
        <v>50266557</v>
      </c>
      <c r="G3024" s="16">
        <v>50803.007753981808</v>
      </c>
      <c r="H3024">
        <v>269.41000000000003</v>
      </c>
      <c r="I3024" s="1">
        <v>691.72</v>
      </c>
      <c r="J3024" s="16">
        <v>293862.06597876211</v>
      </c>
      <c r="K3024" s="5">
        <v>9.0648493077273226E-2</v>
      </c>
      <c r="L3024" s="10">
        <v>388898.61410000001</v>
      </c>
    </row>
    <row r="3025" spans="1:12" x14ac:dyDescent="0.25">
      <c r="A3025">
        <v>3024</v>
      </c>
      <c r="B3025" s="3">
        <v>0.16531419656868268</v>
      </c>
      <c r="C3025" s="3">
        <v>6.8822656067364776E-2</v>
      </c>
      <c r="D3025" s="1">
        <v>60143.530421997886</v>
      </c>
      <c r="E3025" s="1">
        <v>1935635</v>
      </c>
      <c r="F3025" s="1">
        <v>14599311</v>
      </c>
      <c r="G3025" s="16">
        <v>43630.612555238389</v>
      </c>
      <c r="H3025">
        <v>232.59</v>
      </c>
      <c r="I3025" s="1">
        <v>619.11</v>
      </c>
      <c r="J3025" s="16">
        <v>103774.14297723628</v>
      </c>
      <c r="K3025" s="5">
        <v>0.1650371999314984</v>
      </c>
      <c r="L3025" s="10">
        <v>208257.02830000001</v>
      </c>
    </row>
    <row r="3026" spans="1:12" x14ac:dyDescent="0.25">
      <c r="A3026">
        <v>3025</v>
      </c>
      <c r="B3026" s="3">
        <v>0.19345703745182874</v>
      </c>
      <c r="C3026" s="3">
        <v>5.2754830938388883E-2</v>
      </c>
      <c r="D3026" s="1">
        <v>43665.413929453251</v>
      </c>
      <c r="E3026" s="1">
        <v>1256278</v>
      </c>
      <c r="F3026" s="1">
        <v>8222932</v>
      </c>
      <c r="G3026" s="16">
        <v>9650.189986211295</v>
      </c>
      <c r="H3026">
        <v>52.71</v>
      </c>
      <c r="I3026" s="1">
        <v>212.10000000000002</v>
      </c>
      <c r="J3026" s="16">
        <v>53315.603915664542</v>
      </c>
      <c r="K3026" s="5">
        <v>0.17827388423664883</v>
      </c>
      <c r="L3026" s="10">
        <v>136149.9088</v>
      </c>
    </row>
    <row r="3027" spans="1:12" x14ac:dyDescent="0.25">
      <c r="A3027">
        <v>3026</v>
      </c>
      <c r="B3027" s="3">
        <v>0.17680202590249927</v>
      </c>
      <c r="C3027" s="3">
        <v>6.6352331046931709E-2</v>
      </c>
      <c r="D3027" s="1">
        <v>198264.32632129174</v>
      </c>
      <c r="E3027" s="1">
        <v>8080350</v>
      </c>
      <c r="F3027" s="1">
        <v>31270336</v>
      </c>
      <c r="G3027" s="16">
        <v>48260.194116763923</v>
      </c>
      <c r="H3027">
        <v>344.06</v>
      </c>
      <c r="I3027" s="1">
        <v>1302.1399999999999</v>
      </c>
      <c r="J3027" s="16">
        <v>246524.52043805565</v>
      </c>
      <c r="K3027" s="5">
        <v>0.15224286520767746</v>
      </c>
      <c r="L3027" s="10">
        <v>409393.80499999999</v>
      </c>
    </row>
    <row r="3028" spans="1:12" x14ac:dyDescent="0.25">
      <c r="A3028">
        <v>3027</v>
      </c>
      <c r="B3028" s="3">
        <v>0.2417945283894323</v>
      </c>
      <c r="C3028" s="3">
        <v>5.8336787798709808E-2</v>
      </c>
      <c r="D3028" s="1">
        <v>270773.42329493136</v>
      </c>
      <c r="E3028" s="1">
        <v>26673958</v>
      </c>
      <c r="F3028" s="1">
        <v>93227494</v>
      </c>
      <c r="G3028" s="16">
        <v>15819.026665245881</v>
      </c>
      <c r="H3028">
        <v>165.2</v>
      </c>
      <c r="I3028" s="1">
        <v>409.49</v>
      </c>
      <c r="J3028" s="16">
        <v>286592.44996017724</v>
      </c>
      <c r="K3028" s="5">
        <v>9.6072561627468411E-2</v>
      </c>
      <c r="L3028" s="10">
        <v>349263.40580000001</v>
      </c>
    </row>
    <row r="3029" spans="1:12" x14ac:dyDescent="0.25">
      <c r="A3029">
        <v>3028</v>
      </c>
      <c r="B3029" s="3">
        <v>0.17712920291114725</v>
      </c>
      <c r="C3029" s="3">
        <v>7.2184174704185061E-2</v>
      </c>
      <c r="D3029" s="1">
        <v>154430.71231768056</v>
      </c>
      <c r="E3029" s="1">
        <v>6303915</v>
      </c>
      <c r="F3029" s="1">
        <v>39056748</v>
      </c>
      <c r="G3029" s="16">
        <v>27306.49109517812</v>
      </c>
      <c r="H3029">
        <v>160.80000000000001</v>
      </c>
      <c r="I3029" s="1">
        <v>406.43</v>
      </c>
      <c r="J3029" s="16">
        <v>181737.20341285868</v>
      </c>
      <c r="K3029" s="5">
        <v>0.14241940409064824</v>
      </c>
      <c r="L3029" s="10">
        <v>292117.84840000002</v>
      </c>
    </row>
    <row r="3030" spans="1:12" x14ac:dyDescent="0.25">
      <c r="A3030">
        <v>3029</v>
      </c>
      <c r="B3030" s="3">
        <v>0.14327999518977505</v>
      </c>
      <c r="C3030" s="3">
        <v>6.1328907767990229E-2</v>
      </c>
      <c r="D3030" s="1">
        <v>165595.65097176761</v>
      </c>
      <c r="E3030" s="1">
        <v>5753019</v>
      </c>
      <c r="F3030" s="1">
        <v>23465264</v>
      </c>
      <c r="G3030" s="16">
        <v>38941.98690668479</v>
      </c>
      <c r="H3030">
        <v>172.85</v>
      </c>
      <c r="I3030" s="1">
        <v>416.42</v>
      </c>
      <c r="J3030" s="16">
        <v>204537.6378784524</v>
      </c>
      <c r="K3030" s="5">
        <v>4.8988968416761668E-2</v>
      </c>
      <c r="L3030" s="10">
        <v>157990.94349999999</v>
      </c>
    </row>
    <row r="3031" spans="1:12" x14ac:dyDescent="0.25">
      <c r="A3031">
        <v>3030</v>
      </c>
      <c r="B3031" s="3">
        <v>0.21964912550485935</v>
      </c>
      <c r="C3031" s="3">
        <v>6.7627818685779356E-2</v>
      </c>
      <c r="D3031" s="1">
        <v>148161.05452460787</v>
      </c>
      <c r="E3031" s="1">
        <v>5835361</v>
      </c>
      <c r="F3031" s="1">
        <v>20624887</v>
      </c>
      <c r="G3031" s="16">
        <v>8186.3201062567214</v>
      </c>
      <c r="H3031">
        <v>54.54</v>
      </c>
      <c r="I3031" s="1">
        <v>259.03999999999996</v>
      </c>
      <c r="J3031" s="16">
        <v>156347.37463086459</v>
      </c>
      <c r="K3031" s="5">
        <v>0.19915376952782787</v>
      </c>
      <c r="L3031" s="10">
        <v>327169.32789999997</v>
      </c>
    </row>
    <row r="3032" spans="1:12" x14ac:dyDescent="0.25">
      <c r="A3032">
        <v>3031</v>
      </c>
      <c r="B3032" s="3">
        <v>0.23701556390291481</v>
      </c>
      <c r="C3032" s="3">
        <v>4.1593423601036135E-2</v>
      </c>
      <c r="D3032" s="1">
        <v>74428.982098212684</v>
      </c>
      <c r="E3032" s="1">
        <v>4110380</v>
      </c>
      <c r="F3032" s="1">
        <v>24034210</v>
      </c>
      <c r="G3032" s="16">
        <v>10082.027024175899</v>
      </c>
      <c r="H3032">
        <v>77</v>
      </c>
      <c r="I3032" s="1">
        <v>231.64999999999998</v>
      </c>
      <c r="J3032" s="16">
        <v>84511.009122388583</v>
      </c>
      <c r="K3032" s="5">
        <v>0.20365222010400447</v>
      </c>
      <c r="L3032" s="10">
        <v>348096.60369999998</v>
      </c>
    </row>
    <row r="3033" spans="1:12" x14ac:dyDescent="0.25">
      <c r="A3033">
        <v>3032</v>
      </c>
      <c r="B3033" s="3">
        <v>0.20091716912088065</v>
      </c>
      <c r="C3033" s="3">
        <v>2.1250481891228985E-2</v>
      </c>
      <c r="D3033" s="1">
        <v>114201.5772263868</v>
      </c>
      <c r="E3033" s="1">
        <v>4188897</v>
      </c>
      <c r="F3033" s="1">
        <v>18362907</v>
      </c>
      <c r="G3033" s="16">
        <v>24252.24177831698</v>
      </c>
      <c r="H3033">
        <v>175.57</v>
      </c>
      <c r="I3033" s="1">
        <v>640.82999999999993</v>
      </c>
      <c r="J3033" s="16">
        <v>138453.81900470378</v>
      </c>
      <c r="K3033" s="5">
        <v>4.8289664928619525E-2</v>
      </c>
      <c r="L3033" s="10">
        <v>301709.2733</v>
      </c>
    </row>
    <row r="3034" spans="1:12" x14ac:dyDescent="0.25">
      <c r="A3034">
        <v>3033</v>
      </c>
      <c r="B3034" s="3">
        <v>0.19526217939467017</v>
      </c>
      <c r="C3034" s="3">
        <v>5.1421056139120264E-2</v>
      </c>
      <c r="D3034" s="1">
        <v>120259.4709432724</v>
      </c>
      <c r="E3034" s="1">
        <v>5366673</v>
      </c>
      <c r="F3034" s="1">
        <v>22456695</v>
      </c>
      <c r="G3034" s="16">
        <v>9203.412941312381</v>
      </c>
      <c r="H3034">
        <v>41.06</v>
      </c>
      <c r="I3034" s="1">
        <v>157.07999999999998</v>
      </c>
      <c r="J3034" s="16">
        <v>129462.88388458479</v>
      </c>
      <c r="K3034" s="5">
        <v>0.13585255391563991</v>
      </c>
      <c r="L3034" s="10">
        <v>279163.63449999999</v>
      </c>
    </row>
    <row r="3035" spans="1:12" x14ac:dyDescent="0.25">
      <c r="A3035">
        <v>3034</v>
      </c>
      <c r="B3035" s="3">
        <v>0.16628819584105864</v>
      </c>
      <c r="C3035" s="3">
        <v>7.9316806816816757E-2</v>
      </c>
      <c r="D3035" s="1">
        <v>158011.08585962589</v>
      </c>
      <c r="E3035" s="1">
        <v>5103192</v>
      </c>
      <c r="F3035" s="1">
        <v>20685409</v>
      </c>
      <c r="G3035" s="16">
        <v>25338.781226340379</v>
      </c>
      <c r="H3035">
        <v>135.88</v>
      </c>
      <c r="I3035" s="1">
        <v>431.35</v>
      </c>
      <c r="J3035" s="16">
        <v>183349.86708596628</v>
      </c>
      <c r="K3035" s="5">
        <v>8.2830409782727599E-2</v>
      </c>
      <c r="L3035" s="10">
        <v>124910.8138</v>
      </c>
    </row>
    <row r="3036" spans="1:12" x14ac:dyDescent="0.25">
      <c r="A3036">
        <v>3035</v>
      </c>
      <c r="B3036" s="3">
        <v>0.17417969257624727</v>
      </c>
      <c r="C3036" s="3">
        <v>5.4000685282301994E-2</v>
      </c>
      <c r="D3036" s="1">
        <v>369067.70842153736</v>
      </c>
      <c r="E3036" s="1">
        <v>17983777</v>
      </c>
      <c r="F3036" s="1">
        <v>69808107</v>
      </c>
      <c r="G3036" s="16">
        <v>38176.94581483581</v>
      </c>
      <c r="H3036">
        <v>219.48</v>
      </c>
      <c r="I3036" s="1">
        <v>618.9</v>
      </c>
      <c r="J3036" s="16">
        <v>407244.65423637314</v>
      </c>
      <c r="K3036" s="5">
        <v>0.28251587846934201</v>
      </c>
      <c r="L3036" s="10">
        <v>1506247.1024</v>
      </c>
    </row>
    <row r="3037" spans="1:12" x14ac:dyDescent="0.25">
      <c r="A3037">
        <v>3036</v>
      </c>
      <c r="B3037" s="3">
        <v>0.24835429320281635</v>
      </c>
      <c r="C3037" s="3">
        <v>3.2065896093733427E-2</v>
      </c>
      <c r="D3037" s="1">
        <v>40477.066134557943</v>
      </c>
      <c r="E3037" s="1">
        <v>1783910</v>
      </c>
      <c r="F3037" s="1">
        <v>11779132</v>
      </c>
      <c r="G3037" s="16">
        <v>13883.994096556991</v>
      </c>
      <c r="H3037">
        <v>154.30000000000001</v>
      </c>
      <c r="I3037" s="1">
        <v>474.29</v>
      </c>
      <c r="J3037" s="16">
        <v>54361.060231114934</v>
      </c>
      <c r="K3037" s="5">
        <v>-1.1296349513281137E-2</v>
      </c>
      <c r="L3037" s="10">
        <v>-433.69049999999999</v>
      </c>
    </row>
    <row r="3038" spans="1:12" x14ac:dyDescent="0.25">
      <c r="A3038">
        <v>3037</v>
      </c>
      <c r="B3038" s="3">
        <v>0.1779211760891859</v>
      </c>
      <c r="C3038" s="3">
        <v>2.5806236639592653E-2</v>
      </c>
      <c r="D3038" s="1">
        <v>185046.63857936408</v>
      </c>
      <c r="E3038" s="1">
        <v>7582809</v>
      </c>
      <c r="F3038" s="1">
        <v>30538231</v>
      </c>
      <c r="G3038" s="16">
        <v>30202.218916641141</v>
      </c>
      <c r="H3038">
        <v>179.26</v>
      </c>
      <c r="I3038" s="1">
        <v>577.82999999999993</v>
      </c>
      <c r="J3038" s="16">
        <v>215248.85749600522</v>
      </c>
      <c r="K3038" s="5">
        <v>0.13136763725970177</v>
      </c>
      <c r="L3038" s="10">
        <v>953057.52659999998</v>
      </c>
    </row>
    <row r="3039" spans="1:12" x14ac:dyDescent="0.25">
      <c r="A3039">
        <v>3038</v>
      </c>
      <c r="B3039" s="3">
        <v>0.12205196278770014</v>
      </c>
      <c r="C3039" s="3">
        <v>7.1712716222378417E-2</v>
      </c>
      <c r="D3039" s="1">
        <v>350665.8556022048</v>
      </c>
      <c r="E3039" s="1">
        <v>12582074</v>
      </c>
      <c r="F3039" s="1">
        <v>59791309</v>
      </c>
      <c r="G3039" s="16">
        <v>60965.43080456015</v>
      </c>
      <c r="H3039">
        <v>228.13</v>
      </c>
      <c r="I3039" s="1">
        <v>677.86</v>
      </c>
      <c r="J3039" s="16">
        <v>411631.28640676494</v>
      </c>
      <c r="K3039" s="5">
        <v>0.1292125949335993</v>
      </c>
      <c r="L3039" s="10">
        <v>553473.1703</v>
      </c>
    </row>
    <row r="3040" spans="1:12" x14ac:dyDescent="0.25">
      <c r="A3040">
        <v>3039</v>
      </c>
      <c r="B3040" s="3">
        <v>0.10988909479501494</v>
      </c>
      <c r="C3040" s="3">
        <v>2.9444921736094927E-2</v>
      </c>
      <c r="D3040" s="1">
        <v>258979.46224141345</v>
      </c>
      <c r="E3040" s="1">
        <v>7721322</v>
      </c>
      <c r="F3040" s="1">
        <v>30198609</v>
      </c>
      <c r="G3040" s="16">
        <v>16899.015269806692</v>
      </c>
      <c r="H3040">
        <v>45.59</v>
      </c>
      <c r="I3040" s="1">
        <v>191.60999999999999</v>
      </c>
      <c r="J3040" s="16">
        <v>275878.47751122015</v>
      </c>
      <c r="K3040" s="5">
        <v>0.1119622780981695</v>
      </c>
      <c r="L3040" s="10">
        <v>876264.54779999994</v>
      </c>
    </row>
    <row r="3041" spans="1:12" x14ac:dyDescent="0.25">
      <c r="A3041">
        <v>3040</v>
      </c>
      <c r="B3041" s="3">
        <v>0.12151406881327269</v>
      </c>
      <c r="C3041" s="3">
        <v>5.6652036932731728E-2</v>
      </c>
      <c r="D3041" s="1">
        <v>191179.85970296455</v>
      </c>
      <c r="E3041" s="1">
        <v>5277645</v>
      </c>
      <c r="F3041" s="1">
        <v>20847263</v>
      </c>
      <c r="G3041" s="16">
        <v>38063.107472876793</v>
      </c>
      <c r="H3041">
        <v>141.94</v>
      </c>
      <c r="I3041" s="1">
        <v>418.34999999999997</v>
      </c>
      <c r="J3041" s="16">
        <v>229242.96717584133</v>
      </c>
      <c r="K3041" s="5">
        <v>0.19269671345706205</v>
      </c>
      <c r="L3041" s="10">
        <v>540414.05619999999</v>
      </c>
    </row>
    <row r="3042" spans="1:12" x14ac:dyDescent="0.25">
      <c r="A3042">
        <v>3041</v>
      </c>
      <c r="B3042" s="3">
        <v>0.12216828604629817</v>
      </c>
      <c r="C3042" s="3">
        <v>2.2764762738660758E-2</v>
      </c>
      <c r="D3042" s="1">
        <v>95026.478387614377</v>
      </c>
      <c r="E3042" s="1">
        <v>2307940</v>
      </c>
      <c r="F3042" s="1">
        <v>10218863</v>
      </c>
      <c r="G3042" s="16">
        <v>9071.1742271746261</v>
      </c>
      <c r="H3042">
        <v>26.2</v>
      </c>
      <c r="I3042" s="1">
        <v>124.60000000000001</v>
      </c>
      <c r="J3042" s="16">
        <v>104097.652614789</v>
      </c>
      <c r="K3042" s="5">
        <v>0.12374647868837986</v>
      </c>
      <c r="L3042" s="10">
        <v>484380.37439999997</v>
      </c>
    </row>
    <row r="3043" spans="1:12" x14ac:dyDescent="0.25">
      <c r="A3043">
        <v>3042</v>
      </c>
      <c r="B3043" s="3">
        <v>0.17844521350397818</v>
      </c>
      <c r="C3043" s="3">
        <v>5.1623064916969108E-2</v>
      </c>
      <c r="D3043" s="1">
        <v>102244.30152477292</v>
      </c>
      <c r="E3043" s="1">
        <v>3450900</v>
      </c>
      <c r="F3043" s="1">
        <v>16102430</v>
      </c>
      <c r="G3043" s="16">
        <v>19604.603617602701</v>
      </c>
      <c r="H3043">
        <v>116.86</v>
      </c>
      <c r="I3043" s="1">
        <v>473.55</v>
      </c>
      <c r="J3043" s="16">
        <v>121848.90514237562</v>
      </c>
      <c r="K3043" s="5">
        <v>0.15827044322534534</v>
      </c>
      <c r="L3043" s="10">
        <v>296416.65669999999</v>
      </c>
    </row>
    <row r="3044" spans="1:12" x14ac:dyDescent="0.25">
      <c r="A3044">
        <v>3043</v>
      </c>
      <c r="B3044" s="3">
        <v>0.14219926186533491</v>
      </c>
      <c r="C3044" s="3">
        <v>2.8619765195222403E-2</v>
      </c>
      <c r="D3044" s="1">
        <v>213801.43202939088</v>
      </c>
      <c r="E3044" s="1">
        <v>7390405</v>
      </c>
      <c r="F3044" s="1">
        <v>28095832</v>
      </c>
      <c r="G3044" s="16">
        <v>80108.466852217578</v>
      </c>
      <c r="H3044">
        <v>411.76</v>
      </c>
      <c r="I3044" s="1">
        <v>1026.22</v>
      </c>
      <c r="J3044" s="16">
        <v>293909.89888160845</v>
      </c>
      <c r="K3044" s="5">
        <v>0.26113536398876014</v>
      </c>
      <c r="L3044" s="10">
        <v>2243603.8335000002</v>
      </c>
    </row>
    <row r="3045" spans="1:12" x14ac:dyDescent="0.25">
      <c r="A3045">
        <v>3044</v>
      </c>
      <c r="B3045" s="3">
        <v>0.14131273465227917</v>
      </c>
      <c r="C3045" s="3">
        <v>2.1262098695606961E-2</v>
      </c>
      <c r="D3045" s="1">
        <v>472415.89419022005</v>
      </c>
      <c r="E3045" s="1">
        <v>18938781</v>
      </c>
      <c r="F3045" s="1">
        <v>63732062</v>
      </c>
      <c r="G3045" s="16">
        <v>34158.784701245619</v>
      </c>
      <c r="H3045">
        <v>149.4</v>
      </c>
      <c r="I3045" s="1">
        <v>435.14</v>
      </c>
      <c r="J3045" s="16">
        <v>506574.67889146565</v>
      </c>
      <c r="K3045" s="5">
        <v>5.250202496058775E-2</v>
      </c>
      <c r="L3045" s="10">
        <v>1139718.6683</v>
      </c>
    </row>
    <row r="3046" spans="1:12" x14ac:dyDescent="0.25">
      <c r="A3046">
        <v>3045</v>
      </c>
      <c r="B3046" s="3">
        <v>0.22952621074923732</v>
      </c>
      <c r="C3046" s="3">
        <v>7.7002998827677152E-2</v>
      </c>
      <c r="D3046" s="1">
        <v>95937.825446038216</v>
      </c>
      <c r="E3046" s="1">
        <v>5095198</v>
      </c>
      <c r="F3046" s="1">
        <v>24273793</v>
      </c>
      <c r="G3046" s="16">
        <v>18261.177625566143</v>
      </c>
      <c r="H3046">
        <v>170.63</v>
      </c>
      <c r="I3046" s="1">
        <v>490.68</v>
      </c>
      <c r="J3046" s="16">
        <v>114199.00307160435</v>
      </c>
      <c r="K3046" s="5">
        <v>0.16933568331359811</v>
      </c>
      <c r="L3046" s="10">
        <v>177688.11079999999</v>
      </c>
    </row>
    <row r="3047" spans="1:12" x14ac:dyDescent="0.25">
      <c r="A3047">
        <v>3046</v>
      </c>
      <c r="B3047" s="3">
        <v>0.21017731750749485</v>
      </c>
      <c r="C3047" s="3">
        <v>6.4189676333946386E-2</v>
      </c>
      <c r="D3047" s="1">
        <v>74761.633175602459</v>
      </c>
      <c r="E3047" s="1">
        <v>2839839</v>
      </c>
      <c r="F3047" s="1">
        <v>13030875</v>
      </c>
      <c r="G3047" s="16">
        <v>38770.173797060801</v>
      </c>
      <c r="H3047">
        <v>385.15</v>
      </c>
      <c r="I3047" s="1">
        <v>951.06000000000006</v>
      </c>
      <c r="J3047" s="16">
        <v>113531.80697266327</v>
      </c>
      <c r="K3047" s="5">
        <v>0.30195984359582784</v>
      </c>
      <c r="L3047" s="10">
        <v>372170.58199999999</v>
      </c>
    </row>
    <row r="3048" spans="1:12" x14ac:dyDescent="0.25">
      <c r="A3048">
        <v>3047</v>
      </c>
      <c r="B3048" s="3">
        <v>0.13647688605666891</v>
      </c>
      <c r="C3048" s="3">
        <v>6.700753144632865E-2</v>
      </c>
      <c r="D3048" s="1">
        <v>129679.78166208758</v>
      </c>
      <c r="E3048" s="1">
        <v>3769240</v>
      </c>
      <c r="F3048" s="1">
        <v>15755726</v>
      </c>
      <c r="G3048" s="16">
        <v>19927.664833088213</v>
      </c>
      <c r="H3048">
        <v>72.3</v>
      </c>
      <c r="I3048" s="1">
        <v>220.76999999999998</v>
      </c>
      <c r="J3048" s="16">
        <v>149607.4464951758</v>
      </c>
      <c r="K3048" s="5">
        <v>4.6598954793214832E-2</v>
      </c>
      <c r="L3048" s="10">
        <v>81245.369300000006</v>
      </c>
    </row>
    <row r="3049" spans="1:12" x14ac:dyDescent="0.25">
      <c r="A3049">
        <v>3048</v>
      </c>
      <c r="B3049" s="3">
        <v>0.12982616933839008</v>
      </c>
      <c r="C3049" s="3">
        <v>5.7610584138968995E-2</v>
      </c>
      <c r="D3049" s="1">
        <v>203938.4133188409</v>
      </c>
      <c r="E3049" s="1">
        <v>6656988</v>
      </c>
      <c r="F3049" s="1">
        <v>28946886</v>
      </c>
      <c r="G3049" s="16">
        <v>16832.883156777538</v>
      </c>
      <c r="H3049">
        <v>58.33</v>
      </c>
      <c r="I3049" s="1">
        <v>215.03000000000003</v>
      </c>
      <c r="J3049" s="16">
        <v>220771.29647561844</v>
      </c>
      <c r="K3049" s="5">
        <v>5.0220838930330899E-2</v>
      </c>
      <c r="L3049" s="10">
        <v>161680.33050000001</v>
      </c>
    </row>
    <row r="3050" spans="1:12" x14ac:dyDescent="0.25">
      <c r="A3050">
        <v>3049</v>
      </c>
      <c r="B3050" s="3">
        <v>0.20211487340801754</v>
      </c>
      <c r="C3050" s="3">
        <v>5.5169403036516962E-2</v>
      </c>
      <c r="D3050" s="1">
        <v>123711.89587373151</v>
      </c>
      <c r="E3050" s="1">
        <v>4558200</v>
      </c>
      <c r="F3050" s="1">
        <v>19304992</v>
      </c>
      <c r="G3050" s="16">
        <v>13553.474676169744</v>
      </c>
      <c r="H3050">
        <v>79.08</v>
      </c>
      <c r="I3050" s="1">
        <v>341.88</v>
      </c>
      <c r="J3050" s="16">
        <v>137265.37054990124</v>
      </c>
      <c r="K3050" s="5">
        <v>0.10931042892647133</v>
      </c>
      <c r="L3050" s="10">
        <v>222506.30170000001</v>
      </c>
    </row>
    <row r="3051" spans="1:12" x14ac:dyDescent="0.25">
      <c r="A3051">
        <v>3050</v>
      </c>
      <c r="B3051" s="3">
        <v>0.17618213549756911</v>
      </c>
      <c r="C3051" s="3">
        <v>7.3064593108180823E-2</v>
      </c>
      <c r="D3051" s="1">
        <v>87055.433748951618</v>
      </c>
      <c r="E3051" s="1">
        <v>2914104</v>
      </c>
      <c r="F3051" s="1">
        <v>15060706</v>
      </c>
      <c r="G3051" s="16">
        <v>17780.956272662963</v>
      </c>
      <c r="H3051">
        <v>85.62</v>
      </c>
      <c r="I3051" s="1">
        <v>276.31</v>
      </c>
      <c r="J3051" s="16">
        <v>104836.39002161458</v>
      </c>
      <c r="K3051" s="5">
        <v>0.12022504087046183</v>
      </c>
      <c r="L3051" s="10">
        <v>132152.2254</v>
      </c>
    </row>
    <row r="3052" spans="1:12" x14ac:dyDescent="0.25">
      <c r="A3052">
        <v>3051</v>
      </c>
      <c r="B3052" s="3">
        <v>0.24756139335461566</v>
      </c>
      <c r="C3052" s="3">
        <v>7.3534803345244523E-2</v>
      </c>
      <c r="D3052" s="1">
        <v>105579.90311483662</v>
      </c>
      <c r="E3052" s="1">
        <v>4638427</v>
      </c>
      <c r="F3052" s="1">
        <v>19960504</v>
      </c>
      <c r="G3052" s="16">
        <v>9301.9743415788671</v>
      </c>
      <c r="H3052">
        <v>77.06</v>
      </c>
      <c r="I3052" s="1">
        <v>245.01999999999998</v>
      </c>
      <c r="J3052" s="16">
        <v>114881.87745641549</v>
      </c>
      <c r="K3052" s="5">
        <v>0.11888491295569001</v>
      </c>
      <c r="L3052" s="10">
        <v>142668.8768</v>
      </c>
    </row>
    <row r="3053" spans="1:12" x14ac:dyDescent="0.25">
      <c r="A3053">
        <v>3052</v>
      </c>
      <c r="B3053" s="3">
        <v>0.14558756706624432</v>
      </c>
      <c r="C3053" s="3">
        <v>7.2163993917748165E-2</v>
      </c>
      <c r="D3053" s="1">
        <v>244094.27870951974</v>
      </c>
      <c r="E3053" s="1">
        <v>8572160</v>
      </c>
      <c r="F3053" s="1">
        <v>39781202</v>
      </c>
      <c r="G3053" s="16">
        <v>21985.765214661886</v>
      </c>
      <c r="H3053">
        <v>99.64</v>
      </c>
      <c r="I3053" s="1">
        <v>408.63</v>
      </c>
      <c r="J3053" s="16">
        <v>266080.04392418161</v>
      </c>
      <c r="K3053" s="5">
        <v>9.6378384194937106E-2</v>
      </c>
      <c r="L3053" s="10">
        <v>250395.3628</v>
      </c>
    </row>
    <row r="3054" spans="1:12" x14ac:dyDescent="0.25">
      <c r="A3054">
        <v>3053</v>
      </c>
      <c r="B3054" s="3">
        <v>0.10062309773064181</v>
      </c>
      <c r="C3054" s="3">
        <v>7.9840430308298127E-2</v>
      </c>
      <c r="D3054" s="1">
        <v>253316.72233568269</v>
      </c>
      <c r="E3054" s="1">
        <v>7246028</v>
      </c>
      <c r="F3054" s="1">
        <v>32705605</v>
      </c>
      <c r="G3054" s="16">
        <v>56563.056839097277</v>
      </c>
      <c r="H3054">
        <v>178.58</v>
      </c>
      <c r="I3054" s="1">
        <v>545.59</v>
      </c>
      <c r="J3054" s="16">
        <v>309879.77917477995</v>
      </c>
      <c r="K3054" s="5">
        <v>0.14745739116320811</v>
      </c>
      <c r="L3054" s="10">
        <v>377183.03580000001</v>
      </c>
    </row>
    <row r="3055" spans="1:12" x14ac:dyDescent="0.25">
      <c r="A3055">
        <v>3054</v>
      </c>
      <c r="B3055" s="3">
        <v>0.23307391009126199</v>
      </c>
      <c r="C3055" s="3">
        <v>6.5698060229727781E-2</v>
      </c>
      <c r="D3055" s="1">
        <v>30724.564322986826</v>
      </c>
      <c r="E3055" s="1">
        <v>977643</v>
      </c>
      <c r="F3055" s="1">
        <v>8477922</v>
      </c>
      <c r="G3055" s="16">
        <v>14524.442933918521</v>
      </c>
      <c r="H3055">
        <v>107.39</v>
      </c>
      <c r="I3055" s="1">
        <v>303.20999999999998</v>
      </c>
      <c r="J3055" s="16">
        <v>45249.007256905345</v>
      </c>
      <c r="K3055" s="5">
        <v>0.12592279496689257</v>
      </c>
      <c r="L3055" s="10">
        <v>62102.5455</v>
      </c>
    </row>
    <row r="3056" spans="1:12" x14ac:dyDescent="0.25">
      <c r="A3056">
        <v>3055</v>
      </c>
      <c r="B3056" s="3">
        <v>0.11548268049511923</v>
      </c>
      <c r="C3056" s="3">
        <v>3.7709547730199314E-2</v>
      </c>
      <c r="D3056" s="1">
        <v>167001.27763497338</v>
      </c>
      <c r="E3056" s="1">
        <v>4516516</v>
      </c>
      <c r="F3056" s="1">
        <v>18514354</v>
      </c>
      <c r="G3056" s="16">
        <v>55140.483578135681</v>
      </c>
      <c r="H3056">
        <v>195.89</v>
      </c>
      <c r="I3056" s="1">
        <v>554.30999999999995</v>
      </c>
      <c r="J3056" s="16">
        <v>222141.76121310907</v>
      </c>
      <c r="K3056" s="5">
        <v>0.22564431626416731</v>
      </c>
      <c r="L3056" s="10">
        <v>1050919.9166000001</v>
      </c>
    </row>
    <row r="3057" spans="1:12" x14ac:dyDescent="0.25">
      <c r="A3057">
        <v>3056</v>
      </c>
      <c r="B3057" s="3">
        <v>0.22028462205134128</v>
      </c>
      <c r="C3057" s="3">
        <v>5.8717709820024597E-2</v>
      </c>
      <c r="D3057" s="1">
        <v>105078.51949435174</v>
      </c>
      <c r="E3057" s="1">
        <v>5320741</v>
      </c>
      <c r="F3057" s="1">
        <v>24420853</v>
      </c>
      <c r="G3057" s="16">
        <v>37321.67139189873</v>
      </c>
      <c r="H3057">
        <v>410.69</v>
      </c>
      <c r="I3057" s="1">
        <v>1060.78</v>
      </c>
      <c r="J3057" s="16">
        <v>142400.19088625046</v>
      </c>
      <c r="K3057" s="5">
        <v>0.12232262955212733</v>
      </c>
      <c r="L3057" s="10">
        <v>187475.53450000001</v>
      </c>
    </row>
    <row r="3058" spans="1:12" x14ac:dyDescent="0.25">
      <c r="A3058">
        <v>3057</v>
      </c>
      <c r="B3058" s="3">
        <v>0.21367905988126135</v>
      </c>
      <c r="C3058" s="3">
        <v>3.6081997949172918E-2</v>
      </c>
      <c r="D3058" s="1">
        <v>92194.972314682818</v>
      </c>
      <c r="E3058" s="1">
        <v>3549041</v>
      </c>
      <c r="F3058" s="1">
        <v>17292186</v>
      </c>
      <c r="G3058" s="16">
        <v>15720.074872603955</v>
      </c>
      <c r="H3058">
        <v>127.26</v>
      </c>
      <c r="I3058" s="1">
        <v>564.51</v>
      </c>
      <c r="J3058" s="16">
        <v>107915.04718728678</v>
      </c>
      <c r="K3058" s="5">
        <v>-8.8145132984517038E-5</v>
      </c>
      <c r="L3058" s="10">
        <v>13527.1793</v>
      </c>
    </row>
    <row r="3059" spans="1:12" x14ac:dyDescent="0.25">
      <c r="A3059">
        <v>3058</v>
      </c>
      <c r="B3059" s="3">
        <v>0.17880812713363084</v>
      </c>
      <c r="C3059" s="3">
        <v>5.8150464953467679E-2</v>
      </c>
      <c r="D3059" s="1">
        <v>91508.669066578033</v>
      </c>
      <c r="E3059" s="1">
        <v>3092655</v>
      </c>
      <c r="F3059" s="1">
        <v>14101295</v>
      </c>
      <c r="G3059" s="16">
        <v>29377.016328609858</v>
      </c>
      <c r="H3059">
        <v>175.45</v>
      </c>
      <c r="I3059" s="1">
        <v>484.35</v>
      </c>
      <c r="J3059" s="16">
        <v>120885.68539518789</v>
      </c>
      <c r="K3059" s="5">
        <v>0.3008142125097194</v>
      </c>
      <c r="L3059" s="10">
        <v>452189.21429999999</v>
      </c>
    </row>
    <row r="3060" spans="1:12" x14ac:dyDescent="0.25">
      <c r="A3060">
        <v>3059</v>
      </c>
      <c r="B3060" s="3">
        <v>0.20300485005018154</v>
      </c>
      <c r="C3060" s="3">
        <v>2.6673189113793083E-2</v>
      </c>
      <c r="D3060" s="1">
        <v>181357.90363775333</v>
      </c>
      <c r="E3060" s="1">
        <v>10555071</v>
      </c>
      <c r="F3060" s="1">
        <v>44814817</v>
      </c>
      <c r="G3060" s="16">
        <v>51880.141552880363</v>
      </c>
      <c r="H3060">
        <v>479.61</v>
      </c>
      <c r="I3060" s="1">
        <v>1146.3600000000001</v>
      </c>
      <c r="J3060" s="16">
        <v>233238.04519063368</v>
      </c>
      <c r="K3060" s="5">
        <v>0.26896621971947143</v>
      </c>
      <c r="L3060" s="10">
        <v>2048922.3129</v>
      </c>
    </row>
    <row r="3061" spans="1:12" x14ac:dyDescent="0.25">
      <c r="A3061">
        <v>3060</v>
      </c>
      <c r="B3061" s="3">
        <v>0.15132342124307666</v>
      </c>
      <c r="C3061" s="3">
        <v>6.8772595890734853E-2</v>
      </c>
      <c r="D3061" s="1">
        <v>46624.175139281098</v>
      </c>
      <c r="E3061" s="1">
        <v>1427537</v>
      </c>
      <c r="F3061" s="1">
        <v>14121504</v>
      </c>
      <c r="G3061" s="16">
        <v>23726.152398880487</v>
      </c>
      <c r="H3061">
        <v>95.65</v>
      </c>
      <c r="I3061" s="1">
        <v>310.02999999999997</v>
      </c>
      <c r="J3061" s="16">
        <v>70350.327538161582</v>
      </c>
      <c r="K3061" s="5">
        <v>0.23686049282112634</v>
      </c>
      <c r="L3061" s="10">
        <v>205213.52340000001</v>
      </c>
    </row>
    <row r="3062" spans="1:12" x14ac:dyDescent="0.25">
      <c r="A3062">
        <v>3061</v>
      </c>
      <c r="B3062" s="3">
        <v>0.11072083071029751</v>
      </c>
      <c r="C3062" s="3">
        <v>6.3569087186287621E-2</v>
      </c>
      <c r="D3062" s="1">
        <v>355273.75011381012</v>
      </c>
      <c r="E3062" s="1">
        <v>11955714</v>
      </c>
      <c r="F3062" s="1">
        <v>55279896</v>
      </c>
      <c r="G3062" s="16">
        <v>111232.73041432111</v>
      </c>
      <c r="H3062">
        <v>427.41</v>
      </c>
      <c r="I3062" s="1">
        <v>969.5</v>
      </c>
      <c r="J3062" s="16">
        <v>466506.48052813124</v>
      </c>
      <c r="K3062" s="5">
        <v>0.10439920513462228</v>
      </c>
      <c r="L3062" s="10">
        <v>558521.3946</v>
      </c>
    </row>
    <row r="3063" spans="1:12" x14ac:dyDescent="0.25">
      <c r="A3063">
        <v>3062</v>
      </c>
      <c r="B3063" s="3">
        <v>0.16309962323221266</v>
      </c>
      <c r="C3063" s="3">
        <v>4.721298185759791E-2</v>
      </c>
      <c r="D3063" s="1">
        <v>83771.798579566326</v>
      </c>
      <c r="E3063" s="1">
        <v>2674731</v>
      </c>
      <c r="F3063" s="1">
        <v>19242374</v>
      </c>
      <c r="G3063" s="16">
        <v>23229.438278832917</v>
      </c>
      <c r="H3063">
        <v>121.53</v>
      </c>
      <c r="I3063" s="1">
        <v>423.78999999999996</v>
      </c>
      <c r="J3063" s="16">
        <v>107001.23685839924</v>
      </c>
      <c r="K3063" s="5">
        <v>-1.4376828928887996E-2</v>
      </c>
      <c r="L3063" s="10">
        <v>2164.4717999999998</v>
      </c>
    </row>
    <row r="3064" spans="1:12" x14ac:dyDescent="0.25">
      <c r="A3064">
        <v>3063</v>
      </c>
      <c r="B3064" s="3">
        <v>0.18677277523601543</v>
      </c>
      <c r="C3064" s="3">
        <v>4.4631288165892985E-2</v>
      </c>
      <c r="D3064" s="1">
        <v>260804.09739460933</v>
      </c>
      <c r="E3064" s="1">
        <v>13723259</v>
      </c>
      <c r="F3064" s="1">
        <v>48928611</v>
      </c>
      <c r="G3064" s="16">
        <v>11344.601728805896</v>
      </c>
      <c r="H3064">
        <v>58.88</v>
      </c>
      <c r="I3064" s="1">
        <v>312.58999999999997</v>
      </c>
      <c r="J3064" s="16">
        <v>272148.69912341522</v>
      </c>
      <c r="K3064" s="5">
        <v>8.5550511302231319E-3</v>
      </c>
      <c r="L3064" s="10">
        <v>128134.12300000001</v>
      </c>
    </row>
    <row r="3065" spans="1:12" x14ac:dyDescent="0.25">
      <c r="A3065">
        <v>3064</v>
      </c>
      <c r="B3065" s="3">
        <v>0.13018994925089777</v>
      </c>
      <c r="C3065" s="3">
        <v>2.7030753093690827E-2</v>
      </c>
      <c r="D3065" s="1">
        <v>107364.46564829888</v>
      </c>
      <c r="E3065" s="1">
        <v>3053440</v>
      </c>
      <c r="F3065" s="1">
        <v>20111495</v>
      </c>
      <c r="G3065" s="16">
        <v>55537.101966940958</v>
      </c>
      <c r="H3065">
        <v>221.49</v>
      </c>
      <c r="I3065" s="1">
        <v>585.20000000000005</v>
      </c>
      <c r="J3065" s="16">
        <v>162901.56761523982</v>
      </c>
      <c r="K3065" s="5">
        <v>0.12747469755065638</v>
      </c>
      <c r="L3065" s="10">
        <v>669400.62</v>
      </c>
    </row>
    <row r="3066" spans="1:12" x14ac:dyDescent="0.25">
      <c r="A3066">
        <v>3065</v>
      </c>
      <c r="B3066" s="3">
        <v>0.13276394542779169</v>
      </c>
      <c r="C3066" s="3">
        <v>7.377042169074928E-2</v>
      </c>
      <c r="D3066" s="1">
        <v>322430.24433498719</v>
      </c>
      <c r="E3066" s="1">
        <v>10668173</v>
      </c>
      <c r="F3066" s="1">
        <v>36890158</v>
      </c>
      <c r="G3066" s="16">
        <v>20668.242152716684</v>
      </c>
      <c r="H3066">
        <v>84.4</v>
      </c>
      <c r="I3066" s="1">
        <v>408.98</v>
      </c>
      <c r="J3066" s="16">
        <v>343098.48648770386</v>
      </c>
      <c r="K3066" s="5">
        <v>6.948095750221786E-2</v>
      </c>
      <c r="L3066" s="10">
        <v>213876.92540000001</v>
      </c>
    </row>
    <row r="3067" spans="1:12" x14ac:dyDescent="0.25">
      <c r="A3067">
        <v>3066</v>
      </c>
      <c r="B3067" s="3">
        <v>0.11585547596742071</v>
      </c>
      <c r="C3067" s="3">
        <v>3.392826955286582E-2</v>
      </c>
      <c r="D3067" s="1">
        <v>392267.87794885493</v>
      </c>
      <c r="E3067" s="1">
        <v>13588446</v>
      </c>
      <c r="F3067" s="1">
        <v>43946903</v>
      </c>
      <c r="G3067" s="16">
        <v>39021.082047446122</v>
      </c>
      <c r="H3067">
        <v>122.91</v>
      </c>
      <c r="I3067" s="1">
        <v>359.05999999999995</v>
      </c>
      <c r="J3067" s="16">
        <v>431288.95999630104</v>
      </c>
      <c r="K3067" s="5">
        <v>0.19467765194890274</v>
      </c>
      <c r="L3067" s="10">
        <v>1957557.7969</v>
      </c>
    </row>
    <row r="3068" spans="1:12" x14ac:dyDescent="0.25">
      <c r="A3068">
        <v>3067</v>
      </c>
      <c r="B3068" s="3">
        <v>0.19048995613327779</v>
      </c>
      <c r="C3068" s="3">
        <v>5.1582625441919813E-2</v>
      </c>
      <c r="D3068" s="1">
        <v>73273.417531539293</v>
      </c>
      <c r="E3068" s="1">
        <v>2585133</v>
      </c>
      <c r="F3068" s="1">
        <v>15100604</v>
      </c>
      <c r="G3068" s="16">
        <v>30494.453155628544</v>
      </c>
      <c r="H3068">
        <v>201.35</v>
      </c>
      <c r="I3068" s="1">
        <v>706.5</v>
      </c>
      <c r="J3068" s="16">
        <v>103767.87068716783</v>
      </c>
      <c r="K3068" s="5">
        <v>4.1680987295096339E-2</v>
      </c>
      <c r="L3068" s="10">
        <v>75680.724900000001</v>
      </c>
    </row>
    <row r="3069" spans="1:12" x14ac:dyDescent="0.25">
      <c r="A3069">
        <v>3068</v>
      </c>
      <c r="B3069" s="3">
        <v>0.22064430486145881</v>
      </c>
      <c r="C3069" s="3">
        <v>4.5744305182073633E-2</v>
      </c>
      <c r="D3069" s="1">
        <v>114300.54945075796</v>
      </c>
      <c r="E3069" s="1">
        <v>5798402</v>
      </c>
      <c r="F3069" s="1">
        <v>23134925</v>
      </c>
      <c r="G3069" s="16">
        <v>22216.949065964429</v>
      </c>
      <c r="H3069">
        <v>191.35</v>
      </c>
      <c r="I3069" s="1">
        <v>618.71</v>
      </c>
      <c r="J3069" s="16">
        <v>136517.49851672238</v>
      </c>
      <c r="K3069" s="5">
        <v>0.15511040274262658</v>
      </c>
      <c r="L3069" s="10">
        <v>364746.31400000001</v>
      </c>
    </row>
    <row r="3070" spans="1:12" x14ac:dyDescent="0.25">
      <c r="A3070">
        <v>3069</v>
      </c>
      <c r="B3070" s="3">
        <v>0.23328702990902114</v>
      </c>
      <c r="C3070" s="3">
        <v>3.5003148413254311E-2</v>
      </c>
      <c r="D3070" s="1">
        <v>67853.295724304073</v>
      </c>
      <c r="E3070" s="1">
        <v>2817578</v>
      </c>
      <c r="F3070" s="1">
        <v>16529424</v>
      </c>
      <c r="G3070" s="16">
        <v>24025.271502434116</v>
      </c>
      <c r="H3070">
        <v>231.81</v>
      </c>
      <c r="I3070" s="1">
        <v>549.26</v>
      </c>
      <c r="J3070" s="16">
        <v>91878.567226738189</v>
      </c>
      <c r="K3070" s="5">
        <v>9.1715909372186349E-2</v>
      </c>
      <c r="L3070" s="10">
        <v>236609.9473</v>
      </c>
    </row>
    <row r="3071" spans="1:12" x14ac:dyDescent="0.25">
      <c r="A3071">
        <v>3070</v>
      </c>
      <c r="B3071" s="3">
        <v>0.16395439690011554</v>
      </c>
      <c r="C3071" s="3">
        <v>6.8401828457522268E-2</v>
      </c>
      <c r="D3071" s="1">
        <v>78890.665793788183</v>
      </c>
      <c r="E3071" s="1">
        <v>3022097</v>
      </c>
      <c r="F3071" s="1">
        <v>21902246</v>
      </c>
      <c r="G3071" s="16">
        <v>23323.825216187353</v>
      </c>
      <c r="H3071">
        <v>102.51</v>
      </c>
      <c r="I3071" s="1">
        <v>294.96000000000004</v>
      </c>
      <c r="J3071" s="16">
        <v>102214.49100997554</v>
      </c>
      <c r="K3071" s="5">
        <v>-9.9756878620459219E-2</v>
      </c>
      <c r="L3071" s="10">
        <v>-95420.371599999999</v>
      </c>
    </row>
    <row r="3072" spans="1:12" x14ac:dyDescent="0.25">
      <c r="A3072">
        <v>3071</v>
      </c>
      <c r="B3072" s="3">
        <v>0.19658627620635694</v>
      </c>
      <c r="C3072" s="3">
        <v>7.1862884458569226E-2</v>
      </c>
      <c r="D3072" s="1">
        <v>86700.168093007451</v>
      </c>
      <c r="E3072" s="1">
        <v>3128999</v>
      </c>
      <c r="F3072" s="1">
        <v>14942364</v>
      </c>
      <c r="G3072" s="16">
        <v>22015.19788201313</v>
      </c>
      <c r="H3072">
        <v>153.51</v>
      </c>
      <c r="I3072" s="1">
        <v>456.58</v>
      </c>
      <c r="J3072" s="16">
        <v>108715.36597502058</v>
      </c>
      <c r="K3072" s="5">
        <v>5.8028766153456535E-2</v>
      </c>
      <c r="L3072" s="10">
        <v>73950.4516</v>
      </c>
    </row>
    <row r="3073" spans="1:12" x14ac:dyDescent="0.25">
      <c r="A3073">
        <v>3072</v>
      </c>
      <c r="B3073" s="3">
        <v>0.17033364520529751</v>
      </c>
      <c r="C3073" s="3">
        <v>6.8876781539886689E-2</v>
      </c>
      <c r="D3073" s="1">
        <v>100404.81478395514</v>
      </c>
      <c r="E3073" s="1">
        <v>3290386</v>
      </c>
      <c r="F3073" s="1">
        <v>17316296</v>
      </c>
      <c r="G3073" s="16">
        <v>28609.095372452775</v>
      </c>
      <c r="H3073">
        <v>159.15</v>
      </c>
      <c r="I3073" s="1">
        <v>594.82000000000005</v>
      </c>
      <c r="J3073" s="16">
        <v>129013.91015640792</v>
      </c>
      <c r="K3073" s="5">
        <v>8.6830100353525369E-2</v>
      </c>
      <c r="L3073" s="10">
        <v>119234.6635</v>
      </c>
    </row>
    <row r="3074" spans="1:12" x14ac:dyDescent="0.25">
      <c r="A3074">
        <v>3073</v>
      </c>
      <c r="B3074" s="3">
        <v>0.14150029221483021</v>
      </c>
      <c r="C3074" s="3">
        <v>7.3090254051699263E-2</v>
      </c>
      <c r="D3074" s="1">
        <v>517325.36072599475</v>
      </c>
      <c r="E3074" s="1">
        <v>20761826</v>
      </c>
      <c r="F3074" s="1">
        <v>70390832</v>
      </c>
      <c r="G3074" s="16">
        <v>47776.496960519471</v>
      </c>
      <c r="H3074">
        <v>243.51</v>
      </c>
      <c r="I3074" s="1">
        <v>861</v>
      </c>
      <c r="J3074" s="16">
        <v>565101.85768651427</v>
      </c>
      <c r="K3074" s="5">
        <v>8.7502119778864018E-2</v>
      </c>
      <c r="L3074" s="10">
        <v>396103.23729999998</v>
      </c>
    </row>
    <row r="3075" spans="1:12" x14ac:dyDescent="0.25">
      <c r="A3075">
        <v>3074</v>
      </c>
      <c r="B3075" s="3">
        <v>0.23403325980574174</v>
      </c>
      <c r="C3075" s="3">
        <v>2.5271474728831553E-2</v>
      </c>
      <c r="D3075" s="1">
        <v>165566.42424492698</v>
      </c>
      <c r="E3075" s="1">
        <v>9001918</v>
      </c>
      <c r="F3075" s="1">
        <v>32266971</v>
      </c>
      <c r="G3075" s="16">
        <v>25477.306378763329</v>
      </c>
      <c r="H3075">
        <v>247.49</v>
      </c>
      <c r="I3075" s="1">
        <v>729.79</v>
      </c>
      <c r="J3075" s="16">
        <v>191043.7306236903</v>
      </c>
      <c r="K3075" s="5">
        <v>-2.2589797758375059E-2</v>
      </c>
      <c r="L3075" s="10">
        <v>-155509.53810000001</v>
      </c>
    </row>
    <row r="3076" spans="1:12" x14ac:dyDescent="0.25">
      <c r="A3076">
        <v>3075</v>
      </c>
      <c r="B3076" s="3">
        <v>0.12170034294907328</v>
      </c>
      <c r="C3076" s="3">
        <v>7.4808908790956238E-2</v>
      </c>
      <c r="D3076" s="1">
        <v>113342.18678705154</v>
      </c>
      <c r="E3076" s="1">
        <v>3130876</v>
      </c>
      <c r="F3076" s="1">
        <v>19124103</v>
      </c>
      <c r="G3076" s="16">
        <v>55715.160245640764</v>
      </c>
      <c r="H3076">
        <v>208</v>
      </c>
      <c r="I3076" s="1">
        <v>575.62</v>
      </c>
      <c r="J3076" s="16">
        <v>169057.34703269231</v>
      </c>
      <c r="K3076" s="5">
        <v>9.5591876616081983E-2</v>
      </c>
      <c r="L3076" s="10">
        <v>160710.49729999999</v>
      </c>
    </row>
    <row r="3077" spans="1:12" x14ac:dyDescent="0.25">
      <c r="A3077">
        <v>3076</v>
      </c>
      <c r="B3077" s="3">
        <v>0.11863337725760287</v>
      </c>
      <c r="C3077" s="3">
        <v>3.2150673690316899E-2</v>
      </c>
      <c r="D3077" s="1">
        <v>474498.49862165051</v>
      </c>
      <c r="E3077" s="1">
        <v>16697616</v>
      </c>
      <c r="F3077" s="1">
        <v>52998619</v>
      </c>
      <c r="G3077" s="16">
        <v>41471.618979442203</v>
      </c>
      <c r="H3077">
        <v>151.11000000000001</v>
      </c>
      <c r="I3077" s="1">
        <v>408.24</v>
      </c>
      <c r="J3077" s="16">
        <v>515970.11760109273</v>
      </c>
      <c r="K3077" s="5">
        <v>-4.1045683675687707E-2</v>
      </c>
      <c r="L3077" s="10">
        <v>-487920.60230000003</v>
      </c>
    </row>
    <row r="3078" spans="1:12" x14ac:dyDescent="0.25">
      <c r="A3078">
        <v>3077</v>
      </c>
      <c r="B3078" s="3">
        <v>0.14778438654184767</v>
      </c>
      <c r="C3078" s="3">
        <v>7.551052432508884E-2</v>
      </c>
      <c r="D3078" s="1">
        <v>273317.82074556692</v>
      </c>
      <c r="E3078" s="1">
        <v>9697791</v>
      </c>
      <c r="F3078" s="1">
        <v>39791068</v>
      </c>
      <c r="G3078" s="16">
        <v>47705.513365819235</v>
      </c>
      <c r="H3078">
        <v>219.58</v>
      </c>
      <c r="I3078" s="1">
        <v>617.72</v>
      </c>
      <c r="J3078" s="16">
        <v>321023.33411138615</v>
      </c>
      <c r="K3078" s="5">
        <v>-5.2592927467473238E-2</v>
      </c>
      <c r="L3078" s="10">
        <v>-115826.44960000001</v>
      </c>
    </row>
    <row r="3079" spans="1:12" x14ac:dyDescent="0.25">
      <c r="A3079">
        <v>3078</v>
      </c>
      <c r="B3079" s="3">
        <v>0.18041209577691075</v>
      </c>
      <c r="C3079" s="3">
        <v>7.011770171163216E-2</v>
      </c>
      <c r="D3079" s="1">
        <v>69072.52240536359</v>
      </c>
      <c r="E3079" s="1">
        <v>2348127</v>
      </c>
      <c r="F3079" s="1">
        <v>18660717</v>
      </c>
      <c r="G3079" s="16">
        <v>20891.723714533131</v>
      </c>
      <c r="H3079">
        <v>103.53</v>
      </c>
      <c r="I3079" s="1">
        <v>312.14</v>
      </c>
      <c r="J3079" s="16">
        <v>89964.246119896721</v>
      </c>
      <c r="K3079" s="5">
        <v>0.27059487201685517</v>
      </c>
      <c r="L3079" s="10">
        <v>271034.88780000003</v>
      </c>
    </row>
    <row r="3080" spans="1:12" x14ac:dyDescent="0.25">
      <c r="A3080">
        <v>3079</v>
      </c>
      <c r="B3080" s="3">
        <v>0.24478013387197006</v>
      </c>
      <c r="C3080" s="3">
        <v>3.6983676936905102E-2</v>
      </c>
      <c r="D3080" s="1">
        <v>92508.340412111778</v>
      </c>
      <c r="E3080" s="1">
        <v>5322187</v>
      </c>
      <c r="F3080" s="1">
        <v>29332660</v>
      </c>
      <c r="G3080" s="16">
        <v>17900.327188683896</v>
      </c>
      <c r="H3080">
        <v>192.22</v>
      </c>
      <c r="I3080" s="1">
        <v>466.91999999999996</v>
      </c>
      <c r="J3080" s="16">
        <v>110408.66760079567</v>
      </c>
      <c r="K3080" s="5">
        <v>6.1867724444301456E-2</v>
      </c>
      <c r="L3080" s="10">
        <v>189905.63200000001</v>
      </c>
    </row>
    <row r="3081" spans="1:12" x14ac:dyDescent="0.25">
      <c r="A3081">
        <v>3080</v>
      </c>
      <c r="B3081" s="3">
        <v>0.21951714995829882</v>
      </c>
      <c r="C3081" s="3">
        <v>5.27193052217617E-2</v>
      </c>
      <c r="D3081" s="1">
        <v>99470.240335637471</v>
      </c>
      <c r="E3081" s="1">
        <v>3915673</v>
      </c>
      <c r="F3081" s="1">
        <v>20146034</v>
      </c>
      <c r="G3081" s="16">
        <v>23395.283393666825</v>
      </c>
      <c r="H3081">
        <v>199.5</v>
      </c>
      <c r="I3081" s="1">
        <v>518.41</v>
      </c>
      <c r="J3081" s="16">
        <v>122865.52372930429</v>
      </c>
      <c r="K3081" s="5">
        <v>0.17930178599334587</v>
      </c>
      <c r="L3081" s="10">
        <v>318733.77039999998</v>
      </c>
    </row>
    <row r="3082" spans="1:12" x14ac:dyDescent="0.25">
      <c r="A3082">
        <v>3081</v>
      </c>
      <c r="B3082" s="3">
        <v>0.16753281596321912</v>
      </c>
      <c r="C3082" s="3">
        <v>3.6274086712909159E-2</v>
      </c>
      <c r="D3082" s="1">
        <v>190499.99605800511</v>
      </c>
      <c r="E3082" s="1">
        <v>7423855</v>
      </c>
      <c r="F3082" s="1">
        <v>27903423</v>
      </c>
      <c r="G3082" s="16">
        <v>35111.860543614966</v>
      </c>
      <c r="H3082">
        <v>190.64</v>
      </c>
      <c r="I3082" s="1">
        <v>731.58</v>
      </c>
      <c r="J3082" s="16">
        <v>225611.85660162009</v>
      </c>
      <c r="K3082" s="5">
        <v>0.10612147677188272</v>
      </c>
      <c r="L3082" s="10">
        <v>534687.99540000001</v>
      </c>
    </row>
    <row r="3083" spans="1:12" x14ac:dyDescent="0.25">
      <c r="A3083">
        <v>3082</v>
      </c>
      <c r="B3083" s="3">
        <v>0.16330945715045958</v>
      </c>
      <c r="C3083" s="3">
        <v>2.5312027450630929E-2</v>
      </c>
      <c r="D3083" s="1">
        <v>143538.53675972618</v>
      </c>
      <c r="E3083" s="1">
        <v>4586448</v>
      </c>
      <c r="F3083" s="1">
        <v>18211907</v>
      </c>
      <c r="G3083" s="16">
        <v>28832.64682684364</v>
      </c>
      <c r="H3083">
        <v>150.99</v>
      </c>
      <c r="I3083" s="1">
        <v>588.68000000000006</v>
      </c>
      <c r="J3083" s="16">
        <v>172371.18358656982</v>
      </c>
      <c r="K3083" s="5">
        <v>0.11140995567156063</v>
      </c>
      <c r="L3083" s="10">
        <v>680004.47349999996</v>
      </c>
    </row>
    <row r="3084" spans="1:12" x14ac:dyDescent="0.25">
      <c r="A3084">
        <v>3083</v>
      </c>
      <c r="B3084" s="3">
        <v>0.19325811514670327</v>
      </c>
      <c r="C3084" s="3">
        <v>6.2839855309999429E-2</v>
      </c>
      <c r="D3084" s="1">
        <v>381474.45871600608</v>
      </c>
      <c r="E3084" s="1">
        <v>20892722</v>
      </c>
      <c r="F3084" s="1">
        <v>70765348</v>
      </c>
      <c r="G3084" s="16">
        <v>18823.719375622968</v>
      </c>
      <c r="H3084">
        <v>127.48</v>
      </c>
      <c r="I3084" s="1">
        <v>461.81000000000006</v>
      </c>
      <c r="J3084" s="16">
        <v>400298.17809162906</v>
      </c>
      <c r="K3084" s="5">
        <v>0.12644634936782684</v>
      </c>
      <c r="L3084" s="10">
        <v>570091.15330000001</v>
      </c>
    </row>
    <row r="3085" spans="1:12" x14ac:dyDescent="0.25">
      <c r="A3085">
        <v>3084</v>
      </c>
      <c r="B3085" s="3">
        <v>0.20652796666874895</v>
      </c>
      <c r="C3085" s="3">
        <v>7.9882329199562938E-2</v>
      </c>
      <c r="D3085" s="1">
        <v>149202.79718042747</v>
      </c>
      <c r="E3085" s="1">
        <v>7044542</v>
      </c>
      <c r="F3085" s="1">
        <v>32504401</v>
      </c>
      <c r="G3085" s="16">
        <v>32881.888711454951</v>
      </c>
      <c r="H3085">
        <v>249.76</v>
      </c>
      <c r="I3085" s="1">
        <v>612.07999999999993</v>
      </c>
      <c r="J3085" s="16">
        <v>182084.68589188243</v>
      </c>
      <c r="K3085" s="5">
        <v>-5.2139965867751895E-2</v>
      </c>
      <c r="L3085" s="10">
        <v>-57148.724000000002</v>
      </c>
    </row>
    <row r="3086" spans="1:12" x14ac:dyDescent="0.25">
      <c r="A3086">
        <v>3085</v>
      </c>
      <c r="B3086" s="3">
        <v>0.14980726117447232</v>
      </c>
      <c r="C3086" s="3">
        <v>5.0370414801339303E-2</v>
      </c>
      <c r="D3086" s="1">
        <v>120709.2549561436</v>
      </c>
      <c r="E3086" s="1">
        <v>4323881</v>
      </c>
      <c r="F3086" s="1">
        <v>22703001</v>
      </c>
      <c r="G3086" s="16">
        <v>24941.691512365647</v>
      </c>
      <c r="H3086">
        <v>99.23</v>
      </c>
      <c r="I3086" s="1">
        <v>257.79000000000002</v>
      </c>
      <c r="J3086" s="16">
        <v>145650.94646850924</v>
      </c>
      <c r="K3086" s="5">
        <v>5.0324721846681408E-2</v>
      </c>
      <c r="L3086" s="10">
        <v>125873.70540000001</v>
      </c>
    </row>
    <row r="3087" spans="1:12" x14ac:dyDescent="0.25">
      <c r="A3087">
        <v>3086</v>
      </c>
      <c r="B3087" s="3">
        <v>0.24196610663938675</v>
      </c>
      <c r="C3087" s="3">
        <v>2.7357839234223257E-2</v>
      </c>
      <c r="D3087" s="1">
        <v>81111.621752447667</v>
      </c>
      <c r="E3087" s="1">
        <v>4597602</v>
      </c>
      <c r="F3087" s="1">
        <v>25963938</v>
      </c>
      <c r="G3087" s="16">
        <v>9232.1057404054081</v>
      </c>
      <c r="H3087">
        <v>73.28</v>
      </c>
      <c r="I3087" s="1">
        <v>320.61</v>
      </c>
      <c r="J3087" s="16">
        <v>90343.727492853068</v>
      </c>
      <c r="K3087" s="5">
        <v>0.1624607942529234</v>
      </c>
      <c r="L3087" s="10">
        <v>457866.63689999998</v>
      </c>
    </row>
    <row r="3088" spans="1:12" x14ac:dyDescent="0.25">
      <c r="A3088">
        <v>3087</v>
      </c>
      <c r="B3088" s="3">
        <v>0.19730440684432943</v>
      </c>
      <c r="C3088" s="3">
        <v>5.5335895848164535E-2</v>
      </c>
      <c r="D3088" s="1">
        <v>133757.0763192451</v>
      </c>
      <c r="E3088" s="1">
        <v>4840245</v>
      </c>
      <c r="F3088" s="1">
        <v>18079139</v>
      </c>
      <c r="G3088" s="16">
        <v>18479.253899619947</v>
      </c>
      <c r="H3088">
        <v>103.86</v>
      </c>
      <c r="I3088" s="1">
        <v>372.97</v>
      </c>
      <c r="J3088" s="16">
        <v>152236.33021886504</v>
      </c>
      <c r="K3088" s="5">
        <v>0.18849385757119919</v>
      </c>
      <c r="L3088" s="10">
        <v>373169.95480000001</v>
      </c>
    </row>
    <row r="3089" spans="1:12" x14ac:dyDescent="0.25">
      <c r="A3089">
        <v>3088</v>
      </c>
      <c r="B3089" s="3">
        <v>0.10713505691533097</v>
      </c>
      <c r="C3089" s="3">
        <v>4.3542591634298952E-2</v>
      </c>
      <c r="D3089" s="1">
        <v>209657.46645434079</v>
      </c>
      <c r="E3089" s="1">
        <v>6174056</v>
      </c>
      <c r="F3089" s="1">
        <v>27989318</v>
      </c>
      <c r="G3089" s="16">
        <v>44136.912374589156</v>
      </c>
      <c r="H3089">
        <v>146.91</v>
      </c>
      <c r="I3089" s="1">
        <v>473.88</v>
      </c>
      <c r="J3089" s="16">
        <v>253794.37882892994</v>
      </c>
      <c r="K3089" s="5">
        <v>0.23969270669118123</v>
      </c>
      <c r="L3089" s="10">
        <v>1090086.1436999999</v>
      </c>
    </row>
    <row r="3090" spans="1:12" x14ac:dyDescent="0.25">
      <c r="A3090">
        <v>3089</v>
      </c>
      <c r="B3090" s="3">
        <v>0.13345665658959655</v>
      </c>
      <c r="C3090" s="3">
        <v>5.2912800451320435E-2</v>
      </c>
      <c r="D3090" s="1">
        <v>326133.08826706314</v>
      </c>
      <c r="E3090" s="1">
        <v>12492417</v>
      </c>
      <c r="F3090" s="1">
        <v>52746363</v>
      </c>
      <c r="G3090" s="16">
        <v>20677.444970112949</v>
      </c>
      <c r="H3090">
        <v>73.599999999999994</v>
      </c>
      <c r="I3090" s="1">
        <v>270.52</v>
      </c>
      <c r="J3090" s="16">
        <v>346810.53323717607</v>
      </c>
      <c r="K3090" s="5">
        <v>9.2931478607771872E-2</v>
      </c>
      <c r="L3090" s="10">
        <v>504993.31439999997</v>
      </c>
    </row>
    <row r="3091" spans="1:12" x14ac:dyDescent="0.25">
      <c r="A3091">
        <v>3090</v>
      </c>
      <c r="B3091" s="3">
        <v>0.17729847273541938</v>
      </c>
      <c r="C3091" s="3">
        <v>2.646816189440955E-2</v>
      </c>
      <c r="D3091" s="1">
        <v>157287.67849085355</v>
      </c>
      <c r="E3091" s="1">
        <v>6425821</v>
      </c>
      <c r="F3091" s="1">
        <v>22627630</v>
      </c>
      <c r="G3091" s="16">
        <v>41494.183534199721</v>
      </c>
      <c r="H3091">
        <v>297.29000000000002</v>
      </c>
      <c r="I3091" s="1">
        <v>857.66000000000008</v>
      </c>
      <c r="J3091" s="16">
        <v>198781.86202505327</v>
      </c>
      <c r="K3091" s="5">
        <v>0.25454063648671704</v>
      </c>
      <c r="L3091" s="10">
        <v>1631176.5715000001</v>
      </c>
    </row>
    <row r="3092" spans="1:12" x14ac:dyDescent="0.25">
      <c r="A3092">
        <v>3091</v>
      </c>
      <c r="B3092" s="3">
        <v>0.183612667790856</v>
      </c>
      <c r="C3092" s="3">
        <v>7.8430456549515082E-2</v>
      </c>
      <c r="D3092" s="1">
        <v>107870.80891173486</v>
      </c>
      <c r="E3092" s="1">
        <v>4544872</v>
      </c>
      <c r="F3092" s="1">
        <v>25908785</v>
      </c>
      <c r="G3092" s="16">
        <v>25335.464214824256</v>
      </c>
      <c r="H3092">
        <v>157.57</v>
      </c>
      <c r="I3092" s="1">
        <v>392.62</v>
      </c>
      <c r="J3092" s="16">
        <v>133206.2731265591</v>
      </c>
      <c r="K3092" s="5">
        <v>0.22914598214993839</v>
      </c>
      <c r="L3092" s="10">
        <v>295504.6347</v>
      </c>
    </row>
    <row r="3093" spans="1:12" x14ac:dyDescent="0.25">
      <c r="A3093">
        <v>3092</v>
      </c>
      <c r="B3093" s="3">
        <v>0.12199420930119534</v>
      </c>
      <c r="C3093" s="3">
        <v>5.2045438052509455E-2</v>
      </c>
      <c r="D3093" s="1">
        <v>371562.28877311002</v>
      </c>
      <c r="E3093" s="1">
        <v>11701585</v>
      </c>
      <c r="F3093" s="1">
        <v>34575706</v>
      </c>
      <c r="G3093" s="16">
        <v>41231.191524290894</v>
      </c>
      <c r="H3093">
        <v>154.22</v>
      </c>
      <c r="I3093" s="1">
        <v>529.75</v>
      </c>
      <c r="J3093" s="16">
        <v>412793.48029740091</v>
      </c>
      <c r="K3093" s="5">
        <v>0.10304230732308409</v>
      </c>
      <c r="L3093" s="10">
        <v>586222.26769999997</v>
      </c>
    </row>
    <row r="3094" spans="1:12" x14ac:dyDescent="0.25">
      <c r="A3094">
        <v>3093</v>
      </c>
      <c r="B3094" s="3">
        <v>0.15524305253347526</v>
      </c>
      <c r="C3094" s="3">
        <v>3.2075402492467292E-2</v>
      </c>
      <c r="D3094" s="1">
        <v>416051.66181441979</v>
      </c>
      <c r="E3094" s="1">
        <v>18100524</v>
      </c>
      <c r="F3094" s="1">
        <v>81378496</v>
      </c>
      <c r="G3094" s="16">
        <v>50076.868494690447</v>
      </c>
      <c r="H3094">
        <v>290.38</v>
      </c>
      <c r="I3094" s="1">
        <v>789.21</v>
      </c>
      <c r="J3094" s="16">
        <v>466128.53030911024</v>
      </c>
      <c r="K3094" s="5">
        <v>0.11789944631507035</v>
      </c>
      <c r="L3094" s="10">
        <v>1441085.3108999999</v>
      </c>
    </row>
    <row r="3095" spans="1:12" x14ac:dyDescent="0.25">
      <c r="A3095">
        <v>3094</v>
      </c>
      <c r="B3095" s="3">
        <v>0.12602189128044325</v>
      </c>
      <c r="C3095" s="3">
        <v>2.4804479326890151E-2</v>
      </c>
      <c r="D3095" s="1">
        <v>83607.529672636505</v>
      </c>
      <c r="E3095" s="1">
        <v>2343938</v>
      </c>
      <c r="F3095" s="1">
        <v>17281300</v>
      </c>
      <c r="G3095" s="16">
        <v>44203.187295523778</v>
      </c>
      <c r="H3095">
        <v>170.65</v>
      </c>
      <c r="I3095" s="1">
        <v>545.38</v>
      </c>
      <c r="J3095" s="16">
        <v>127810.71696816028</v>
      </c>
      <c r="K3095" s="5">
        <v>4.1706980675718937E-2</v>
      </c>
      <c r="L3095" s="10">
        <v>181216.99170000001</v>
      </c>
    </row>
    <row r="3096" spans="1:12" x14ac:dyDescent="0.25">
      <c r="A3096">
        <v>3095</v>
      </c>
      <c r="B3096" s="3">
        <v>0.10541581781499688</v>
      </c>
      <c r="C3096" s="3">
        <v>5.8385020675010571E-2</v>
      </c>
      <c r="D3096" s="1">
        <v>299186.95646187774</v>
      </c>
      <c r="E3096" s="1">
        <v>8743005</v>
      </c>
      <c r="F3096" s="1">
        <v>34600953</v>
      </c>
      <c r="G3096" s="16">
        <v>40676.523807083096</v>
      </c>
      <c r="H3096">
        <v>133.43</v>
      </c>
      <c r="I3096" s="1">
        <v>410.34999999999997</v>
      </c>
      <c r="J3096" s="16">
        <v>339863.48026896082</v>
      </c>
      <c r="K3096" s="5">
        <v>0.1029979686593463</v>
      </c>
      <c r="L3096" s="10">
        <v>412353.1617</v>
      </c>
    </row>
    <row r="3097" spans="1:12" x14ac:dyDescent="0.25">
      <c r="A3097">
        <v>3096</v>
      </c>
      <c r="B3097" s="3">
        <v>0.21120831601789622</v>
      </c>
      <c r="C3097" s="3">
        <v>3.8026715084401974E-2</v>
      </c>
      <c r="D3097" s="1">
        <v>148916.17256362503</v>
      </c>
      <c r="E3097" s="1">
        <v>7199395</v>
      </c>
      <c r="F3097" s="1">
        <v>27111579</v>
      </c>
      <c r="G3097" s="16">
        <v>27264.172458021036</v>
      </c>
      <c r="H3097">
        <v>215.95</v>
      </c>
      <c r="I3097" s="1">
        <v>697.18</v>
      </c>
      <c r="J3097" s="16">
        <v>176180.34502164606</v>
      </c>
      <c r="K3097" s="5">
        <v>0.10520520858199116</v>
      </c>
      <c r="L3097" s="10">
        <v>396812.73090000002</v>
      </c>
    </row>
    <row r="3098" spans="1:12" x14ac:dyDescent="0.25">
      <c r="A3098">
        <v>3097</v>
      </c>
      <c r="B3098" s="3">
        <v>0.10996837744713371</v>
      </c>
      <c r="C3098" s="3">
        <v>5.6641754920565238E-2</v>
      </c>
      <c r="D3098" s="1">
        <v>40975.929789732159</v>
      </c>
      <c r="E3098" s="1">
        <v>968102</v>
      </c>
      <c r="F3098" s="1">
        <v>7150447</v>
      </c>
      <c r="G3098" s="16">
        <v>64480.198049366343</v>
      </c>
      <c r="H3098">
        <v>219.07</v>
      </c>
      <c r="I3098" s="1">
        <v>527.95000000000005</v>
      </c>
      <c r="J3098" s="16">
        <v>105456.12783909851</v>
      </c>
      <c r="K3098" s="5">
        <v>0.10652086400195092</v>
      </c>
      <c r="L3098" s="10">
        <v>138299.1415</v>
      </c>
    </row>
    <row r="3099" spans="1:12" x14ac:dyDescent="0.25">
      <c r="A3099">
        <v>3098</v>
      </c>
      <c r="B3099" s="3">
        <v>0.21346979035786534</v>
      </c>
      <c r="C3099" s="3">
        <v>2.7489889583639567E-2</v>
      </c>
      <c r="D3099" s="1">
        <v>134317.22611780258</v>
      </c>
      <c r="E3099" s="1">
        <v>5166400</v>
      </c>
      <c r="F3099" s="1">
        <v>18536588</v>
      </c>
      <c r="G3099" s="16">
        <v>25192.019187045775</v>
      </c>
      <c r="H3099">
        <v>259.11</v>
      </c>
      <c r="I3099" s="1">
        <v>807.93000000000006</v>
      </c>
      <c r="J3099" s="16">
        <v>159509.24530484836</v>
      </c>
      <c r="K3099" s="5">
        <v>0.2206547396970073</v>
      </c>
      <c r="L3099" s="10">
        <v>1095887.2274</v>
      </c>
    </row>
    <row r="3100" spans="1:12" x14ac:dyDescent="0.25">
      <c r="A3100">
        <v>3099</v>
      </c>
      <c r="B3100" s="3">
        <v>0.15281942095651641</v>
      </c>
      <c r="C3100" s="3">
        <v>3.3066383544437652E-2</v>
      </c>
      <c r="D3100" s="1">
        <v>307391.42399248871</v>
      </c>
      <c r="E3100" s="1">
        <v>13183011</v>
      </c>
      <c r="F3100" s="1">
        <v>52420414</v>
      </c>
      <c r="G3100" s="16">
        <v>44030.547317646487</v>
      </c>
      <c r="H3100">
        <v>211.84</v>
      </c>
      <c r="I3100" s="1">
        <v>653.46</v>
      </c>
      <c r="J3100" s="16">
        <v>351421.97131013521</v>
      </c>
      <c r="K3100" s="5">
        <v>-4.8254647108593451E-3</v>
      </c>
      <c r="L3100" s="10">
        <v>-2991.8146000000002</v>
      </c>
    </row>
    <row r="3101" spans="1:12" x14ac:dyDescent="0.25">
      <c r="A3101">
        <v>3100</v>
      </c>
      <c r="B3101" s="3">
        <v>0.12428605408827166</v>
      </c>
      <c r="C3101" s="3">
        <v>5.0392426717193364E-2</v>
      </c>
      <c r="D3101" s="1">
        <v>82246.539059253628</v>
      </c>
      <c r="E3101" s="1">
        <v>2292105</v>
      </c>
      <c r="F3101" s="1">
        <v>15646798</v>
      </c>
      <c r="G3101" s="16">
        <v>19862.957103666817</v>
      </c>
      <c r="H3101">
        <v>57.97</v>
      </c>
      <c r="I3101" s="1">
        <v>186.17999999999998</v>
      </c>
      <c r="J3101" s="16">
        <v>102109.49616292045</v>
      </c>
      <c r="K3101" s="5">
        <v>0.20168134078592156</v>
      </c>
      <c r="L3101" s="10">
        <v>323744.34039999999</v>
      </c>
    </row>
    <row r="3102" spans="1:12" x14ac:dyDescent="0.25">
      <c r="A3102">
        <v>3101</v>
      </c>
      <c r="B3102" s="3">
        <v>0.16439147201843257</v>
      </c>
      <c r="C3102" s="3">
        <v>4.9669701047761118E-2</v>
      </c>
      <c r="D3102" s="1">
        <v>130459.40340669642</v>
      </c>
      <c r="E3102" s="1">
        <v>4184751</v>
      </c>
      <c r="F3102" s="1">
        <v>16208527</v>
      </c>
      <c r="G3102" s="16">
        <v>68848.005820554929</v>
      </c>
      <c r="H3102">
        <v>435.45</v>
      </c>
      <c r="I3102" s="1">
        <v>1081.8399999999999</v>
      </c>
      <c r="J3102" s="16">
        <v>199307.40922725137</v>
      </c>
      <c r="K3102" s="5">
        <v>0.20599623049042909</v>
      </c>
      <c r="L3102" s="10">
        <v>617004.63930000004</v>
      </c>
    </row>
    <row r="3103" spans="1:12" x14ac:dyDescent="0.25">
      <c r="A3103">
        <v>3102</v>
      </c>
      <c r="B3103" s="3">
        <v>0.13469947359451465</v>
      </c>
      <c r="C3103" s="3">
        <v>6.8439914838188606E-2</v>
      </c>
      <c r="D3103" s="1">
        <v>291529.49685528426</v>
      </c>
      <c r="E3103" s="1">
        <v>9732340</v>
      </c>
      <c r="F3103" s="1">
        <v>33979412</v>
      </c>
      <c r="G3103" s="16">
        <v>39810.541634806148</v>
      </c>
      <c r="H3103">
        <v>164.89</v>
      </c>
      <c r="I3103" s="1">
        <v>463.67999999999995</v>
      </c>
      <c r="J3103" s="16">
        <v>331340.0384900904</v>
      </c>
      <c r="K3103" s="5">
        <v>8.7518824918920268E-2</v>
      </c>
      <c r="L3103" s="10">
        <v>275781.02020000003</v>
      </c>
    </row>
    <row r="3104" spans="1:12" x14ac:dyDescent="0.25">
      <c r="A3104">
        <v>3103</v>
      </c>
      <c r="B3104" s="3">
        <v>0.15571825593141234</v>
      </c>
      <c r="C3104" s="3">
        <v>5.6990217810071284E-2</v>
      </c>
      <c r="D3104" s="1">
        <v>165621.05355309768</v>
      </c>
      <c r="E3104" s="1">
        <v>6100549</v>
      </c>
      <c r="F3104" s="1">
        <v>31407809</v>
      </c>
      <c r="G3104" s="16">
        <v>49001.107093131577</v>
      </c>
      <c r="H3104">
        <v>241.09</v>
      </c>
      <c r="I3104" s="1">
        <v>580.45000000000005</v>
      </c>
      <c r="J3104" s="16">
        <v>214622.16064622925</v>
      </c>
      <c r="K3104" s="5">
        <v>0.11198237804944475</v>
      </c>
      <c r="L3104" s="10">
        <v>298798.17570000002</v>
      </c>
    </row>
    <row r="3105" spans="1:12" x14ac:dyDescent="0.25">
      <c r="A3105">
        <v>3104</v>
      </c>
      <c r="B3105" s="3">
        <v>0.23682406441779874</v>
      </c>
      <c r="C3105" s="3">
        <v>6.6368527804789287E-2</v>
      </c>
      <c r="D3105" s="1">
        <v>63653.890899213169</v>
      </c>
      <c r="E3105" s="1">
        <v>3511795</v>
      </c>
      <c r="F3105" s="1">
        <v>25129689</v>
      </c>
      <c r="G3105" s="16">
        <v>26822.4757668085</v>
      </c>
      <c r="H3105">
        <v>267.45</v>
      </c>
      <c r="I3105" s="1">
        <v>627.97</v>
      </c>
      <c r="J3105" s="16">
        <v>90476.36666602167</v>
      </c>
      <c r="K3105" s="5">
        <v>-1.2413478792759138E-2</v>
      </c>
      <c r="L3105" s="10">
        <v>5191.0531000000001</v>
      </c>
    </row>
    <row r="3106" spans="1:12" x14ac:dyDescent="0.25">
      <c r="A3106">
        <v>3105</v>
      </c>
      <c r="B3106" s="3">
        <v>0.2152756938852371</v>
      </c>
      <c r="C3106" s="3">
        <v>7.0846519425411369E-2</v>
      </c>
      <c r="D3106" s="1">
        <v>205746.36819725879</v>
      </c>
      <c r="E3106" s="1">
        <v>10154685</v>
      </c>
      <c r="F3106" s="1">
        <v>39698073</v>
      </c>
      <c r="G3106" s="16">
        <v>18323.707520309767</v>
      </c>
      <c r="H3106">
        <v>150.34</v>
      </c>
      <c r="I3106" s="1">
        <v>484.96000000000004</v>
      </c>
      <c r="J3106" s="16">
        <v>224070.07571756857</v>
      </c>
      <c r="K3106" s="5">
        <v>-4.9764422079505086E-3</v>
      </c>
      <c r="L3106" s="10">
        <v>39645.032899999998</v>
      </c>
    </row>
    <row r="3107" spans="1:12" x14ac:dyDescent="0.25">
      <c r="A3107">
        <v>3106</v>
      </c>
      <c r="B3107" s="3">
        <v>0.23251847967621966</v>
      </c>
      <c r="C3107" s="3">
        <v>3.4842246402117985E-2</v>
      </c>
      <c r="D3107" s="1">
        <v>70788.442000884403</v>
      </c>
      <c r="E3107" s="1">
        <v>3818511</v>
      </c>
      <c r="F3107" s="1">
        <v>23286824</v>
      </c>
      <c r="G3107" s="16">
        <v>16702.95357500251</v>
      </c>
      <c r="H3107">
        <v>160.11000000000001</v>
      </c>
      <c r="I3107" s="1">
        <v>397.39</v>
      </c>
      <c r="J3107" s="16">
        <v>87491.395575886912</v>
      </c>
      <c r="K3107" s="5">
        <v>1.4021903317987233E-2</v>
      </c>
      <c r="L3107" s="10">
        <v>64775.184300000001</v>
      </c>
    </row>
    <row r="3108" spans="1:12" x14ac:dyDescent="0.25">
      <c r="A3108">
        <v>3107</v>
      </c>
      <c r="B3108" s="3">
        <v>0.11275895478340929</v>
      </c>
      <c r="C3108" s="3">
        <v>2.3638506190520266E-2</v>
      </c>
      <c r="D3108" s="1">
        <v>146355.49120950486</v>
      </c>
      <c r="E3108" s="1">
        <v>4420236</v>
      </c>
      <c r="F3108" s="1">
        <v>28799440</v>
      </c>
      <c r="G3108" s="16">
        <v>28812.253664998589</v>
      </c>
      <c r="H3108">
        <v>88.87</v>
      </c>
      <c r="I3108" s="1">
        <v>334.40999999999997</v>
      </c>
      <c r="J3108" s="16">
        <v>175167.74487450346</v>
      </c>
      <c r="K3108" s="5">
        <v>0.24366948696029228</v>
      </c>
      <c r="L3108" s="10">
        <v>1606847.0793999999</v>
      </c>
    </row>
    <row r="3109" spans="1:12" x14ac:dyDescent="0.25">
      <c r="A3109">
        <v>3108</v>
      </c>
      <c r="B3109" s="3">
        <v>0.14187729881352706</v>
      </c>
      <c r="C3109" s="3">
        <v>2.308952454141755E-2</v>
      </c>
      <c r="D3109" s="1">
        <v>63638.956525440299</v>
      </c>
      <c r="E3109" s="1">
        <v>1617439</v>
      </c>
      <c r="F3109" s="1">
        <v>9460763</v>
      </c>
      <c r="G3109" s="16">
        <v>18929.912022939297</v>
      </c>
      <c r="H3109">
        <v>71.33</v>
      </c>
      <c r="I3109" s="1">
        <v>265.13</v>
      </c>
      <c r="J3109" s="16">
        <v>82568.8685483796</v>
      </c>
      <c r="K3109" s="5">
        <v>0.16088788846610996</v>
      </c>
      <c r="L3109" s="10">
        <v>515089.12439999997</v>
      </c>
    </row>
    <row r="3110" spans="1:12" x14ac:dyDescent="0.25">
      <c r="A3110">
        <v>3109</v>
      </c>
      <c r="B3110" s="3">
        <v>0.21465989335936336</v>
      </c>
      <c r="C3110" s="3">
        <v>7.3696769980698934E-2</v>
      </c>
      <c r="D3110" s="1">
        <v>141472.51597646213</v>
      </c>
      <c r="E3110" s="1">
        <v>6960565</v>
      </c>
      <c r="F3110" s="1">
        <v>28214583</v>
      </c>
      <c r="G3110" s="16">
        <v>14504.192012551895</v>
      </c>
      <c r="H3110">
        <v>93.01</v>
      </c>
      <c r="I3110" s="1">
        <v>314.26</v>
      </c>
      <c r="J3110" s="16">
        <v>155976.70798901404</v>
      </c>
      <c r="K3110" s="5">
        <v>0.22172162919155669</v>
      </c>
      <c r="L3110" s="10">
        <v>315931.84989999997</v>
      </c>
    </row>
    <row r="3111" spans="1:12" x14ac:dyDescent="0.25">
      <c r="A3111">
        <v>3110</v>
      </c>
      <c r="B3111" s="3">
        <v>0.17660366145185347</v>
      </c>
      <c r="C3111" s="3">
        <v>7.1792535127128021E-2</v>
      </c>
      <c r="D3111" s="1">
        <v>151426.3832463354</v>
      </c>
      <c r="E3111" s="1">
        <v>6165514</v>
      </c>
      <c r="F3111" s="1">
        <v>23531861</v>
      </c>
      <c r="G3111" s="16">
        <v>28893.249812615446</v>
      </c>
      <c r="H3111">
        <v>169.33</v>
      </c>
      <c r="I3111" s="1">
        <v>519.35</v>
      </c>
      <c r="J3111" s="16">
        <v>180319.63305895086</v>
      </c>
      <c r="K3111" s="5">
        <v>-0.15159796490124411</v>
      </c>
      <c r="L3111" s="10">
        <v>-230144.61170000001</v>
      </c>
    </row>
    <row r="3112" spans="1:12" x14ac:dyDescent="0.25">
      <c r="A3112">
        <v>3111</v>
      </c>
      <c r="B3112" s="3">
        <v>0.19983971064078804</v>
      </c>
      <c r="C3112" s="3">
        <v>3.7446946172430065E-2</v>
      </c>
      <c r="D3112" s="1">
        <v>62245.547155380322</v>
      </c>
      <c r="E3112" s="1">
        <v>2273949</v>
      </c>
      <c r="F3112" s="1">
        <v>11709424</v>
      </c>
      <c r="G3112" s="16">
        <v>40413.491710990034</v>
      </c>
      <c r="H3112">
        <v>361.71</v>
      </c>
      <c r="I3112" s="1">
        <v>918.95</v>
      </c>
      <c r="J3112" s="16">
        <v>102659.03886637036</v>
      </c>
      <c r="K3112" s="5">
        <v>9.5868849996171152E-2</v>
      </c>
      <c r="L3112" s="10">
        <v>220962.5816</v>
      </c>
    </row>
    <row r="3113" spans="1:12" x14ac:dyDescent="0.25">
      <c r="A3113">
        <v>3112</v>
      </c>
      <c r="B3113" s="3">
        <v>0.22644409247334843</v>
      </c>
      <c r="C3113" s="3">
        <v>4.9420645650510089E-2</v>
      </c>
      <c r="D3113" s="1">
        <v>177649.720207587</v>
      </c>
      <c r="E3113" s="1">
        <v>9285398</v>
      </c>
      <c r="F3113" s="1">
        <v>42235964</v>
      </c>
      <c r="G3113" s="16">
        <v>10078.980157784208</v>
      </c>
      <c r="H3113">
        <v>54.72</v>
      </c>
      <c r="I3113" s="1">
        <v>174.91</v>
      </c>
      <c r="J3113" s="16">
        <v>187728.70036537122</v>
      </c>
      <c r="K3113" s="5">
        <v>2.0101606092800491E-2</v>
      </c>
      <c r="L3113" s="10">
        <v>63182.965600000003</v>
      </c>
    </row>
    <row r="3114" spans="1:12" x14ac:dyDescent="0.25">
      <c r="A3114">
        <v>3113</v>
      </c>
      <c r="B3114" s="3">
        <v>0.19693450187219955</v>
      </c>
      <c r="C3114" s="3">
        <v>7.120635327173519E-2</v>
      </c>
      <c r="D3114" s="1">
        <v>71531.603060868816</v>
      </c>
      <c r="E3114" s="1">
        <v>2584926</v>
      </c>
      <c r="F3114" s="1">
        <v>15321694</v>
      </c>
      <c r="G3114" s="16">
        <v>25273.227109395833</v>
      </c>
      <c r="H3114">
        <v>141.66</v>
      </c>
      <c r="I3114" s="1">
        <v>349.1</v>
      </c>
      <c r="J3114" s="16">
        <v>96804.830170264642</v>
      </c>
      <c r="K3114" s="5">
        <v>1.5689029123480913E-2</v>
      </c>
      <c r="L3114" s="10">
        <v>25944.553400000001</v>
      </c>
    </row>
    <row r="3115" spans="1:12" x14ac:dyDescent="0.25">
      <c r="A3115">
        <v>3114</v>
      </c>
      <c r="B3115" s="3">
        <v>0.11538004545249096</v>
      </c>
      <c r="C3115" s="3">
        <v>7.6531027134177032E-2</v>
      </c>
      <c r="D3115" s="1">
        <v>177269.76316884565</v>
      </c>
      <c r="E3115" s="1">
        <v>4792552</v>
      </c>
      <c r="F3115" s="1">
        <v>20577230</v>
      </c>
      <c r="G3115" s="16">
        <v>42789.736851090107</v>
      </c>
      <c r="H3115">
        <v>151.97</v>
      </c>
      <c r="I3115" s="1">
        <v>413.09000000000003</v>
      </c>
      <c r="J3115" s="16">
        <v>220059.50001993575</v>
      </c>
      <c r="K3115" s="5">
        <v>0.23522142960017223</v>
      </c>
      <c r="L3115" s="10">
        <v>424973.10769999999</v>
      </c>
    </row>
    <row r="3116" spans="1:12" x14ac:dyDescent="0.25">
      <c r="A3116">
        <v>3115</v>
      </c>
      <c r="B3116" s="3">
        <v>0.22622842140579461</v>
      </c>
      <c r="C3116" s="3">
        <v>2.0315595285023202E-2</v>
      </c>
      <c r="D3116" s="1">
        <v>124924.53931637666</v>
      </c>
      <c r="E3116" s="1">
        <v>6522282</v>
      </c>
      <c r="F3116" s="1">
        <v>29703403</v>
      </c>
      <c r="G3116" s="16">
        <v>22890.295176413765</v>
      </c>
      <c r="H3116">
        <v>207.46</v>
      </c>
      <c r="I3116" s="1">
        <v>602.62</v>
      </c>
      <c r="J3116" s="16">
        <v>147814.83449279043</v>
      </c>
      <c r="K3116" s="5">
        <v>6.9481479977886895E-2</v>
      </c>
      <c r="L3116" s="10">
        <v>495931.1311</v>
      </c>
    </row>
    <row r="3117" spans="1:12" x14ac:dyDescent="0.25">
      <c r="A3117">
        <v>3116</v>
      </c>
      <c r="B3117" s="3">
        <v>0.18995089510761262</v>
      </c>
      <c r="C3117" s="3">
        <v>3.028164071676499E-2</v>
      </c>
      <c r="D3117" s="1">
        <v>129805.38427034502</v>
      </c>
      <c r="E3117" s="1">
        <v>5642218</v>
      </c>
      <c r="F3117" s="1">
        <v>28117346</v>
      </c>
      <c r="G3117" s="16">
        <v>14027.07742603332</v>
      </c>
      <c r="H3117">
        <v>74.599999999999994</v>
      </c>
      <c r="I3117" s="1">
        <v>350.28999999999996</v>
      </c>
      <c r="J3117" s="16">
        <v>143832.46169637833</v>
      </c>
      <c r="K3117" s="5">
        <v>-0.17731823624582047</v>
      </c>
      <c r="L3117" s="10">
        <v>-680383.97640000004</v>
      </c>
    </row>
    <row r="3118" spans="1:12" x14ac:dyDescent="0.25">
      <c r="A3118">
        <v>3117</v>
      </c>
      <c r="B3118" s="3">
        <v>0.18850239953528064</v>
      </c>
      <c r="C3118" s="3">
        <v>5.1837995228095082E-2</v>
      </c>
      <c r="D3118" s="1">
        <v>127619.74462008345</v>
      </c>
      <c r="E3118" s="1">
        <v>4469491</v>
      </c>
      <c r="F3118" s="1">
        <v>20448133</v>
      </c>
      <c r="G3118" s="16">
        <v>10426.680096310591</v>
      </c>
      <c r="H3118">
        <v>54.94</v>
      </c>
      <c r="I3118" s="1">
        <v>244.64999999999998</v>
      </c>
      <c r="J3118" s="16">
        <v>138046.42471639405</v>
      </c>
      <c r="K3118" s="5">
        <v>7.1654197141003878E-2</v>
      </c>
      <c r="L3118" s="10">
        <v>138618.2121</v>
      </c>
    </row>
    <row r="3119" spans="1:12" x14ac:dyDescent="0.25">
      <c r="A3119">
        <v>3118</v>
      </c>
      <c r="B3119" s="3">
        <v>0.10707023349721392</v>
      </c>
      <c r="C3119" s="3">
        <v>3.582767406291236E-2</v>
      </c>
      <c r="D3119" s="1">
        <v>220272.27193562369</v>
      </c>
      <c r="E3119" s="1">
        <v>6484757</v>
      </c>
      <c r="F3119" s="1">
        <v>28690794</v>
      </c>
      <c r="G3119" s="16">
        <v>35206.65083172352</v>
      </c>
      <c r="H3119">
        <v>104.45</v>
      </c>
      <c r="I3119" s="1">
        <v>329.63</v>
      </c>
      <c r="J3119" s="16">
        <v>255478.92276734722</v>
      </c>
      <c r="K3119" s="5">
        <v>0.19101479395317272</v>
      </c>
      <c r="L3119" s="10">
        <v>1135755.2637</v>
      </c>
    </row>
    <row r="3120" spans="1:12" x14ac:dyDescent="0.25">
      <c r="A3120">
        <v>3119</v>
      </c>
      <c r="B3120" s="3">
        <v>0.10724805054821486</v>
      </c>
      <c r="C3120" s="3">
        <v>7.9232792991988779E-2</v>
      </c>
      <c r="D3120" s="1">
        <v>77227.322330764873</v>
      </c>
      <c r="E3120" s="1">
        <v>2031332</v>
      </c>
      <c r="F3120" s="1">
        <v>11853181</v>
      </c>
      <c r="G3120" s="16">
        <v>45170.685792902237</v>
      </c>
      <c r="H3120">
        <v>133.88</v>
      </c>
      <c r="I3120" s="1">
        <v>351.75</v>
      </c>
      <c r="J3120" s="16">
        <v>122398.00812366711</v>
      </c>
      <c r="K3120" s="5">
        <v>7.792801141551231E-2</v>
      </c>
      <c r="L3120" s="10">
        <v>93010.589500000002</v>
      </c>
    </row>
    <row r="3121" spans="1:12" x14ac:dyDescent="0.25">
      <c r="A3121">
        <v>3120</v>
      </c>
      <c r="B3121" s="3">
        <v>0.20428160213926072</v>
      </c>
      <c r="C3121" s="3">
        <v>7.642730159281784E-2</v>
      </c>
      <c r="D3121" s="1">
        <v>262085.87156196282</v>
      </c>
      <c r="E3121" s="1">
        <v>19323709</v>
      </c>
      <c r="F3121" s="1">
        <v>86645553</v>
      </c>
      <c r="G3121" s="16">
        <v>12868.303796473501</v>
      </c>
      <c r="H3121">
        <v>76.28</v>
      </c>
      <c r="I3121" s="1">
        <v>311.27999999999997</v>
      </c>
      <c r="J3121" s="16">
        <v>274954.1753584363</v>
      </c>
      <c r="K3121" s="5">
        <v>0.15583535165112675</v>
      </c>
      <c r="L3121" s="10">
        <v>429229.1054</v>
      </c>
    </row>
    <row r="3122" spans="1:12" x14ac:dyDescent="0.25">
      <c r="A3122">
        <v>3121</v>
      </c>
      <c r="B3122" s="3">
        <v>0.18137221824260485</v>
      </c>
      <c r="C3122" s="3">
        <v>5.3974290008314857E-2</v>
      </c>
      <c r="D3122" s="1">
        <v>218787.74899626916</v>
      </c>
      <c r="E3122" s="1">
        <v>9117575</v>
      </c>
      <c r="F3122" s="1">
        <v>34027481</v>
      </c>
      <c r="G3122" s="16">
        <v>26288.131193013651</v>
      </c>
      <c r="H3122">
        <v>160.65</v>
      </c>
      <c r="I3122" s="1">
        <v>586</v>
      </c>
      <c r="J3122" s="16">
        <v>245075.88018928282</v>
      </c>
      <c r="K3122" s="5">
        <v>0.19073409403303115</v>
      </c>
      <c r="L3122" s="10">
        <v>615706.02780000004</v>
      </c>
    </row>
    <row r="3123" spans="1:12" x14ac:dyDescent="0.25">
      <c r="A3123">
        <v>3122</v>
      </c>
      <c r="B3123" s="3">
        <v>0.14642219212025537</v>
      </c>
      <c r="C3123" s="3">
        <v>7.3076770539984473E-2</v>
      </c>
      <c r="D3123" s="1">
        <v>156718.95330696384</v>
      </c>
      <c r="E3123" s="1">
        <v>5525248</v>
      </c>
      <c r="F3123" s="1">
        <v>28521035</v>
      </c>
      <c r="G3123" s="16">
        <v>16409.992606976721</v>
      </c>
      <c r="H3123">
        <v>54.28</v>
      </c>
      <c r="I3123" s="1">
        <v>159.41</v>
      </c>
      <c r="J3123" s="16">
        <v>173128.94591394055</v>
      </c>
      <c r="K3123" s="5">
        <v>0.1087101304939645</v>
      </c>
      <c r="L3123" s="10">
        <v>190280.4987</v>
      </c>
    </row>
    <row r="3124" spans="1:12" x14ac:dyDescent="0.25">
      <c r="A3124">
        <v>3123</v>
      </c>
      <c r="B3124" s="3">
        <v>0.20067041070503677</v>
      </c>
      <c r="C3124" s="3">
        <v>5.4598938485649576E-2</v>
      </c>
      <c r="D3124" s="1">
        <v>72595.31652374944</v>
      </c>
      <c r="E3124" s="1">
        <v>2660321</v>
      </c>
      <c r="F3124" s="1">
        <v>19806539</v>
      </c>
      <c r="G3124" s="16">
        <v>36481.289560376943</v>
      </c>
      <c r="H3124">
        <v>263.58</v>
      </c>
      <c r="I3124" s="1">
        <v>673.32999999999993</v>
      </c>
      <c r="J3124" s="16">
        <v>109076.60608412638</v>
      </c>
      <c r="K3124" s="5">
        <v>0.13876129707160498</v>
      </c>
      <c r="L3124" s="10">
        <v>236755.4148</v>
      </c>
    </row>
    <row r="3125" spans="1:12" x14ac:dyDescent="0.25">
      <c r="A3125">
        <v>3124</v>
      </c>
      <c r="B3125" s="3">
        <v>0.15797796617769749</v>
      </c>
      <c r="C3125" s="3">
        <v>6.4551547183911734E-2</v>
      </c>
      <c r="D3125" s="1">
        <v>79789.613766407288</v>
      </c>
      <c r="E3125" s="1">
        <v>2501372</v>
      </c>
      <c r="F3125" s="1">
        <v>13303999</v>
      </c>
      <c r="G3125" s="16">
        <v>19119.401381132666</v>
      </c>
      <c r="H3125">
        <v>80.75</v>
      </c>
      <c r="I3125" s="1">
        <v>309.95999999999998</v>
      </c>
      <c r="J3125" s="16">
        <v>98909.015147539962</v>
      </c>
      <c r="K3125" s="5">
        <v>3.5595322286505179E-2</v>
      </c>
      <c r="L3125" s="10">
        <v>55725.341999999997</v>
      </c>
    </row>
    <row r="3126" spans="1:12" x14ac:dyDescent="0.25">
      <c r="A3126">
        <v>3125</v>
      </c>
      <c r="B3126" s="3">
        <v>0.15632505585270656</v>
      </c>
      <c r="C3126" s="3">
        <v>5.1289237210869323E-2</v>
      </c>
      <c r="D3126" s="1">
        <v>56279.810392946099</v>
      </c>
      <c r="E3126" s="1">
        <v>1753998</v>
      </c>
      <c r="F3126" s="1">
        <v>12182623</v>
      </c>
      <c r="G3126" s="16">
        <v>46301.166757947693</v>
      </c>
      <c r="H3126">
        <v>228.73</v>
      </c>
      <c r="I3126" s="1">
        <v>697.96</v>
      </c>
      <c r="J3126" s="16">
        <v>102580.9771508938</v>
      </c>
      <c r="K3126" s="5">
        <v>9.2766823046195962E-2</v>
      </c>
      <c r="L3126" s="10">
        <v>143600.9969</v>
      </c>
    </row>
    <row r="3127" spans="1:12" x14ac:dyDescent="0.25">
      <c r="A3127">
        <v>3126</v>
      </c>
      <c r="B3127" s="3">
        <v>0.13533959469251902</v>
      </c>
      <c r="C3127" s="3">
        <v>2.364007931598839E-2</v>
      </c>
      <c r="D3127" s="1">
        <v>58052.035084253897</v>
      </c>
      <c r="E3127" s="1">
        <v>1453214</v>
      </c>
      <c r="F3127" s="1">
        <v>10234001</v>
      </c>
      <c r="G3127" s="16">
        <v>37135.096471451725</v>
      </c>
      <c r="H3127">
        <v>154.57</v>
      </c>
      <c r="I3127" s="1">
        <v>517.46</v>
      </c>
      <c r="J3127" s="16">
        <v>95187.131555705622</v>
      </c>
      <c r="K3127" s="5">
        <v>0.24726357867128113</v>
      </c>
      <c r="L3127" s="10">
        <v>879463.11470000003</v>
      </c>
    </row>
    <row r="3128" spans="1:12" x14ac:dyDescent="0.25">
      <c r="A3128">
        <v>3127</v>
      </c>
      <c r="B3128" s="3">
        <v>0.2496533077803636</v>
      </c>
      <c r="C3128" s="3">
        <v>4.4352251356822997E-2</v>
      </c>
      <c r="D3128" s="1">
        <v>87641.603022613053</v>
      </c>
      <c r="E3128" s="1">
        <v>3882640</v>
      </c>
      <c r="F3128" s="1">
        <v>19206910</v>
      </c>
      <c r="G3128" s="16">
        <v>15289.163298398837</v>
      </c>
      <c r="H3128">
        <v>171.6</v>
      </c>
      <c r="I3128" s="1">
        <v>549.25</v>
      </c>
      <c r="J3128" s="16">
        <v>102930.76632101189</v>
      </c>
      <c r="K3128" s="5">
        <v>9.0067305563918051E-3</v>
      </c>
      <c r="L3128" s="10">
        <v>10492.827499999999</v>
      </c>
    </row>
    <row r="3129" spans="1:12" x14ac:dyDescent="0.25">
      <c r="A3129">
        <v>3128</v>
      </c>
      <c r="B3129" s="3">
        <v>0.20096572856415282</v>
      </c>
      <c r="C3129" s="3">
        <v>6.9771966609270403E-2</v>
      </c>
      <c r="D3129" s="1">
        <v>39141.283646838492</v>
      </c>
      <c r="E3129" s="1">
        <v>1147382</v>
      </c>
      <c r="F3129" s="1">
        <v>8877197</v>
      </c>
      <c r="G3129" s="16">
        <v>12185.194994432752</v>
      </c>
      <c r="H3129">
        <v>70.59</v>
      </c>
      <c r="I3129" s="1">
        <v>217.57</v>
      </c>
      <c r="J3129" s="16">
        <v>51326.478641271242</v>
      </c>
      <c r="K3129" s="5">
        <v>0.21529362866256721</v>
      </c>
      <c r="L3129" s="10">
        <v>124928.0273</v>
      </c>
    </row>
    <row r="3130" spans="1:12" x14ac:dyDescent="0.25">
      <c r="A3130">
        <v>3129</v>
      </c>
      <c r="B3130" s="3">
        <v>0.23681707192899429</v>
      </c>
      <c r="C3130" s="3">
        <v>4.3560220684763687E-2</v>
      </c>
      <c r="D3130" s="1">
        <v>117509.61737851554</v>
      </c>
      <c r="E3130" s="1">
        <v>4947557</v>
      </c>
      <c r="F3130" s="1">
        <v>19716750</v>
      </c>
      <c r="G3130" s="16">
        <v>24749.494719631584</v>
      </c>
      <c r="H3130">
        <v>323.75</v>
      </c>
      <c r="I3130" s="1">
        <v>892.82</v>
      </c>
      <c r="J3130" s="16">
        <v>142259.11209814713</v>
      </c>
      <c r="K3130" s="5">
        <v>0.25302242125472246</v>
      </c>
      <c r="L3130" s="10">
        <v>623678.44510000001</v>
      </c>
    </row>
    <row r="3131" spans="1:12" x14ac:dyDescent="0.25">
      <c r="A3131">
        <v>3130</v>
      </c>
      <c r="B3131" s="3">
        <v>0.17282258079758994</v>
      </c>
      <c r="C3131" s="3">
        <v>5.0170767878685713E-2</v>
      </c>
      <c r="D3131" s="1">
        <v>69573.282000329782</v>
      </c>
      <c r="E3131" s="1">
        <v>1903043</v>
      </c>
      <c r="F3131" s="1">
        <v>10454934</v>
      </c>
      <c r="G3131" s="16">
        <v>31009.860771804215</v>
      </c>
      <c r="H3131">
        <v>175.76</v>
      </c>
      <c r="I3131" s="1">
        <v>510.5</v>
      </c>
      <c r="J3131" s="16">
        <v>100583.142772134</v>
      </c>
      <c r="K3131" s="5">
        <v>3.0770911263349111E-2</v>
      </c>
      <c r="L3131" s="10">
        <v>50786.854700000004</v>
      </c>
    </row>
    <row r="3132" spans="1:12" x14ac:dyDescent="0.25">
      <c r="A3132">
        <v>3131</v>
      </c>
      <c r="B3132" s="3">
        <v>0.20731136561083849</v>
      </c>
      <c r="C3132" s="3">
        <v>3.5101623320806588E-2</v>
      </c>
      <c r="D3132" s="1">
        <v>128166.4251366417</v>
      </c>
      <c r="E3132" s="1">
        <v>4815804</v>
      </c>
      <c r="F3132" s="1">
        <v>18317773</v>
      </c>
      <c r="G3132" s="16">
        <v>30793.332019746984</v>
      </c>
      <c r="H3132">
        <v>297.20999999999998</v>
      </c>
      <c r="I3132" s="1">
        <v>772.34999999999991</v>
      </c>
      <c r="J3132" s="16">
        <v>158959.75715638869</v>
      </c>
      <c r="K3132" s="5">
        <v>0.18380427078153733</v>
      </c>
      <c r="L3132" s="10">
        <v>674570.63540000003</v>
      </c>
    </row>
    <row r="3133" spans="1:12" x14ac:dyDescent="0.25">
      <c r="A3133">
        <v>3132</v>
      </c>
      <c r="B3133" s="3">
        <v>0.19265675770039831</v>
      </c>
      <c r="C3133" s="3">
        <v>3.1408309782681339E-2</v>
      </c>
      <c r="D3133" s="1">
        <v>234934.481132229</v>
      </c>
      <c r="E3133" s="1">
        <v>12819133</v>
      </c>
      <c r="F3133" s="1">
        <v>52115459</v>
      </c>
      <c r="G3133" s="16">
        <v>28435.937682904274</v>
      </c>
      <c r="H3133">
        <v>191.5</v>
      </c>
      <c r="I3133" s="1">
        <v>479.75</v>
      </c>
      <c r="J3133" s="16">
        <v>263370.41881513328</v>
      </c>
      <c r="K3133" s="5">
        <v>-6.4962823793290214E-2</v>
      </c>
      <c r="L3133" s="10">
        <v>-402326.97149999999</v>
      </c>
    </row>
    <row r="3134" spans="1:12" x14ac:dyDescent="0.25">
      <c r="A3134">
        <v>3133</v>
      </c>
      <c r="B3134" s="3">
        <v>0.21317138201913005</v>
      </c>
      <c r="C3134" s="3">
        <v>7.2179386644065605E-2</v>
      </c>
      <c r="D3134" s="1">
        <v>267750.49947567721</v>
      </c>
      <c r="E3134" s="1">
        <v>13074108</v>
      </c>
      <c r="F3134" s="1">
        <v>41633676</v>
      </c>
      <c r="G3134" s="16">
        <v>21813.867830584644</v>
      </c>
      <c r="H3134">
        <v>175.82</v>
      </c>
      <c r="I3134" s="1">
        <v>518.79999999999995</v>
      </c>
      <c r="J3134" s="16">
        <v>289564.36730626185</v>
      </c>
      <c r="K3134" s="5">
        <v>3.1468629228625672E-2</v>
      </c>
      <c r="L3134" s="10">
        <v>90881.670499999993</v>
      </c>
    </row>
    <row r="3135" spans="1:12" x14ac:dyDescent="0.25">
      <c r="A3135">
        <v>3134</v>
      </c>
      <c r="B3135" s="3">
        <v>0.11311123420730004</v>
      </c>
      <c r="C3135" s="3">
        <v>4.6921865545795666E-2</v>
      </c>
      <c r="D3135" s="1">
        <v>608122.43428735179</v>
      </c>
      <c r="E3135" s="1">
        <v>20741864</v>
      </c>
      <c r="F3135" s="1">
        <v>83907854</v>
      </c>
      <c r="G3135" s="16">
        <v>52618.634397615373</v>
      </c>
      <c r="H3135">
        <v>183.37</v>
      </c>
      <c r="I3135" s="1">
        <v>542.58000000000004</v>
      </c>
      <c r="J3135" s="16">
        <v>660741.06868496712</v>
      </c>
      <c r="K3135" s="5">
        <v>2.2997380399786299E-2</v>
      </c>
      <c r="L3135" s="10">
        <v>290775.97330000001</v>
      </c>
    </row>
    <row r="3136" spans="1:12" x14ac:dyDescent="0.25">
      <c r="A3136">
        <v>3135</v>
      </c>
      <c r="B3136" s="3">
        <v>0.21555943894795557</v>
      </c>
      <c r="C3136" s="3">
        <v>4.2436962234843542E-2</v>
      </c>
      <c r="D3136" s="1">
        <v>32827.454688322272</v>
      </c>
      <c r="E3136" s="1">
        <v>1272801</v>
      </c>
      <c r="F3136" s="1">
        <v>11025140</v>
      </c>
      <c r="G3136" s="16">
        <v>25101.078096864007</v>
      </c>
      <c r="H3136">
        <v>206.55</v>
      </c>
      <c r="I3136" s="1">
        <v>532</v>
      </c>
      <c r="J3136" s="16">
        <v>57928.532785186282</v>
      </c>
      <c r="K3136" s="5">
        <v>0.30009830289020056</v>
      </c>
      <c r="L3136" s="10">
        <v>335895.52</v>
      </c>
    </row>
    <row r="3137" spans="1:12" x14ac:dyDescent="0.25">
      <c r="A3137">
        <v>3136</v>
      </c>
      <c r="B3137" s="3">
        <v>0.21468911522931267</v>
      </c>
      <c r="C3137" s="3">
        <v>6.0070169231546539E-2</v>
      </c>
      <c r="D3137" s="1">
        <v>169333.70682397793</v>
      </c>
      <c r="E3137" s="1">
        <v>6543680</v>
      </c>
      <c r="F3137" s="1">
        <v>19458949</v>
      </c>
      <c r="G3137" s="16">
        <v>17002.547478911754</v>
      </c>
      <c r="H3137">
        <v>138.93</v>
      </c>
      <c r="I3137" s="1">
        <v>429.87</v>
      </c>
      <c r="J3137" s="16">
        <v>186336.25430288969</v>
      </c>
      <c r="K3137" s="5">
        <v>6.8170000000933748E-2</v>
      </c>
      <c r="L3137" s="10">
        <v>148877.41930000001</v>
      </c>
    </row>
    <row r="3138" spans="1:12" x14ac:dyDescent="0.25">
      <c r="A3138">
        <v>3137</v>
      </c>
      <c r="B3138" s="3">
        <v>0.17979094418470734</v>
      </c>
      <c r="C3138" s="3">
        <v>5.3663892007319997E-2</v>
      </c>
      <c r="D3138" s="1">
        <v>132728.19891491617</v>
      </c>
      <c r="E3138" s="1">
        <v>5488680</v>
      </c>
      <c r="F3138" s="1">
        <v>22560092</v>
      </c>
      <c r="G3138" s="16">
        <v>78917.48511480802</v>
      </c>
      <c r="H3138">
        <v>578.45000000000005</v>
      </c>
      <c r="I3138" s="1">
        <v>1278.6500000000001</v>
      </c>
      <c r="J3138" s="16">
        <v>211645.68402972419</v>
      </c>
      <c r="K3138" s="5">
        <v>0.26892688937116394</v>
      </c>
      <c r="L3138" s="10">
        <v>757412.05339999998</v>
      </c>
    </row>
    <row r="3139" spans="1:12" x14ac:dyDescent="0.25">
      <c r="A3139">
        <v>3138</v>
      </c>
      <c r="B3139" s="3">
        <v>0.1725335097857349</v>
      </c>
      <c r="C3139" s="3">
        <v>2.9625590635116439E-2</v>
      </c>
      <c r="D3139" s="1">
        <v>230187.57138787067</v>
      </c>
      <c r="E3139" s="1">
        <v>9189326</v>
      </c>
      <c r="F3139" s="1">
        <v>33428782</v>
      </c>
      <c r="G3139" s="16">
        <v>39888.243400060601</v>
      </c>
      <c r="H3139">
        <v>226.15</v>
      </c>
      <c r="I3139" s="1">
        <v>573.79</v>
      </c>
      <c r="J3139" s="16">
        <v>270075.81478793127</v>
      </c>
      <c r="K3139" s="5">
        <v>1.1460849190480148E-2</v>
      </c>
      <c r="L3139" s="10">
        <v>115511.48149999999</v>
      </c>
    </row>
    <row r="3140" spans="1:12" x14ac:dyDescent="0.25">
      <c r="A3140">
        <v>3139</v>
      </c>
      <c r="B3140" s="3">
        <v>0.15148752032204352</v>
      </c>
      <c r="C3140" s="3">
        <v>3.7233498308100188E-2</v>
      </c>
      <c r="D3140" s="1">
        <v>354753.01861840772</v>
      </c>
      <c r="E3140" s="1">
        <v>15095165</v>
      </c>
      <c r="F3140" s="1">
        <v>72495945</v>
      </c>
      <c r="G3140" s="16">
        <v>32387.792301535599</v>
      </c>
      <c r="H3140">
        <v>153.91999999999999</v>
      </c>
      <c r="I3140" s="1">
        <v>479.38</v>
      </c>
      <c r="J3140" s="16">
        <v>387140.81091994332</v>
      </c>
      <c r="K3140" s="5">
        <v>5.6034478944127927E-2</v>
      </c>
      <c r="L3140" s="10">
        <v>538566.57979999995</v>
      </c>
    </row>
    <row r="3141" spans="1:12" x14ac:dyDescent="0.25">
      <c r="A3141">
        <v>3140</v>
      </c>
      <c r="B3141" s="3">
        <v>0.19674728657596952</v>
      </c>
      <c r="C3141" s="3">
        <v>7.2897930924760088E-2</v>
      </c>
      <c r="D3141" s="1">
        <v>127326.06510837794</v>
      </c>
      <c r="E3141" s="1">
        <v>5724152</v>
      </c>
      <c r="F3141" s="1">
        <v>30452078</v>
      </c>
      <c r="G3141" s="16">
        <v>21392.031718220012</v>
      </c>
      <c r="H3141">
        <v>149.18</v>
      </c>
      <c r="I3141" s="1">
        <v>481.68</v>
      </c>
      <c r="J3141" s="16">
        <v>148718.09682659796</v>
      </c>
      <c r="K3141" s="5">
        <v>3.0613542206390679E-2</v>
      </c>
      <c r="L3141" s="10">
        <v>69781.600900000005</v>
      </c>
    </row>
    <row r="3142" spans="1:12" x14ac:dyDescent="0.25">
      <c r="A3142">
        <v>3141</v>
      </c>
      <c r="B3142" s="3">
        <v>0.17081720020468594</v>
      </c>
      <c r="C3142" s="3">
        <v>6.1393557566238668E-2</v>
      </c>
      <c r="D3142" s="1">
        <v>106570.56171598157</v>
      </c>
      <c r="E3142" s="1">
        <v>3498553</v>
      </c>
      <c r="F3142" s="1">
        <v>15342266</v>
      </c>
      <c r="G3142" s="16">
        <v>18609.349842867086</v>
      </c>
      <c r="H3142">
        <v>86.12</v>
      </c>
      <c r="I3142" s="1">
        <v>285.82</v>
      </c>
      <c r="J3142" s="16">
        <v>125179.91155884866</v>
      </c>
      <c r="K3142" s="5">
        <v>0.3328936603840017</v>
      </c>
      <c r="L3142" s="10">
        <v>471812.21850000002</v>
      </c>
    </row>
    <row r="3143" spans="1:12" x14ac:dyDescent="0.25">
      <c r="A3143">
        <v>3142</v>
      </c>
      <c r="B3143" s="3">
        <v>0.20907072256541898</v>
      </c>
      <c r="C3143" s="3">
        <v>2.520879836378484E-2</v>
      </c>
      <c r="D3143" s="1">
        <v>66756.562835302888</v>
      </c>
      <c r="E3143" s="1">
        <v>2525130</v>
      </c>
      <c r="F3143" s="1">
        <v>17682718</v>
      </c>
      <c r="G3143" s="16">
        <v>54117.926700039199</v>
      </c>
      <c r="H3143">
        <v>672.33</v>
      </c>
      <c r="I3143" s="1">
        <v>1915</v>
      </c>
      <c r="J3143" s="16">
        <v>120874.48953534209</v>
      </c>
      <c r="K3143" s="5">
        <v>0.13192928633659576</v>
      </c>
      <c r="L3143" s="10">
        <v>578115.31019999995</v>
      </c>
    </row>
    <row r="3144" spans="1:12" x14ac:dyDescent="0.25">
      <c r="A3144">
        <v>3143</v>
      </c>
      <c r="B3144" s="3">
        <v>0.17301172355656358</v>
      </c>
      <c r="C3144" s="3">
        <v>6.5255505536994565E-2</v>
      </c>
      <c r="D3144" s="1">
        <v>71676.042624692462</v>
      </c>
      <c r="E3144" s="1">
        <v>2371802</v>
      </c>
      <c r="F3144" s="1">
        <v>13262345</v>
      </c>
      <c r="G3144" s="16">
        <v>25443.380040831977</v>
      </c>
      <c r="H3144">
        <v>144.63999999999999</v>
      </c>
      <c r="I3144" s="1">
        <v>446.09</v>
      </c>
      <c r="J3144" s="16">
        <v>97119.422665524442</v>
      </c>
      <c r="K3144" s="5">
        <v>0.15102482835389691</v>
      </c>
      <c r="L3144" s="10">
        <v>173617.52110000001</v>
      </c>
    </row>
    <row r="3145" spans="1:12" x14ac:dyDescent="0.25">
      <c r="A3145">
        <v>3144</v>
      </c>
      <c r="B3145" s="3">
        <v>0.16223235336772091</v>
      </c>
      <c r="C3145" s="3">
        <v>7.0588688753515899E-2</v>
      </c>
      <c r="D3145" s="1">
        <v>244381.86830775382</v>
      </c>
      <c r="E3145" s="1">
        <v>9284907</v>
      </c>
      <c r="F3145" s="1">
        <v>32339038</v>
      </c>
      <c r="G3145" s="16">
        <v>29038.899262594336</v>
      </c>
      <c r="H3145">
        <v>151.01</v>
      </c>
      <c r="I3145" s="1">
        <v>453.31</v>
      </c>
      <c r="J3145" s="16">
        <v>273420.76757034817</v>
      </c>
      <c r="K3145" s="5">
        <v>0.18171871434720632</v>
      </c>
      <c r="L3145" s="10">
        <v>457967.83809999999</v>
      </c>
    </row>
    <row r="3146" spans="1:12" x14ac:dyDescent="0.25">
      <c r="A3146">
        <v>3145</v>
      </c>
      <c r="B3146" s="3">
        <v>0.24516930845299079</v>
      </c>
      <c r="C3146" s="3">
        <v>5.236108183516705E-2</v>
      </c>
      <c r="D3146" s="1">
        <v>171463.18802857914</v>
      </c>
      <c r="E3146" s="1">
        <v>9884985</v>
      </c>
      <c r="F3146" s="1">
        <v>35714300</v>
      </c>
      <c r="G3146" s="16">
        <v>16906.937745218856</v>
      </c>
      <c r="H3146">
        <v>181.72</v>
      </c>
      <c r="I3146" s="1">
        <v>508.58000000000004</v>
      </c>
      <c r="J3146" s="16">
        <v>188370.125773798</v>
      </c>
      <c r="K3146" s="5">
        <v>0.17159568211878981</v>
      </c>
      <c r="L3146" s="10">
        <v>475479.64750000002</v>
      </c>
    </row>
    <row r="3147" spans="1:12" x14ac:dyDescent="0.25">
      <c r="A3147">
        <v>3146</v>
      </c>
      <c r="B3147" s="3">
        <v>0.12436453750583651</v>
      </c>
      <c r="C3147" s="3">
        <v>6.4202300235837492E-2</v>
      </c>
      <c r="D3147" s="1">
        <v>470422.04063920031</v>
      </c>
      <c r="E3147" s="1">
        <v>14976049</v>
      </c>
      <c r="F3147" s="1">
        <v>41876694</v>
      </c>
      <c r="G3147" s="16">
        <v>45827.897174274316</v>
      </c>
      <c r="H3147">
        <v>174.72</v>
      </c>
      <c r="I3147" s="1">
        <v>416.49</v>
      </c>
      <c r="J3147" s="16">
        <v>516249.93781347462</v>
      </c>
      <c r="K3147" s="5">
        <v>-0.13867830627462152</v>
      </c>
      <c r="L3147" s="10">
        <v>-682161.53269999998</v>
      </c>
    </row>
    <row r="3148" spans="1:12" x14ac:dyDescent="0.25">
      <c r="A3148">
        <v>3147</v>
      </c>
      <c r="B3148" s="3">
        <v>0.11489860281652475</v>
      </c>
      <c r="C3148" s="3">
        <v>7.1116933909747007E-2</v>
      </c>
      <c r="D3148" s="1">
        <v>251892.98943364416</v>
      </c>
      <c r="E3148" s="1">
        <v>7681511</v>
      </c>
      <c r="F3148" s="1">
        <v>41925876</v>
      </c>
      <c r="G3148" s="16">
        <v>135446.41293177259</v>
      </c>
      <c r="H3148">
        <v>541.07000000000005</v>
      </c>
      <c r="I3148" s="1">
        <v>1337.24</v>
      </c>
      <c r="J3148" s="16">
        <v>387339.40236541675</v>
      </c>
      <c r="K3148" s="5">
        <v>0.10934323753966335</v>
      </c>
      <c r="L3148" s="10">
        <v>396908.3444</v>
      </c>
    </row>
    <row r="3149" spans="1:12" x14ac:dyDescent="0.25">
      <c r="A3149">
        <v>3148</v>
      </c>
      <c r="B3149" s="3">
        <v>0.24051960982414877</v>
      </c>
      <c r="C3149" s="3">
        <v>4.0481166674255185E-2</v>
      </c>
      <c r="D3149" s="1">
        <v>177703.94918326937</v>
      </c>
      <c r="E3149" s="1">
        <v>9996172</v>
      </c>
      <c r="F3149" s="1">
        <v>33776294</v>
      </c>
      <c r="G3149" s="16">
        <v>24203.026645051836</v>
      </c>
      <c r="H3149">
        <v>250.08</v>
      </c>
      <c r="I3149" s="1">
        <v>601.63</v>
      </c>
      <c r="J3149" s="16">
        <v>201906.97582832121</v>
      </c>
      <c r="K3149" s="5">
        <v>0.15060980923855694</v>
      </c>
      <c r="L3149" s="10">
        <v>583103.54359999998</v>
      </c>
    </row>
    <row r="3150" spans="1:12" x14ac:dyDescent="0.25">
      <c r="A3150">
        <v>3149</v>
      </c>
      <c r="B3150" s="3">
        <v>0.16556881191318856</v>
      </c>
      <c r="C3150" s="3">
        <v>5.6877602468966088E-2</v>
      </c>
      <c r="D3150" s="1">
        <v>59815.706878897487</v>
      </c>
      <c r="E3150" s="1">
        <v>1926846</v>
      </c>
      <c r="F3150" s="1">
        <v>13888990</v>
      </c>
      <c r="G3150" s="16">
        <v>12559.488883500915</v>
      </c>
      <c r="H3150">
        <v>56.01</v>
      </c>
      <c r="I3150" s="1">
        <v>226.82999999999998</v>
      </c>
      <c r="J3150" s="16">
        <v>72375.195762398405</v>
      </c>
      <c r="K3150" s="5">
        <v>0.1142584090268674</v>
      </c>
      <c r="L3150" s="10">
        <v>117643.7078</v>
      </c>
    </row>
    <row r="3151" spans="1:12" x14ac:dyDescent="0.25">
      <c r="A3151">
        <v>3150</v>
      </c>
      <c r="B3151" s="3">
        <v>0.10236533804588487</v>
      </c>
      <c r="C3151" s="3">
        <v>6.3142695561545864E-2</v>
      </c>
      <c r="D3151" s="1">
        <v>173127.42961762811</v>
      </c>
      <c r="E3151" s="1">
        <v>4990800</v>
      </c>
      <c r="F3151" s="1">
        <v>22003565</v>
      </c>
      <c r="G3151" s="16">
        <v>29767.465140939967</v>
      </c>
      <c r="H3151">
        <v>85.59</v>
      </c>
      <c r="I3151" s="1">
        <v>291.14</v>
      </c>
      <c r="J3151" s="16">
        <v>202894.89475856809</v>
      </c>
      <c r="K3151" s="5">
        <v>0.2142131620308724</v>
      </c>
      <c r="L3151" s="10">
        <v>476722.78220000002</v>
      </c>
    </row>
    <row r="3152" spans="1:12" x14ac:dyDescent="0.25">
      <c r="A3152">
        <v>3151</v>
      </c>
      <c r="B3152" s="3">
        <v>0.10716551627029652</v>
      </c>
      <c r="C3152" s="3">
        <v>4.2960533966326216E-2</v>
      </c>
      <c r="D3152" s="1">
        <v>93332.920991735984</v>
      </c>
      <c r="E3152" s="1">
        <v>2454288</v>
      </c>
      <c r="F3152" s="1">
        <v>14202623</v>
      </c>
      <c r="G3152" s="16">
        <v>31650.326840654478</v>
      </c>
      <c r="H3152">
        <v>94.1</v>
      </c>
      <c r="I3152" s="1">
        <v>275.51</v>
      </c>
      <c r="J3152" s="16">
        <v>124983.24783239047</v>
      </c>
      <c r="K3152" s="5">
        <v>5.1028831568358801E-2</v>
      </c>
      <c r="L3152" s="10">
        <v>113437.8149</v>
      </c>
    </row>
    <row r="3153" spans="1:12" x14ac:dyDescent="0.25">
      <c r="A3153">
        <v>3152</v>
      </c>
      <c r="B3153" s="3">
        <v>0.15821415299676148</v>
      </c>
      <c r="C3153" s="3">
        <v>5.8512668742040488E-2</v>
      </c>
      <c r="D3153" s="1">
        <v>287600.26105453208</v>
      </c>
      <c r="E3153" s="1">
        <v>10719774</v>
      </c>
      <c r="F3153" s="1">
        <v>32272574</v>
      </c>
      <c r="G3153" s="16">
        <v>29958.249521553145</v>
      </c>
      <c r="H3153">
        <v>150.44999999999999</v>
      </c>
      <c r="I3153" s="1">
        <v>495.12</v>
      </c>
      <c r="J3153" s="16">
        <v>317558.51057608525</v>
      </c>
      <c r="K3153" s="5">
        <v>0.10052012174066592</v>
      </c>
      <c r="L3153" s="10">
        <v>391318.6102</v>
      </c>
    </row>
    <row r="3154" spans="1:12" x14ac:dyDescent="0.25">
      <c r="A3154">
        <v>3153</v>
      </c>
      <c r="B3154" s="3">
        <v>0.1836205542988037</v>
      </c>
      <c r="C3154" s="3">
        <v>2.9112959109905745E-2</v>
      </c>
      <c r="D3154" s="1">
        <v>85993.53267937398</v>
      </c>
      <c r="E3154" s="1">
        <v>2957960</v>
      </c>
      <c r="F3154" s="1">
        <v>13790225</v>
      </c>
      <c r="G3154" s="16">
        <v>31378.751265510018</v>
      </c>
      <c r="H3154">
        <v>195.4</v>
      </c>
      <c r="I3154" s="1">
        <v>572.68000000000006</v>
      </c>
      <c r="J3154" s="16">
        <v>117372.28394488399</v>
      </c>
      <c r="K3154" s="5">
        <v>3.6943678084535692E-2</v>
      </c>
      <c r="L3154" s="10">
        <v>117105.76609999999</v>
      </c>
    </row>
    <row r="3155" spans="1:12" x14ac:dyDescent="0.25">
      <c r="A3155">
        <v>3154</v>
      </c>
      <c r="B3155" s="3">
        <v>0.18621712210846447</v>
      </c>
      <c r="C3155" s="3">
        <v>5.462773840746929E-2</v>
      </c>
      <c r="D3155" s="1">
        <v>136744.48732324483</v>
      </c>
      <c r="E3155" s="1">
        <v>4748829</v>
      </c>
      <c r="F3155" s="1">
        <v>16936741</v>
      </c>
      <c r="G3155" s="16">
        <v>30800.207558280043</v>
      </c>
      <c r="H3155">
        <v>195.87</v>
      </c>
      <c r="I3155" s="1">
        <v>631.1</v>
      </c>
      <c r="J3155" s="16">
        <v>167544.69488152486</v>
      </c>
      <c r="K3155" s="5">
        <v>4.0515432171551374E-2</v>
      </c>
      <c r="L3155" s="10">
        <v>94610.962499999994</v>
      </c>
    </row>
    <row r="3156" spans="1:12" x14ac:dyDescent="0.25">
      <c r="A3156">
        <v>3155</v>
      </c>
      <c r="B3156" s="3">
        <v>0.14102282100470526</v>
      </c>
      <c r="C3156" s="3">
        <v>3.2452392364114541E-2</v>
      </c>
      <c r="D3156" s="1">
        <v>147546.7975383708</v>
      </c>
      <c r="E3156" s="1">
        <v>5072312</v>
      </c>
      <c r="F3156" s="1">
        <v>23913521</v>
      </c>
      <c r="G3156" s="16">
        <v>18556.857451359414</v>
      </c>
      <c r="H3156">
        <v>69.56</v>
      </c>
      <c r="I3156" s="1">
        <v>286.56</v>
      </c>
      <c r="J3156" s="16">
        <v>166103.65498973022</v>
      </c>
      <c r="K3156" s="5">
        <v>7.3010278824906308E-2</v>
      </c>
      <c r="L3156" s="10">
        <v>333814.255</v>
      </c>
    </row>
    <row r="3157" spans="1:12" x14ac:dyDescent="0.25">
      <c r="A3157">
        <v>3156</v>
      </c>
      <c r="B3157" s="3">
        <v>0.22080297815780983</v>
      </c>
      <c r="C3157" s="3">
        <v>7.0866267999375246E-2</v>
      </c>
      <c r="D3157" s="1">
        <v>172992.85715495923</v>
      </c>
      <c r="E3157" s="1">
        <v>8782987</v>
      </c>
      <c r="F3157" s="1">
        <v>31811396</v>
      </c>
      <c r="G3157" s="16">
        <v>16728.214351580478</v>
      </c>
      <c r="H3157">
        <v>144.19999999999999</v>
      </c>
      <c r="I3157" s="1">
        <v>544.71</v>
      </c>
      <c r="J3157" s="16">
        <v>189721.07150653971</v>
      </c>
      <c r="K3157" s="5">
        <v>0.11577014411844683</v>
      </c>
      <c r="L3157" s="10">
        <v>215162.98389999999</v>
      </c>
    </row>
    <row r="3158" spans="1:12" x14ac:dyDescent="0.25">
      <c r="A3158">
        <v>3157</v>
      </c>
      <c r="B3158" s="3">
        <v>0.18651796411811414</v>
      </c>
      <c r="C3158" s="3">
        <v>7.7994807988254714E-2</v>
      </c>
      <c r="D3158" s="1">
        <v>282213.48040213867</v>
      </c>
      <c r="E3158" s="1">
        <v>14826561</v>
      </c>
      <c r="F3158" s="1">
        <v>56186107</v>
      </c>
      <c r="G3158" s="16">
        <v>34793.672460180882</v>
      </c>
      <c r="H3158">
        <v>222.21</v>
      </c>
      <c r="I3158" s="1">
        <v>694.76</v>
      </c>
      <c r="J3158" s="16">
        <v>317007.15286231955</v>
      </c>
      <c r="K3158" s="5">
        <v>0.167951360707949</v>
      </c>
      <c r="L3158" s="10">
        <v>430325.41100000002</v>
      </c>
    </row>
    <row r="3159" spans="1:12" x14ac:dyDescent="0.25">
      <c r="A3159">
        <v>3158</v>
      </c>
      <c r="B3159" s="3">
        <v>0.13145629799222916</v>
      </c>
      <c r="C3159" s="3">
        <v>2.0655900467457446E-2</v>
      </c>
      <c r="D3159" s="1">
        <v>165965.77864730678</v>
      </c>
      <c r="E3159" s="1">
        <v>4740748</v>
      </c>
      <c r="F3159" s="1">
        <v>19179505</v>
      </c>
      <c r="G3159" s="16">
        <v>36754.239352322686</v>
      </c>
      <c r="H3159">
        <v>148.24</v>
      </c>
      <c r="I3159" s="1">
        <v>402.71</v>
      </c>
      <c r="J3159" s="16">
        <v>202720.01799962946</v>
      </c>
      <c r="K3159" s="5">
        <v>0.13478315672230898</v>
      </c>
      <c r="L3159" s="10">
        <v>1175789.8714000001</v>
      </c>
    </row>
    <row r="3160" spans="1:12" x14ac:dyDescent="0.25">
      <c r="A3160">
        <v>3159</v>
      </c>
      <c r="B3160" s="3">
        <v>0.24362811160570502</v>
      </c>
      <c r="C3160" s="3">
        <v>7.2064551944844443E-2</v>
      </c>
      <c r="D3160" s="1">
        <v>134031.60696719607</v>
      </c>
      <c r="E3160" s="1">
        <v>7664238</v>
      </c>
      <c r="F3160" s="1">
        <v>34550852</v>
      </c>
      <c r="G3160" s="16">
        <v>12331.739018431897</v>
      </c>
      <c r="H3160">
        <v>99.21</v>
      </c>
      <c r="I3160" s="1">
        <v>343.57</v>
      </c>
      <c r="J3160" s="16">
        <v>146363.34598562797</v>
      </c>
      <c r="K3160" s="5">
        <v>4.7551390301957222E-2</v>
      </c>
      <c r="L3160" s="10">
        <v>90509.320500000002</v>
      </c>
    </row>
    <row r="3161" spans="1:12" x14ac:dyDescent="0.25">
      <c r="A3161">
        <v>3160</v>
      </c>
      <c r="B3161" s="3">
        <v>0.2323435673127692</v>
      </c>
      <c r="C3161" s="3">
        <v>3.7631812820909584E-2</v>
      </c>
      <c r="D3161" s="1">
        <v>106063.15339502088</v>
      </c>
      <c r="E3161" s="1">
        <v>4388005</v>
      </c>
      <c r="F3161" s="1">
        <v>17755763</v>
      </c>
      <c r="G3161" s="16">
        <v>24960.606033307882</v>
      </c>
      <c r="H3161">
        <v>311.52</v>
      </c>
      <c r="I3161" s="1">
        <v>820.72</v>
      </c>
      <c r="J3161" s="16">
        <v>131023.75942832876</v>
      </c>
      <c r="K3161" s="5">
        <v>0.12424822601720813</v>
      </c>
      <c r="L3161" s="10">
        <v>354037.03289999999</v>
      </c>
    </row>
    <row r="3162" spans="1:12" x14ac:dyDescent="0.25">
      <c r="A3162">
        <v>3161</v>
      </c>
      <c r="B3162" s="3">
        <v>0.18116548828998977</v>
      </c>
      <c r="C3162" s="3">
        <v>7.8744301393536109E-2</v>
      </c>
      <c r="D3162" s="1">
        <v>132233.90207018654</v>
      </c>
      <c r="E3162" s="1">
        <v>5505042</v>
      </c>
      <c r="F3162" s="1">
        <v>27199636</v>
      </c>
      <c r="G3162" s="16">
        <v>42159.65431956575</v>
      </c>
      <c r="H3162">
        <v>256.89</v>
      </c>
      <c r="I3162" s="1">
        <v>575.48</v>
      </c>
      <c r="J3162" s="16">
        <v>174393.55638975228</v>
      </c>
      <c r="K3162" s="5">
        <v>6.8112269257571342E-2</v>
      </c>
      <c r="L3162" s="10">
        <v>116183.5428</v>
      </c>
    </row>
    <row r="3163" spans="1:12" x14ac:dyDescent="0.25">
      <c r="A3163">
        <v>3162</v>
      </c>
      <c r="B3163" s="3">
        <v>0.1606535548293547</v>
      </c>
      <c r="C3163" s="3">
        <v>3.3892057867487349E-2</v>
      </c>
      <c r="D3163" s="1">
        <v>93447.34292859993</v>
      </c>
      <c r="E3163" s="1">
        <v>2957647</v>
      </c>
      <c r="F3163" s="1">
        <v>16839914</v>
      </c>
      <c r="G3163" s="16">
        <v>18217.136372718622</v>
      </c>
      <c r="H3163">
        <v>78.430000000000007</v>
      </c>
      <c r="I3163" s="1">
        <v>319.88</v>
      </c>
      <c r="J3163" s="16">
        <v>111664.47930131856</v>
      </c>
      <c r="K3163" s="5">
        <v>0.21796248700039669</v>
      </c>
      <c r="L3163" s="10">
        <v>618663.70149999997</v>
      </c>
    </row>
    <row r="3164" spans="1:12" x14ac:dyDescent="0.25">
      <c r="A3164">
        <v>3163</v>
      </c>
      <c r="B3164" s="3">
        <v>0.16866477645754477</v>
      </c>
      <c r="C3164" s="3">
        <v>7.3500505651534778E-2</v>
      </c>
      <c r="D3164" s="1">
        <v>400153.5420875331</v>
      </c>
      <c r="E3164" s="1">
        <v>18860301</v>
      </c>
      <c r="F3164" s="1">
        <v>53845806</v>
      </c>
      <c r="G3164" s="16">
        <v>31838.980554294503</v>
      </c>
      <c r="H3164">
        <v>174.73</v>
      </c>
      <c r="I3164" s="1">
        <v>683.67</v>
      </c>
      <c r="J3164" s="16">
        <v>431992.52264182759</v>
      </c>
      <c r="K3164" s="5">
        <v>6.4171806316653299E-2</v>
      </c>
      <c r="L3164" s="10">
        <v>251567.6194</v>
      </c>
    </row>
    <row r="3165" spans="1:12" x14ac:dyDescent="0.25">
      <c r="A3165">
        <v>3164</v>
      </c>
      <c r="B3165" s="3">
        <v>0.1179649997311679</v>
      </c>
      <c r="C3165" s="3">
        <v>5.6694243055447388E-2</v>
      </c>
      <c r="D3165" s="1">
        <v>80189.711793837341</v>
      </c>
      <c r="E3165" s="1">
        <v>2187074</v>
      </c>
      <c r="F3165" s="1">
        <v>15842628</v>
      </c>
      <c r="G3165" s="16">
        <v>17154.81626028274</v>
      </c>
      <c r="H3165">
        <v>48.44</v>
      </c>
      <c r="I3165" s="1">
        <v>188.04000000000002</v>
      </c>
      <c r="J3165" s="16">
        <v>97344.528054120077</v>
      </c>
      <c r="K3165" s="5">
        <v>0.15529909641638737</v>
      </c>
      <c r="L3165" s="10">
        <v>204842.0808</v>
      </c>
    </row>
    <row r="3166" spans="1:12" x14ac:dyDescent="0.25">
      <c r="A3166">
        <v>3165</v>
      </c>
      <c r="B3166" s="3">
        <v>0.11424676348623242</v>
      </c>
      <c r="C3166" s="3">
        <v>7.4259047800620606E-2</v>
      </c>
      <c r="D3166" s="1">
        <v>252333.3716503483</v>
      </c>
      <c r="E3166" s="1">
        <v>7672318</v>
      </c>
      <c r="F3166" s="1">
        <v>33406399</v>
      </c>
      <c r="G3166" s="16">
        <v>20327.517069042238</v>
      </c>
      <c r="H3166">
        <v>63.37</v>
      </c>
      <c r="I3166" s="1">
        <v>239.52000000000004</v>
      </c>
      <c r="J3166" s="16">
        <v>272660.88871939055</v>
      </c>
      <c r="K3166" s="5">
        <v>0.18921744404136542</v>
      </c>
      <c r="L3166" s="10">
        <v>472831.49790000002</v>
      </c>
    </row>
    <row r="3167" spans="1:12" x14ac:dyDescent="0.25">
      <c r="A3167">
        <v>3166</v>
      </c>
      <c r="B3167" s="3">
        <v>0.23451485331611391</v>
      </c>
      <c r="C3167" s="3">
        <v>7.3848354941965483E-2</v>
      </c>
      <c r="D3167" s="1">
        <v>93841.442016486966</v>
      </c>
      <c r="E3167" s="1">
        <v>5115060</v>
      </c>
      <c r="F3167" s="1">
        <v>28888774</v>
      </c>
      <c r="G3167" s="16">
        <v>13394.320955709665</v>
      </c>
      <c r="H3167">
        <v>130.91999999999999</v>
      </c>
      <c r="I3167" s="1">
        <v>555.79</v>
      </c>
      <c r="J3167" s="16">
        <v>107235.76297219664</v>
      </c>
      <c r="K3167" s="5">
        <v>0.22817639120141753</v>
      </c>
      <c r="L3167" s="10">
        <v>253228.9363</v>
      </c>
    </row>
    <row r="3168" spans="1:12" x14ac:dyDescent="0.25">
      <c r="A3168">
        <v>3167</v>
      </c>
      <c r="B3168" s="3">
        <v>0.17057628577073181</v>
      </c>
      <c r="C3168" s="3">
        <v>7.2143011310260255E-2</v>
      </c>
      <c r="D3168" s="1">
        <v>102600.82511597253</v>
      </c>
      <c r="E3168" s="1">
        <v>3365303</v>
      </c>
      <c r="F3168" s="1">
        <v>15503192</v>
      </c>
      <c r="G3168" s="16">
        <v>31622.91559208788</v>
      </c>
      <c r="H3168">
        <v>176.24</v>
      </c>
      <c r="I3168" s="1">
        <v>630.36</v>
      </c>
      <c r="J3168" s="16">
        <v>134223.74070806042</v>
      </c>
      <c r="K3168" s="5">
        <v>0.16204499866931577</v>
      </c>
      <c r="L3168" s="10">
        <v>212053.76180000001</v>
      </c>
    </row>
    <row r="3169" spans="1:12" x14ac:dyDescent="0.25">
      <c r="A3169">
        <v>3168</v>
      </c>
      <c r="B3169" s="3">
        <v>0.22715037968046289</v>
      </c>
      <c r="C3169" s="3">
        <v>2.3209341433767371E-2</v>
      </c>
      <c r="D3169" s="1">
        <v>92005.612117665762</v>
      </c>
      <c r="E3169" s="1">
        <v>3730201</v>
      </c>
      <c r="F3169" s="1">
        <v>16823691</v>
      </c>
      <c r="G3169" s="16">
        <v>11161.473224334937</v>
      </c>
      <c r="H3169">
        <v>78.69</v>
      </c>
      <c r="I3169" s="1">
        <v>268.58999999999997</v>
      </c>
      <c r="J3169" s="16">
        <v>103167.0853420007</v>
      </c>
      <c r="K3169" s="5">
        <v>9.0163487852756324E-2</v>
      </c>
      <c r="L3169" s="10">
        <v>352852.12469999999</v>
      </c>
    </row>
    <row r="3170" spans="1:12" x14ac:dyDescent="0.25">
      <c r="A3170">
        <v>3169</v>
      </c>
      <c r="B3170" s="3">
        <v>0.10842738159877893</v>
      </c>
      <c r="C3170" s="3">
        <v>3.7755127484909307E-2</v>
      </c>
      <c r="D3170" s="1">
        <v>198931.4210675084</v>
      </c>
      <c r="E3170" s="1">
        <v>5892231</v>
      </c>
      <c r="F3170" s="1">
        <v>27984387</v>
      </c>
      <c r="G3170" s="16">
        <v>36272.518758185768</v>
      </c>
      <c r="H3170">
        <v>121.97</v>
      </c>
      <c r="I3170" s="1">
        <v>424.95000000000005</v>
      </c>
      <c r="J3170" s="16">
        <v>235203.93982569416</v>
      </c>
      <c r="K3170" s="5">
        <v>7.0012874238378292E-2</v>
      </c>
      <c r="L3170" s="10">
        <v>350560.641</v>
      </c>
    </row>
    <row r="3171" spans="1:12" x14ac:dyDescent="0.25">
      <c r="A3171">
        <v>3170</v>
      </c>
      <c r="B3171" s="3">
        <v>0.21320965094767075</v>
      </c>
      <c r="C3171" s="3">
        <v>3.0994792643482837E-2</v>
      </c>
      <c r="D3171" s="1">
        <v>173378.93239744668</v>
      </c>
      <c r="E3171" s="1">
        <v>10762275</v>
      </c>
      <c r="F3171" s="1">
        <v>56436922</v>
      </c>
      <c r="G3171" s="16">
        <v>26138.102028408859</v>
      </c>
      <c r="H3171">
        <v>210.75</v>
      </c>
      <c r="I3171" s="1">
        <v>543.86</v>
      </c>
      <c r="J3171" s="16">
        <v>199517.03442585556</v>
      </c>
      <c r="K3171" s="5">
        <v>0.11364187861364287</v>
      </c>
      <c r="L3171" s="10">
        <v>658421.01740000001</v>
      </c>
    </row>
    <row r="3172" spans="1:12" x14ac:dyDescent="0.25">
      <c r="A3172">
        <v>3171</v>
      </c>
      <c r="B3172" s="3">
        <v>0.18074680980311428</v>
      </c>
      <c r="C3172" s="3">
        <v>4.1425303630016924E-2</v>
      </c>
      <c r="D3172" s="1">
        <v>117525.85491387414</v>
      </c>
      <c r="E3172" s="1">
        <v>4882739</v>
      </c>
      <c r="F3172" s="1">
        <v>23762616</v>
      </c>
      <c r="G3172" s="16">
        <v>29961.431948057263</v>
      </c>
      <c r="H3172">
        <v>182.19</v>
      </c>
      <c r="I3172" s="1">
        <v>642.13</v>
      </c>
      <c r="J3172" s="16">
        <v>147487.28686193141</v>
      </c>
      <c r="K3172" s="5">
        <v>0.24119131674048772</v>
      </c>
      <c r="L3172" s="10">
        <v>702927.65520000004</v>
      </c>
    </row>
    <row r="3173" spans="1:12" x14ac:dyDescent="0.25">
      <c r="A3173">
        <v>3172</v>
      </c>
      <c r="B3173" s="3">
        <v>0.11466797219865135</v>
      </c>
      <c r="C3173" s="3">
        <v>6.8266697614739455E-2</v>
      </c>
      <c r="D3173" s="1">
        <v>144376.01204423327</v>
      </c>
      <c r="E3173" s="1">
        <v>3893851</v>
      </c>
      <c r="F3173" s="1">
        <v>18006413</v>
      </c>
      <c r="G3173" s="16">
        <v>39653.736835830234</v>
      </c>
      <c r="H3173">
        <v>124.05</v>
      </c>
      <c r="I3173" s="1">
        <v>379.40000000000003</v>
      </c>
      <c r="J3173" s="16">
        <v>184029.7488800635</v>
      </c>
      <c r="K3173" s="5">
        <v>0.19765380353541945</v>
      </c>
      <c r="L3173" s="10">
        <v>355343.25309999997</v>
      </c>
    </row>
    <row r="3174" spans="1:12" x14ac:dyDescent="0.25">
      <c r="A3174">
        <v>3173</v>
      </c>
      <c r="B3174" s="3">
        <v>0.23041575182021914</v>
      </c>
      <c r="C3174" s="3">
        <v>7.2092922423970612E-2</v>
      </c>
      <c r="D3174" s="1">
        <v>180410.60614307283</v>
      </c>
      <c r="E3174" s="1">
        <v>9625870</v>
      </c>
      <c r="F3174" s="1">
        <v>38161303</v>
      </c>
      <c r="G3174" s="16">
        <v>11198.494119585685</v>
      </c>
      <c r="H3174">
        <v>105.45</v>
      </c>
      <c r="I3174" s="1">
        <v>411.85999999999996</v>
      </c>
      <c r="J3174" s="16">
        <v>191609.10026265853</v>
      </c>
      <c r="K3174" s="5">
        <v>0.19017757599069179</v>
      </c>
      <c r="L3174" s="10">
        <v>318000.6826</v>
      </c>
    </row>
    <row r="3175" spans="1:12" x14ac:dyDescent="0.25">
      <c r="A3175">
        <v>3174</v>
      </c>
      <c r="B3175" s="3">
        <v>0.24032038004677178</v>
      </c>
      <c r="C3175" s="3">
        <v>5.4273011490870215E-2</v>
      </c>
      <c r="D3175" s="1">
        <v>51080.22086685706</v>
      </c>
      <c r="E3175" s="1">
        <v>2180542</v>
      </c>
      <c r="F3175" s="1">
        <v>15092041</v>
      </c>
      <c r="G3175" s="16">
        <v>18567.139390977802</v>
      </c>
      <c r="H3175">
        <v>190.93</v>
      </c>
      <c r="I3175" s="1">
        <v>684.57999999999993</v>
      </c>
      <c r="J3175" s="16">
        <v>69647.360257834865</v>
      </c>
      <c r="K3175" s="5">
        <v>0.17246737307533722</v>
      </c>
      <c r="L3175" s="10">
        <v>180393.5263</v>
      </c>
    </row>
    <row r="3176" spans="1:12" x14ac:dyDescent="0.25">
      <c r="A3176">
        <v>3175</v>
      </c>
      <c r="B3176" s="3">
        <v>0.12354540273537448</v>
      </c>
      <c r="C3176" s="3">
        <v>3.7022451353818563E-2</v>
      </c>
      <c r="D3176" s="1">
        <v>37496.309119377001</v>
      </c>
      <c r="E3176" s="1">
        <v>913551</v>
      </c>
      <c r="F3176" s="1">
        <v>7885886</v>
      </c>
      <c r="G3176" s="16">
        <v>31889.9729212807</v>
      </c>
      <c r="H3176">
        <v>120.68</v>
      </c>
      <c r="I3176" s="1">
        <v>454.8</v>
      </c>
      <c r="J3176" s="16">
        <v>69386.282040657708</v>
      </c>
      <c r="K3176" s="5">
        <v>2.0493819404734083E-2</v>
      </c>
      <c r="L3176" s="10">
        <v>61239.809399999998</v>
      </c>
    </row>
    <row r="3177" spans="1:12" x14ac:dyDescent="0.25">
      <c r="A3177">
        <v>3176</v>
      </c>
      <c r="B3177" s="3">
        <v>0.24871036654813961</v>
      </c>
      <c r="C3177" s="3">
        <v>7.9853640319342264E-2</v>
      </c>
      <c r="D3177" s="1">
        <v>104171.9339810322</v>
      </c>
      <c r="E3177" s="1">
        <v>4597603</v>
      </c>
      <c r="F3177" s="1">
        <v>18901378</v>
      </c>
      <c r="G3177" s="16">
        <v>26499.126315579419</v>
      </c>
      <c r="H3177">
        <v>393.08</v>
      </c>
      <c r="I3177" s="1">
        <v>1171.3999999999999</v>
      </c>
      <c r="J3177" s="16">
        <v>130671.06029661161</v>
      </c>
      <c r="K3177" s="5">
        <v>9.0370468440178681E-2</v>
      </c>
      <c r="L3177" s="10">
        <v>78151.827600000004</v>
      </c>
    </row>
    <row r="3178" spans="1:12" x14ac:dyDescent="0.25">
      <c r="A3178">
        <v>3177</v>
      </c>
      <c r="B3178" s="3">
        <v>0.14347221816389816</v>
      </c>
      <c r="C3178" s="3">
        <v>6.5945161732103144E-2</v>
      </c>
      <c r="D3178" s="1">
        <v>197250.47426349579</v>
      </c>
      <c r="E3178" s="1">
        <v>6858903</v>
      </c>
      <c r="F3178" s="1">
        <v>22067840</v>
      </c>
      <c r="G3178" s="16">
        <v>27949.448249153018</v>
      </c>
      <c r="H3178">
        <v>124.37</v>
      </c>
      <c r="I3178" s="1">
        <v>417.72</v>
      </c>
      <c r="J3178" s="16">
        <v>225199.9225126488</v>
      </c>
      <c r="K3178" s="5">
        <v>0.23060600094827688</v>
      </c>
      <c r="L3178" s="10">
        <v>509355.14840000001</v>
      </c>
    </row>
    <row r="3179" spans="1:12" x14ac:dyDescent="0.25">
      <c r="A3179">
        <v>3178</v>
      </c>
      <c r="B3179" s="3">
        <v>0.18120692916718639</v>
      </c>
      <c r="C3179" s="3">
        <v>2.0143675988933667E-2</v>
      </c>
      <c r="D3179" s="1">
        <v>238867.2739239207</v>
      </c>
      <c r="E3179" s="1">
        <v>9946325</v>
      </c>
      <c r="F3179" s="1">
        <v>40279137</v>
      </c>
      <c r="G3179" s="16">
        <v>23235.495834335514</v>
      </c>
      <c r="H3179">
        <v>141.66</v>
      </c>
      <c r="I3179" s="1">
        <v>438.45000000000005</v>
      </c>
      <c r="J3179" s="16">
        <v>262102.76975825621</v>
      </c>
      <c r="K3179" s="5">
        <v>0.13589296896769687</v>
      </c>
      <c r="L3179" s="10">
        <v>1556150.2930999999</v>
      </c>
    </row>
    <row r="3180" spans="1:12" x14ac:dyDescent="0.25">
      <c r="A3180">
        <v>3179</v>
      </c>
      <c r="B3180" s="3">
        <v>0.1577832288892653</v>
      </c>
      <c r="C3180" s="3">
        <v>3.9579757627274427E-2</v>
      </c>
      <c r="D3180" s="1">
        <v>293992.23210760904</v>
      </c>
      <c r="E3180" s="1">
        <v>12984320</v>
      </c>
      <c r="F3180" s="1">
        <v>46831033</v>
      </c>
      <c r="G3180" s="16">
        <v>34241.801237878673</v>
      </c>
      <c r="H3180">
        <v>171.56</v>
      </c>
      <c r="I3180" s="1">
        <v>495.11</v>
      </c>
      <c r="J3180" s="16">
        <v>328234.03334548773</v>
      </c>
      <c r="K3180" s="5">
        <v>0.19167052378969887</v>
      </c>
      <c r="L3180" s="10">
        <v>1243503.101</v>
      </c>
    </row>
    <row r="3181" spans="1:12" x14ac:dyDescent="0.25">
      <c r="A3181">
        <v>3180</v>
      </c>
      <c r="B3181" s="3">
        <v>0.19051635016691149</v>
      </c>
      <c r="C3181" s="3">
        <v>2.5336171707149385E-2</v>
      </c>
      <c r="D3181" s="1">
        <v>205815.60440930896</v>
      </c>
      <c r="E3181" s="1">
        <v>8971161</v>
      </c>
      <c r="F3181" s="1">
        <v>29939715</v>
      </c>
      <c r="G3181" s="16">
        <v>25424.855164585206</v>
      </c>
      <c r="H3181">
        <v>168.02</v>
      </c>
      <c r="I3181" s="1">
        <v>434.19999999999993</v>
      </c>
      <c r="J3181" s="16">
        <v>231240.45957389416</v>
      </c>
      <c r="K3181" s="5">
        <v>6.3093331478800682E-2</v>
      </c>
      <c r="L3181" s="10">
        <v>518275.86959999998</v>
      </c>
    </row>
    <row r="3182" spans="1:12" x14ac:dyDescent="0.25">
      <c r="A3182">
        <v>3181</v>
      </c>
      <c r="B3182" s="3">
        <v>0.22867447804100841</v>
      </c>
      <c r="C3182" s="3">
        <v>5.1007667811485274E-2</v>
      </c>
      <c r="D3182" s="1">
        <v>100003.75620393985</v>
      </c>
      <c r="E3182" s="1">
        <v>5287721</v>
      </c>
      <c r="F3182" s="1">
        <v>25241755</v>
      </c>
      <c r="G3182" s="16">
        <v>17352.763508316206</v>
      </c>
      <c r="H3182">
        <v>123.67</v>
      </c>
      <c r="I3182" s="1">
        <v>321.02</v>
      </c>
      <c r="J3182" s="16">
        <v>117356.51971225605</v>
      </c>
      <c r="K3182" s="5">
        <v>4.608904516698039E-3</v>
      </c>
      <c r="L3182" s="10">
        <v>22844.4388</v>
      </c>
    </row>
    <row r="3183" spans="1:12" x14ac:dyDescent="0.25">
      <c r="A3183">
        <v>3182</v>
      </c>
      <c r="B3183" s="3">
        <v>0.2003099804418895</v>
      </c>
      <c r="C3183" s="3">
        <v>6.7029369094070396E-2</v>
      </c>
      <c r="D3183" s="1">
        <v>119950.07909417992</v>
      </c>
      <c r="E3183" s="1">
        <v>5489297</v>
      </c>
      <c r="F3183" s="1">
        <v>23303604</v>
      </c>
      <c r="G3183" s="16">
        <v>12900.837783261926</v>
      </c>
      <c r="H3183">
        <v>74.16</v>
      </c>
      <c r="I3183" s="1">
        <v>244.20999999999998</v>
      </c>
      <c r="J3183" s="16">
        <v>132850.91687744184</v>
      </c>
      <c r="K3183" s="5">
        <v>0.12722100914118026</v>
      </c>
      <c r="L3183" s="10">
        <v>182535.9994</v>
      </c>
    </row>
    <row r="3184" spans="1:12" x14ac:dyDescent="0.25">
      <c r="A3184">
        <v>3183</v>
      </c>
      <c r="B3184" s="3">
        <v>0.18708519647216221</v>
      </c>
      <c r="C3184" s="3">
        <v>2.8108165977098285E-2</v>
      </c>
      <c r="D3184" s="1">
        <v>169742.00954797602</v>
      </c>
      <c r="E3184" s="1">
        <v>7274646</v>
      </c>
      <c r="F3184" s="1">
        <v>36093096</v>
      </c>
      <c r="G3184" s="16">
        <v>29142.730970676632</v>
      </c>
      <c r="H3184">
        <v>186.88</v>
      </c>
      <c r="I3184" s="1">
        <v>451.4</v>
      </c>
      <c r="J3184" s="16">
        <v>198884.74051865266</v>
      </c>
      <c r="K3184" s="5">
        <v>0.23593487446476666</v>
      </c>
      <c r="L3184" s="10">
        <v>1429368.0274</v>
      </c>
    </row>
    <row r="3185" spans="1:12" x14ac:dyDescent="0.25">
      <c r="A3185">
        <v>3184</v>
      </c>
      <c r="B3185" s="3">
        <v>0.10501975043422047</v>
      </c>
      <c r="C3185" s="3">
        <v>6.5047012399387427E-2</v>
      </c>
      <c r="D3185" s="1">
        <v>148370.24394442033</v>
      </c>
      <c r="E3185" s="1">
        <v>3873553</v>
      </c>
      <c r="F3185" s="1">
        <v>18655177</v>
      </c>
      <c r="G3185" s="16">
        <v>78521.782858974708</v>
      </c>
      <c r="H3185">
        <v>256.3</v>
      </c>
      <c r="I3185" s="1">
        <v>642.69000000000005</v>
      </c>
      <c r="J3185" s="16">
        <v>226892.02680339504</v>
      </c>
      <c r="K3185" s="5">
        <v>0.12271734814065276</v>
      </c>
      <c r="L3185" s="10">
        <v>290622.5196</v>
      </c>
    </row>
    <row r="3186" spans="1:12" x14ac:dyDescent="0.25">
      <c r="A3186">
        <v>3185</v>
      </c>
      <c r="B3186" s="3">
        <v>0.1387135768575965</v>
      </c>
      <c r="C3186" s="3">
        <v>6.6738930221781109E-2</v>
      </c>
      <c r="D3186" s="1">
        <v>221628.7434127694</v>
      </c>
      <c r="E3186" s="1">
        <v>7537694</v>
      </c>
      <c r="F3186" s="1">
        <v>41506838</v>
      </c>
      <c r="G3186" s="16">
        <v>38240.007053215566</v>
      </c>
      <c r="H3186">
        <v>163.81</v>
      </c>
      <c r="I3186" s="1">
        <v>523.21</v>
      </c>
      <c r="J3186" s="16">
        <v>259868.75046598498</v>
      </c>
      <c r="K3186" s="5">
        <v>0.10527374382963467</v>
      </c>
      <c r="L3186" s="10">
        <v>319293.71620000002</v>
      </c>
    </row>
    <row r="3187" spans="1:12" x14ac:dyDescent="0.25">
      <c r="A3187">
        <v>3186</v>
      </c>
      <c r="B3187" s="3">
        <v>0.11694307217731642</v>
      </c>
      <c r="C3187" s="3">
        <v>4.2124916550594318E-2</v>
      </c>
      <c r="D3187" s="1">
        <v>184218.7772235728</v>
      </c>
      <c r="E3187" s="1">
        <v>5669983</v>
      </c>
      <c r="F3187" s="1">
        <v>29816850</v>
      </c>
      <c r="G3187" s="16">
        <v>17180.108740797048</v>
      </c>
      <c r="H3187">
        <v>48.18</v>
      </c>
      <c r="I3187" s="1">
        <v>190.56</v>
      </c>
      <c r="J3187" s="16">
        <v>201398.88596436987</v>
      </c>
      <c r="K3187" s="5">
        <v>0.21933791575280484</v>
      </c>
      <c r="L3187" s="10">
        <v>854129.88280000002</v>
      </c>
    </row>
    <row r="3188" spans="1:12" x14ac:dyDescent="0.25">
      <c r="A3188">
        <v>3187</v>
      </c>
      <c r="B3188" s="3">
        <v>0.24206025257871894</v>
      </c>
      <c r="C3188" s="3">
        <v>3.4396475100345936E-2</v>
      </c>
      <c r="D3188" s="1">
        <v>125312.64124120578</v>
      </c>
      <c r="E3188" s="1">
        <v>9376140</v>
      </c>
      <c r="F3188" s="1">
        <v>43720024</v>
      </c>
      <c r="G3188" s="16">
        <v>40152.007895324205</v>
      </c>
      <c r="H3188">
        <v>555.04</v>
      </c>
      <c r="I3188" s="1">
        <v>1305.8399999999999</v>
      </c>
      <c r="J3188" s="16">
        <v>165464.64913653</v>
      </c>
      <c r="K3188" s="5">
        <v>0.14738539019706476</v>
      </c>
      <c r="L3188" s="10">
        <v>576762.62109999999</v>
      </c>
    </row>
    <row r="3189" spans="1:12" x14ac:dyDescent="0.25">
      <c r="A3189">
        <v>3188</v>
      </c>
      <c r="B3189" s="3">
        <v>0.23658329087154284</v>
      </c>
      <c r="C3189" s="3">
        <v>6.553589861298513E-2</v>
      </c>
      <c r="D3189" s="1">
        <v>118416.93511464307</v>
      </c>
      <c r="E3189" s="1">
        <v>6524843</v>
      </c>
      <c r="F3189" s="1">
        <v>27439817</v>
      </c>
      <c r="G3189" s="16">
        <v>17389.436471076773</v>
      </c>
      <c r="H3189">
        <v>173.04</v>
      </c>
      <c r="I3189" s="1">
        <v>661.22</v>
      </c>
      <c r="J3189" s="16">
        <v>135806.37158571984</v>
      </c>
      <c r="K3189" s="5">
        <v>0.1575079210277</v>
      </c>
      <c r="L3189" s="10">
        <v>225448.65100000001</v>
      </c>
    </row>
    <row r="3190" spans="1:12" x14ac:dyDescent="0.25">
      <c r="A3190">
        <v>3189</v>
      </c>
      <c r="B3190" s="3">
        <v>0.19467716642243735</v>
      </c>
      <c r="C3190" s="3">
        <v>4.0556453540584944E-2</v>
      </c>
      <c r="D3190" s="1">
        <v>106913.49525847094</v>
      </c>
      <c r="E3190" s="1">
        <v>3831122</v>
      </c>
      <c r="F3190" s="1">
        <v>18561268</v>
      </c>
      <c r="G3190" s="16">
        <v>9795.0934429029658</v>
      </c>
      <c r="H3190">
        <v>54.06</v>
      </c>
      <c r="I3190" s="1">
        <v>217.83999999999997</v>
      </c>
      <c r="J3190" s="16">
        <v>116708.5887013739</v>
      </c>
      <c r="K3190" s="5">
        <v>0.27010443868530609</v>
      </c>
      <c r="L3190" s="10">
        <v>637851.7034</v>
      </c>
    </row>
    <row r="3191" spans="1:12" x14ac:dyDescent="0.25">
      <c r="A3191">
        <v>3190</v>
      </c>
      <c r="B3191" s="3">
        <v>0.12195298933178353</v>
      </c>
      <c r="C3191" s="3">
        <v>2.4353649709552453E-2</v>
      </c>
      <c r="D3191" s="1">
        <v>164477.84280101408</v>
      </c>
      <c r="E3191" s="1">
        <v>5898228</v>
      </c>
      <c r="F3191" s="1">
        <v>43201724</v>
      </c>
      <c r="G3191" s="16">
        <v>46648.734947377176</v>
      </c>
      <c r="H3191">
        <v>174.6</v>
      </c>
      <c r="I3191" s="1">
        <v>449.21000000000004</v>
      </c>
      <c r="J3191" s="16">
        <v>211126.57774839125</v>
      </c>
      <c r="K3191" s="5">
        <v>-3.2204590584587092E-2</v>
      </c>
      <c r="L3191" s="10">
        <v>-187186.35029999999</v>
      </c>
    </row>
    <row r="3192" spans="1:12" x14ac:dyDescent="0.25">
      <c r="A3192">
        <v>3191</v>
      </c>
      <c r="B3192" s="3">
        <v>0.117790687857695</v>
      </c>
      <c r="C3192" s="3">
        <v>5.500120951207596E-2</v>
      </c>
      <c r="D3192" s="1">
        <v>207575.49225895293</v>
      </c>
      <c r="E3192" s="1">
        <v>6413469</v>
      </c>
      <c r="F3192" s="1">
        <v>26339715</v>
      </c>
      <c r="G3192" s="16">
        <v>75622.534861280496</v>
      </c>
      <c r="H3192">
        <v>310.54000000000002</v>
      </c>
      <c r="I3192" s="1">
        <v>771.91000000000008</v>
      </c>
      <c r="J3192" s="16">
        <v>283198.0271202334</v>
      </c>
      <c r="K3192" s="5">
        <v>0.11222765196558845</v>
      </c>
      <c r="L3192" s="10">
        <v>458780.66930000001</v>
      </c>
    </row>
    <row r="3193" spans="1:12" x14ac:dyDescent="0.25">
      <c r="A3193">
        <v>3192</v>
      </c>
      <c r="B3193" s="3">
        <v>0.22661235931355486</v>
      </c>
      <c r="C3193" s="3">
        <v>2.0673304041585121E-2</v>
      </c>
      <c r="D3193" s="1">
        <v>227394.71393224003</v>
      </c>
      <c r="E3193" s="1">
        <v>15381447</v>
      </c>
      <c r="F3193" s="1">
        <v>65874374</v>
      </c>
      <c r="G3193" s="16">
        <v>16998.802858575174</v>
      </c>
      <c r="H3193">
        <v>154.47999999999999</v>
      </c>
      <c r="I3193" s="1">
        <v>391.44</v>
      </c>
      <c r="J3193" s="16">
        <v>244393.51679081522</v>
      </c>
      <c r="K3193" s="5">
        <v>2.050614542109705E-2</v>
      </c>
      <c r="L3193" s="10">
        <v>202529.53339999999</v>
      </c>
    </row>
    <row r="3194" spans="1:12" x14ac:dyDescent="0.25">
      <c r="A3194">
        <v>3193</v>
      </c>
      <c r="B3194" s="3">
        <v>0.1818391736038294</v>
      </c>
      <c r="C3194" s="3">
        <v>3.8134859374202253E-2</v>
      </c>
      <c r="D3194" s="1">
        <v>94535.431193479395</v>
      </c>
      <c r="E3194" s="1">
        <v>3230592</v>
      </c>
      <c r="F3194" s="1">
        <v>17305014</v>
      </c>
      <c r="G3194" s="16">
        <v>14895.198251450436</v>
      </c>
      <c r="H3194">
        <v>74.81</v>
      </c>
      <c r="I3194" s="1">
        <v>273.13</v>
      </c>
      <c r="J3194" s="16">
        <v>109430.62944492983</v>
      </c>
      <c r="K3194" s="5">
        <v>0.11859367854794005</v>
      </c>
      <c r="L3194" s="10">
        <v>277788.02529999998</v>
      </c>
    </row>
    <row r="3195" spans="1:12" x14ac:dyDescent="0.25">
      <c r="A3195">
        <v>3194</v>
      </c>
      <c r="B3195" s="3">
        <v>0.1778023840893917</v>
      </c>
      <c r="C3195" s="3">
        <v>3.5590061621342851E-2</v>
      </c>
      <c r="D3195" s="1">
        <v>138720.81994510506</v>
      </c>
      <c r="E3195" s="1">
        <v>5681197</v>
      </c>
      <c r="F3195" s="1">
        <v>23574590</v>
      </c>
      <c r="G3195" s="16">
        <v>15672.825336177459</v>
      </c>
      <c r="H3195">
        <v>76.27</v>
      </c>
      <c r="I3195" s="1">
        <v>258.38</v>
      </c>
      <c r="J3195" s="16">
        <v>154393.64528128252</v>
      </c>
      <c r="K3195" s="5">
        <v>0.10046379107856732</v>
      </c>
      <c r="L3195" s="10">
        <v>377136.47930000001</v>
      </c>
    </row>
    <row r="3196" spans="1:12" x14ac:dyDescent="0.25">
      <c r="A3196">
        <v>3195</v>
      </c>
      <c r="B3196" s="3">
        <v>0.24598810493580303</v>
      </c>
      <c r="C3196" s="3">
        <v>5.0315548779134342E-2</v>
      </c>
      <c r="D3196" s="1">
        <v>98522.691390847744</v>
      </c>
      <c r="E3196" s="1">
        <v>4301350</v>
      </c>
      <c r="F3196" s="1">
        <v>18814179</v>
      </c>
      <c r="G3196" s="16">
        <v>11813.053062360264</v>
      </c>
      <c r="H3196">
        <v>128.26</v>
      </c>
      <c r="I3196" s="1">
        <v>511.52</v>
      </c>
      <c r="J3196" s="16">
        <v>110335.74445320801</v>
      </c>
      <c r="K3196" s="5">
        <v>7.261445749644789E-2</v>
      </c>
      <c r="L3196" s="10">
        <v>137367.54999999999</v>
      </c>
    </row>
    <row r="3197" spans="1:12" x14ac:dyDescent="0.25">
      <c r="A3197">
        <v>3196</v>
      </c>
      <c r="B3197" s="3">
        <v>0.23156289890881696</v>
      </c>
      <c r="C3197" s="3">
        <v>6.2619922359859331E-2</v>
      </c>
      <c r="D3197" s="1">
        <v>319887.8867188358</v>
      </c>
      <c r="E3197" s="1">
        <v>22343914</v>
      </c>
      <c r="F3197" s="1">
        <v>63284418</v>
      </c>
      <c r="G3197" s="16">
        <v>14499.91003042079</v>
      </c>
      <c r="H3197">
        <v>138</v>
      </c>
      <c r="I3197" s="1">
        <v>436.94</v>
      </c>
      <c r="J3197" s="16">
        <v>334387.79674925661</v>
      </c>
      <c r="K3197" s="5">
        <v>5.7895982040440774E-2</v>
      </c>
      <c r="L3197" s="10">
        <v>222254.57089999999</v>
      </c>
    </row>
    <row r="3198" spans="1:12" x14ac:dyDescent="0.25">
      <c r="A3198">
        <v>3197</v>
      </c>
      <c r="B3198" s="3">
        <v>0.15944938571582037</v>
      </c>
      <c r="C3198" s="3">
        <v>7.1185143923449573E-2</v>
      </c>
      <c r="D3198" s="1">
        <v>219499.54321174315</v>
      </c>
      <c r="E3198" s="1">
        <v>9790780</v>
      </c>
      <c r="F3198" s="1">
        <v>45564228</v>
      </c>
      <c r="G3198" s="16">
        <v>18701.52530286969</v>
      </c>
      <c r="H3198">
        <v>79.91</v>
      </c>
      <c r="I3198" s="1">
        <v>236.16</v>
      </c>
      <c r="J3198" s="16">
        <v>238201.06851461285</v>
      </c>
      <c r="K3198" s="5">
        <v>8.4733916869931508E-2</v>
      </c>
      <c r="L3198" s="10">
        <v>260218.6875</v>
      </c>
    </row>
    <row r="3199" spans="1:12" x14ac:dyDescent="0.25">
      <c r="A3199">
        <v>3198</v>
      </c>
      <c r="B3199" s="3">
        <v>0.18840822418053127</v>
      </c>
      <c r="C3199" s="3">
        <v>7.964901770496835E-2</v>
      </c>
      <c r="D3199" s="1">
        <v>605576.98595775838</v>
      </c>
      <c r="E3199" s="1">
        <v>39659414</v>
      </c>
      <c r="F3199" s="1">
        <v>116299117</v>
      </c>
      <c r="G3199" s="16">
        <v>37685.453130911847</v>
      </c>
      <c r="H3199">
        <v>301.5</v>
      </c>
      <c r="I3199" s="1">
        <v>779.49</v>
      </c>
      <c r="J3199" s="16">
        <v>643262.43908867019</v>
      </c>
      <c r="K3199" s="5">
        <v>3.6762176300964552E-2</v>
      </c>
      <c r="L3199" s="10">
        <v>178522.04629999999</v>
      </c>
    </row>
    <row r="3200" spans="1:12" x14ac:dyDescent="0.25">
      <c r="A3200">
        <v>3199</v>
      </c>
      <c r="B3200" s="3">
        <v>0.22185931130840333</v>
      </c>
      <c r="C3200" s="3">
        <v>6.450431915024446E-2</v>
      </c>
      <c r="D3200" s="1">
        <v>71082.230599186587</v>
      </c>
      <c r="E3200" s="1">
        <v>2823510</v>
      </c>
      <c r="F3200" s="1">
        <v>17470665</v>
      </c>
      <c r="G3200" s="16">
        <v>20295.211707434421</v>
      </c>
      <c r="H3200">
        <v>176.56</v>
      </c>
      <c r="I3200" s="1">
        <v>412.62</v>
      </c>
      <c r="J3200" s="16">
        <v>91377.442306621</v>
      </c>
      <c r="K3200" s="5">
        <v>0.21893976593627623</v>
      </c>
      <c r="L3200" s="10">
        <v>231485.2213</v>
      </c>
    </row>
    <row r="3201" spans="1:12" x14ac:dyDescent="0.25">
      <c r="A3201">
        <v>3200</v>
      </c>
      <c r="B3201" s="3">
        <v>0.18370026157805266</v>
      </c>
      <c r="C3201" s="3">
        <v>2.588796724041869E-2</v>
      </c>
      <c r="D3201" s="1">
        <v>123003.09822618593</v>
      </c>
      <c r="E3201" s="1">
        <v>5184653</v>
      </c>
      <c r="F3201" s="1">
        <v>23280259</v>
      </c>
      <c r="G3201" s="16">
        <v>34030.071898846829</v>
      </c>
      <c r="H3201">
        <v>212.03</v>
      </c>
      <c r="I3201" s="1">
        <v>572.78</v>
      </c>
      <c r="J3201" s="16">
        <v>157033.17012503278</v>
      </c>
      <c r="K3201" s="5">
        <v>3.4942809766379417E-2</v>
      </c>
      <c r="L3201" s="10">
        <v>200561.7016</v>
      </c>
    </row>
    <row r="3202" spans="1:12" x14ac:dyDescent="0.25">
      <c r="A3202">
        <v>3201</v>
      </c>
      <c r="B3202" s="3">
        <v>0.1775197197625909</v>
      </c>
      <c r="C3202" s="3">
        <v>5.1514909647650223E-2</v>
      </c>
      <c r="D3202" s="1">
        <v>202646.35107529815</v>
      </c>
      <c r="E3202" s="1">
        <v>8287804</v>
      </c>
      <c r="F3202" s="1">
        <v>35142325</v>
      </c>
      <c r="G3202" s="16">
        <v>20913.52928883311</v>
      </c>
      <c r="H3202">
        <v>101.51</v>
      </c>
      <c r="I3202" s="1">
        <v>260.29000000000002</v>
      </c>
      <c r="J3202" s="16">
        <v>223559.88036413127</v>
      </c>
      <c r="K3202" s="5">
        <v>0.14494293972674063</v>
      </c>
      <c r="L3202" s="10">
        <v>477623.46889999998</v>
      </c>
    </row>
    <row r="3203" spans="1:12" x14ac:dyDescent="0.25">
      <c r="A3203">
        <v>3202</v>
      </c>
      <c r="B3203" s="3">
        <v>0.19761109505317698</v>
      </c>
      <c r="C3203" s="3">
        <v>5.8944330720782145E-2</v>
      </c>
      <c r="D3203" s="1">
        <v>175465.86415070025</v>
      </c>
      <c r="E3203" s="1">
        <v>7922378</v>
      </c>
      <c r="F3203" s="1">
        <v>24906135</v>
      </c>
      <c r="G3203" s="16">
        <v>36300.006146712811</v>
      </c>
      <c r="H3203">
        <v>255.09</v>
      </c>
      <c r="I3203" s="1">
        <v>608.86</v>
      </c>
      <c r="J3203" s="16">
        <v>211765.87029741306</v>
      </c>
      <c r="K3203" s="5">
        <v>3.8217630244029563E-2</v>
      </c>
      <c r="L3203" s="10">
        <v>77371.512300000002</v>
      </c>
    </row>
    <row r="3204" spans="1:12" x14ac:dyDescent="0.25">
      <c r="A3204">
        <v>3203</v>
      </c>
      <c r="B3204" s="3">
        <v>0.16622308431294669</v>
      </c>
      <c r="C3204" s="3">
        <v>6.481822641781855E-2</v>
      </c>
      <c r="D3204" s="1">
        <v>182128.60166873608</v>
      </c>
      <c r="E3204" s="1">
        <v>7053128</v>
      </c>
      <c r="F3204" s="1">
        <v>33570528</v>
      </c>
      <c r="G3204" s="16">
        <v>25633.479727196431</v>
      </c>
      <c r="H3204">
        <v>137.63999999999999</v>
      </c>
      <c r="I3204" s="1">
        <v>575.39</v>
      </c>
      <c r="J3204" s="16">
        <v>207762.0813959325</v>
      </c>
      <c r="K3204" s="5">
        <v>2.5151408284942538E-2</v>
      </c>
      <c r="L3204" s="10">
        <v>90148.135899999994</v>
      </c>
    </row>
    <row r="3205" spans="1:12" x14ac:dyDescent="0.25">
      <c r="A3205">
        <v>3204</v>
      </c>
      <c r="B3205" s="3">
        <v>0.2298199528604771</v>
      </c>
      <c r="C3205" s="3">
        <v>4.9636610531383123E-2</v>
      </c>
      <c r="D3205" s="1">
        <v>185288.86494525996</v>
      </c>
      <c r="E3205" s="1">
        <v>9855598</v>
      </c>
      <c r="F3205" s="1">
        <v>30344518</v>
      </c>
      <c r="G3205" s="16">
        <v>13085.434604330621</v>
      </c>
      <c r="H3205">
        <v>94.25</v>
      </c>
      <c r="I3205" s="1">
        <v>357.59999999999997</v>
      </c>
      <c r="J3205" s="16">
        <v>198374.29954959059</v>
      </c>
      <c r="K3205" s="5">
        <v>-3.3206744827349803E-2</v>
      </c>
      <c r="L3205" s="10">
        <v>-77924.115900000004</v>
      </c>
    </row>
    <row r="3206" spans="1:12" x14ac:dyDescent="0.25">
      <c r="A3206">
        <v>3205</v>
      </c>
      <c r="B3206" s="3">
        <v>0.10766536375744058</v>
      </c>
      <c r="C3206" s="3">
        <v>5.8820692181437081E-2</v>
      </c>
      <c r="D3206" s="1">
        <v>309171.29492377496</v>
      </c>
      <c r="E3206" s="1">
        <v>10227341</v>
      </c>
      <c r="F3206" s="1">
        <v>46667479</v>
      </c>
      <c r="G3206" s="16">
        <v>48762.833348423359</v>
      </c>
      <c r="H3206">
        <v>145.31</v>
      </c>
      <c r="I3206" s="1">
        <v>362.95</v>
      </c>
      <c r="J3206" s="16">
        <v>357934.12827219832</v>
      </c>
      <c r="K3206" s="5">
        <v>7.4431220566570616E-2</v>
      </c>
      <c r="L3206" s="10">
        <v>319554.87579999998</v>
      </c>
    </row>
    <row r="3207" spans="1:12" x14ac:dyDescent="0.25">
      <c r="A3207">
        <v>3206</v>
      </c>
      <c r="B3207" s="3">
        <v>0.11659325604919281</v>
      </c>
      <c r="C3207" s="3">
        <v>2.0594908735774145E-2</v>
      </c>
      <c r="D3207" s="1">
        <v>102298.93751993815</v>
      </c>
      <c r="E3207" s="1">
        <v>2777106</v>
      </c>
      <c r="F3207" s="1">
        <v>20360913</v>
      </c>
      <c r="G3207" s="16">
        <v>23026.135620067958</v>
      </c>
      <c r="H3207">
        <v>72.94</v>
      </c>
      <c r="I3207" s="1">
        <v>263.14</v>
      </c>
      <c r="J3207" s="16">
        <v>125325.0731400061</v>
      </c>
      <c r="K3207" s="5">
        <v>9.0284815418751135E-2</v>
      </c>
      <c r="L3207" s="10">
        <v>526171.65579999995</v>
      </c>
    </row>
    <row r="3208" spans="1:12" x14ac:dyDescent="0.25">
      <c r="A3208">
        <v>3207</v>
      </c>
      <c r="B3208" s="3">
        <v>0.1498702137474113</v>
      </c>
      <c r="C3208" s="3">
        <v>6.7354177848746394E-2</v>
      </c>
      <c r="D3208" s="1">
        <v>271050.11254602869</v>
      </c>
      <c r="E3208" s="1">
        <v>11424209</v>
      </c>
      <c r="F3208" s="1">
        <v>50388390</v>
      </c>
      <c r="G3208" s="16">
        <v>17258.829955875273</v>
      </c>
      <c r="H3208">
        <v>68.739999999999995</v>
      </c>
      <c r="I3208" s="1">
        <v>228.92000000000002</v>
      </c>
      <c r="J3208" s="16">
        <v>288308.94250190398</v>
      </c>
      <c r="K3208" s="5">
        <v>0.15686257117518226</v>
      </c>
      <c r="L3208" s="10">
        <v>467904.73450000002</v>
      </c>
    </row>
    <row r="3209" spans="1:12" x14ac:dyDescent="0.25">
      <c r="A3209">
        <v>3208</v>
      </c>
      <c r="B3209" s="3">
        <v>0.17092161276641643</v>
      </c>
      <c r="C3209" s="3">
        <v>6.0569016975856718E-2</v>
      </c>
      <c r="D3209" s="1">
        <v>88094.651310071742</v>
      </c>
      <c r="E3209" s="1">
        <v>2893114</v>
      </c>
      <c r="F3209" s="1">
        <v>17644033</v>
      </c>
      <c r="G3209" s="16">
        <v>15921.358979469271</v>
      </c>
      <c r="H3209">
        <v>89.05</v>
      </c>
      <c r="I3209" s="1">
        <v>404.66</v>
      </c>
      <c r="J3209" s="16">
        <v>104016.01028954101</v>
      </c>
      <c r="K3209" s="5">
        <v>-7.9976318354714887E-3</v>
      </c>
      <c r="L3209" s="10">
        <v>-13878.5815</v>
      </c>
    </row>
    <row r="3210" spans="1:12" x14ac:dyDescent="0.25">
      <c r="A3210">
        <v>3209</v>
      </c>
      <c r="B3210" s="3">
        <v>0.21003714735317006</v>
      </c>
      <c r="C3210" s="3">
        <v>3.7592767795031623E-2</v>
      </c>
      <c r="D3210" s="1">
        <v>364844.04264525208</v>
      </c>
      <c r="E3210" s="1">
        <v>22196089</v>
      </c>
      <c r="F3210" s="1">
        <v>77339225</v>
      </c>
      <c r="G3210" s="16">
        <v>38478.038934496559</v>
      </c>
      <c r="H3210">
        <v>301.42</v>
      </c>
      <c r="I3210" s="1">
        <v>713.87</v>
      </c>
      <c r="J3210" s="16">
        <v>403322.08157974866</v>
      </c>
      <c r="K3210" s="5">
        <v>4.1838132940752101E-2</v>
      </c>
      <c r="L3210" s="10">
        <v>372691.3922</v>
      </c>
    </row>
    <row r="3211" spans="1:12" x14ac:dyDescent="0.25">
      <c r="A3211">
        <v>3210</v>
      </c>
      <c r="B3211" s="3">
        <v>0.17537233168693467</v>
      </c>
      <c r="C3211" s="3">
        <v>7.9038979342182791E-2</v>
      </c>
      <c r="D3211" s="1">
        <v>101579.21262256411</v>
      </c>
      <c r="E3211" s="1">
        <v>3390269</v>
      </c>
      <c r="F3211" s="1">
        <v>20488388</v>
      </c>
      <c r="G3211" s="16">
        <v>27378.095685373359</v>
      </c>
      <c r="H3211">
        <v>158.88999999999999</v>
      </c>
      <c r="I3211" s="1">
        <v>436.93999999999994</v>
      </c>
      <c r="J3211" s="16">
        <v>128957.30830793746</v>
      </c>
      <c r="K3211" s="5">
        <v>3.8778776076528243E-2</v>
      </c>
      <c r="L3211" s="10">
        <v>75368.398799999995</v>
      </c>
    </row>
    <row r="3212" spans="1:12" x14ac:dyDescent="0.25">
      <c r="A3212">
        <v>3211</v>
      </c>
      <c r="B3212" s="3">
        <v>0.18997920889581565</v>
      </c>
      <c r="C3212" s="3">
        <v>7.3405378821533154E-2</v>
      </c>
      <c r="D3212" s="1">
        <v>109818.09388928217</v>
      </c>
      <c r="E3212" s="1">
        <v>3867136</v>
      </c>
      <c r="F3212" s="1">
        <v>16934472</v>
      </c>
      <c r="G3212" s="16">
        <v>26132.152369639392</v>
      </c>
      <c r="H3212">
        <v>171.83</v>
      </c>
      <c r="I3212" s="1">
        <v>423.15999999999997</v>
      </c>
      <c r="J3212" s="16">
        <v>135950.24625892157</v>
      </c>
      <c r="K3212" s="5">
        <v>2.0085500383090042E-2</v>
      </c>
      <c r="L3212" s="10">
        <v>46476.075599999996</v>
      </c>
    </row>
    <row r="3213" spans="1:12" x14ac:dyDescent="0.25">
      <c r="A3213">
        <v>3212</v>
      </c>
      <c r="B3213" s="3">
        <v>0.10385503825272979</v>
      </c>
      <c r="C3213" s="3">
        <v>6.5004158141833759E-2</v>
      </c>
      <c r="D3213" s="1">
        <v>374783.82797445066</v>
      </c>
      <c r="E3213" s="1">
        <v>10876035</v>
      </c>
      <c r="F3213" s="1">
        <v>42684531</v>
      </c>
      <c r="G3213" s="16">
        <v>27109.210958742224</v>
      </c>
      <c r="H3213">
        <v>78.52</v>
      </c>
      <c r="I3213" s="1">
        <v>273.77</v>
      </c>
      <c r="J3213" s="16">
        <v>401893.0389331929</v>
      </c>
      <c r="K3213" s="5">
        <v>9.6573368576704288E-2</v>
      </c>
      <c r="L3213" s="10">
        <v>366756.0699</v>
      </c>
    </row>
    <row r="3214" spans="1:12" x14ac:dyDescent="0.25">
      <c r="A3214">
        <v>3213</v>
      </c>
      <c r="B3214" s="3">
        <v>0.1986477634356057</v>
      </c>
      <c r="C3214" s="3">
        <v>2.7227955024429616E-2</v>
      </c>
      <c r="D3214" s="1">
        <v>122750.11672921228</v>
      </c>
      <c r="E3214" s="1">
        <v>4464311</v>
      </c>
      <c r="F3214" s="1">
        <v>21360719</v>
      </c>
      <c r="G3214" s="16">
        <v>34211.702252083676</v>
      </c>
      <c r="H3214">
        <v>242.49</v>
      </c>
      <c r="I3214" s="1">
        <v>696.34</v>
      </c>
      <c r="J3214" s="16">
        <v>156961.81898129598</v>
      </c>
      <c r="K3214" s="5">
        <v>0.17075238436294932</v>
      </c>
      <c r="L3214" s="10">
        <v>860967.60649999999</v>
      </c>
    </row>
    <row r="3215" spans="1:12" x14ac:dyDescent="0.25">
      <c r="A3215">
        <v>3214</v>
      </c>
      <c r="B3215" s="3">
        <v>0.24785283882075593</v>
      </c>
      <c r="C3215" s="3">
        <v>6.7938131394245732E-2</v>
      </c>
      <c r="D3215" s="1">
        <v>201493.97101242133</v>
      </c>
      <c r="E3215" s="1">
        <v>15665733</v>
      </c>
      <c r="F3215" s="1">
        <v>48362121</v>
      </c>
      <c r="G3215" s="16">
        <v>14026.753906017289</v>
      </c>
      <c r="H3215">
        <v>155.02000000000001</v>
      </c>
      <c r="I3215" s="1">
        <v>496.70000000000005</v>
      </c>
      <c r="J3215" s="16">
        <v>215520.72491843862</v>
      </c>
      <c r="K3215" s="5">
        <v>0.16366891033087286</v>
      </c>
      <c r="L3215" s="10">
        <v>377477.38380000001</v>
      </c>
    </row>
    <row r="3216" spans="1:12" x14ac:dyDescent="0.25">
      <c r="A3216">
        <v>3215</v>
      </c>
      <c r="B3216" s="3">
        <v>0.18416289854710591</v>
      </c>
      <c r="C3216" s="3">
        <v>7.0386779620380993E-2</v>
      </c>
      <c r="D3216" s="1">
        <v>373420.41943577497</v>
      </c>
      <c r="E3216" s="1">
        <v>19336761</v>
      </c>
      <c r="F3216" s="1">
        <v>75706345</v>
      </c>
      <c r="G3216" s="16">
        <v>13802.156969550928</v>
      </c>
      <c r="H3216">
        <v>70.37</v>
      </c>
      <c r="I3216" s="1">
        <v>265.74</v>
      </c>
      <c r="J3216" s="16">
        <v>387222.5764053259</v>
      </c>
      <c r="K3216" s="5">
        <v>4.2702437799773396E-2</v>
      </c>
      <c r="L3216" s="10">
        <v>218756.53659999999</v>
      </c>
    </row>
    <row r="3217" spans="1:12" x14ac:dyDescent="0.25">
      <c r="A3217">
        <v>3216</v>
      </c>
      <c r="B3217" s="3">
        <v>0.20251359568268198</v>
      </c>
      <c r="C3217" s="3">
        <v>2.8086342879766107E-2</v>
      </c>
      <c r="D3217" s="1">
        <v>268098.64061254129</v>
      </c>
      <c r="E3217" s="1">
        <v>15555405</v>
      </c>
      <c r="F3217" s="1">
        <v>55487816</v>
      </c>
      <c r="G3217" s="16">
        <v>16303.106744898436</v>
      </c>
      <c r="H3217">
        <v>119.77</v>
      </c>
      <c r="I3217" s="1">
        <v>386.55</v>
      </c>
      <c r="J3217" s="16">
        <v>284401.74735743972</v>
      </c>
      <c r="K3217" s="5">
        <v>0.1252084451462572</v>
      </c>
      <c r="L3217" s="10">
        <v>1026204.9133</v>
      </c>
    </row>
    <row r="3218" spans="1:12" x14ac:dyDescent="0.25">
      <c r="A3218">
        <v>3217</v>
      </c>
      <c r="B3218" s="3">
        <v>0.14431781629206603</v>
      </c>
      <c r="C3218" s="3">
        <v>7.8954517169901872E-2</v>
      </c>
      <c r="D3218" s="1">
        <v>131013.31765133096</v>
      </c>
      <c r="E3218" s="1">
        <v>3913640</v>
      </c>
      <c r="F3218" s="1">
        <v>17489655</v>
      </c>
      <c r="G3218" s="16">
        <v>36394.67239803679</v>
      </c>
      <c r="H3218">
        <v>163.12</v>
      </c>
      <c r="I3218" s="1">
        <v>494.84000000000003</v>
      </c>
      <c r="J3218" s="16">
        <v>167407.99004936774</v>
      </c>
      <c r="K3218" s="5">
        <v>9.2509048734556745E-2</v>
      </c>
      <c r="L3218" s="10">
        <v>107697.0632</v>
      </c>
    </row>
    <row r="3219" spans="1:12" x14ac:dyDescent="0.25">
      <c r="A3219">
        <v>3218</v>
      </c>
      <c r="B3219" s="3">
        <v>0.20297544062325315</v>
      </c>
      <c r="C3219" s="3">
        <v>3.4406953794137107E-2</v>
      </c>
      <c r="D3219" s="1">
        <v>111411.69663638102</v>
      </c>
      <c r="E3219" s="1">
        <v>5167099</v>
      </c>
      <c r="F3219" s="1">
        <v>25684405</v>
      </c>
      <c r="G3219" s="16">
        <v>17037.068942263246</v>
      </c>
      <c r="H3219">
        <v>99.74</v>
      </c>
      <c r="I3219" s="1">
        <v>299.42</v>
      </c>
      <c r="J3219" s="16">
        <v>128448.76557864426</v>
      </c>
      <c r="K3219" s="5">
        <v>8.3734340105151586E-2</v>
      </c>
      <c r="L3219" s="10">
        <v>253638.39739999999</v>
      </c>
    </row>
    <row r="3220" spans="1:12" x14ac:dyDescent="0.25">
      <c r="A3220">
        <v>3219</v>
      </c>
      <c r="B3220" s="3">
        <v>0.21270530266387991</v>
      </c>
      <c r="C3220" s="3">
        <v>3.2792880223925736E-2</v>
      </c>
      <c r="D3220" s="1">
        <v>238144.55285877577</v>
      </c>
      <c r="E3220" s="1">
        <v>14735223</v>
      </c>
      <c r="F3220" s="1">
        <v>52298711</v>
      </c>
      <c r="G3220" s="16">
        <v>10817.796328010347</v>
      </c>
      <c r="H3220">
        <v>53.89</v>
      </c>
      <c r="I3220" s="1">
        <v>185.08999999999997</v>
      </c>
      <c r="J3220" s="16">
        <v>248962.34918678613</v>
      </c>
      <c r="K3220" s="5">
        <v>1.6040468274277308E-2</v>
      </c>
      <c r="L3220" s="10">
        <v>153463.07060000001</v>
      </c>
    </row>
    <row r="3221" spans="1:12" x14ac:dyDescent="0.25">
      <c r="A3221">
        <v>3220</v>
      </c>
      <c r="B3221" s="3">
        <v>0.17294270805891229</v>
      </c>
      <c r="C3221" s="3">
        <v>2.6925003175380754E-2</v>
      </c>
      <c r="D3221" s="1">
        <v>80492.913461547956</v>
      </c>
      <c r="E3221" s="1">
        <v>2662897</v>
      </c>
      <c r="F3221" s="1">
        <v>12678594</v>
      </c>
      <c r="G3221" s="16">
        <v>26485.817264502959</v>
      </c>
      <c r="H3221">
        <v>124.41</v>
      </c>
      <c r="I3221" s="1">
        <v>370</v>
      </c>
      <c r="J3221" s="16">
        <v>106978.73072605091</v>
      </c>
      <c r="K3221" s="5">
        <v>0.19528617607115756</v>
      </c>
      <c r="L3221" s="10">
        <v>673323.71719999996</v>
      </c>
    </row>
    <row r="3222" spans="1:12" x14ac:dyDescent="0.25">
      <c r="A3222">
        <v>3221</v>
      </c>
      <c r="B3222" s="3">
        <v>0.22550141481247257</v>
      </c>
      <c r="C3222" s="3">
        <v>4.8913296934794237E-2</v>
      </c>
      <c r="D3222" s="1">
        <v>107143.50067744163</v>
      </c>
      <c r="E3222" s="1">
        <v>4316257</v>
      </c>
      <c r="F3222" s="1">
        <v>17700117</v>
      </c>
      <c r="G3222" s="16">
        <v>29603.194702832916</v>
      </c>
      <c r="H3222">
        <v>266.60000000000002</v>
      </c>
      <c r="I3222" s="1">
        <v>634.43000000000006</v>
      </c>
      <c r="J3222" s="16">
        <v>136746.69538027456</v>
      </c>
      <c r="K3222" s="5">
        <v>0.1891996010559191</v>
      </c>
      <c r="L3222" s="10">
        <v>382355.7855</v>
      </c>
    </row>
    <row r="3223" spans="1:12" x14ac:dyDescent="0.25">
      <c r="A3223">
        <v>3222</v>
      </c>
      <c r="B3223" s="3">
        <v>0.18254034243932543</v>
      </c>
      <c r="C3223" s="3">
        <v>4.3478708379292158E-2</v>
      </c>
      <c r="D3223" s="1">
        <v>74784.052571159671</v>
      </c>
      <c r="E3223" s="1">
        <v>2562195</v>
      </c>
      <c r="F3223" s="1">
        <v>15716447</v>
      </c>
      <c r="G3223" s="16">
        <v>29766.678566817616</v>
      </c>
      <c r="H3223">
        <v>183.52</v>
      </c>
      <c r="I3223" s="1">
        <v>554.79</v>
      </c>
      <c r="J3223" s="16">
        <v>104550.73113797729</v>
      </c>
      <c r="K3223" s="5">
        <v>2.983549899019761E-2</v>
      </c>
      <c r="L3223" s="10">
        <v>53724.853999999999</v>
      </c>
    </row>
    <row r="3224" spans="1:12" x14ac:dyDescent="0.25">
      <c r="A3224">
        <v>3223</v>
      </c>
      <c r="B3224" s="3">
        <v>0.13206408138293826</v>
      </c>
      <c r="C3224" s="3">
        <v>2.8401434264133461E-2</v>
      </c>
      <c r="D3224" s="1">
        <v>116659.32470543413</v>
      </c>
      <c r="E3224" s="1">
        <v>3339325</v>
      </c>
      <c r="F3224" s="1">
        <v>14157754</v>
      </c>
      <c r="G3224" s="16">
        <v>45494.180952282688</v>
      </c>
      <c r="H3224">
        <v>184.23</v>
      </c>
      <c r="I3224" s="1">
        <v>615.38</v>
      </c>
      <c r="J3224" s="16">
        <v>162153.50565771683</v>
      </c>
      <c r="K3224" s="5">
        <v>-2.0743901701074166E-3</v>
      </c>
      <c r="L3224" s="10">
        <v>19830.655599999998</v>
      </c>
    </row>
    <row r="3225" spans="1:12" x14ac:dyDescent="0.25">
      <c r="A3225">
        <v>3224</v>
      </c>
      <c r="B3225" s="3">
        <v>0.20398247145264897</v>
      </c>
      <c r="C3225" s="3">
        <v>2.1086031165606728E-2</v>
      </c>
      <c r="D3225" s="1">
        <v>100640.72427096713</v>
      </c>
      <c r="E3225" s="1">
        <v>3734301</v>
      </c>
      <c r="F3225" s="1">
        <v>19901353</v>
      </c>
      <c r="G3225" s="16">
        <v>7264.3180108479637</v>
      </c>
      <c r="H3225">
        <v>34.119999999999997</v>
      </c>
      <c r="I3225" s="1">
        <v>149.98999999999998</v>
      </c>
      <c r="J3225" s="16">
        <v>107905.04228181508</v>
      </c>
      <c r="K3225" s="5">
        <v>-5.4061946453207291E-2</v>
      </c>
      <c r="L3225" s="10">
        <v>-204822.236</v>
      </c>
    </row>
    <row r="3226" spans="1:12" x14ac:dyDescent="0.25">
      <c r="A3226">
        <v>3225</v>
      </c>
      <c r="B3226" s="3">
        <v>0.10611538406889003</v>
      </c>
      <c r="C3226" s="3">
        <v>6.8598590790386119E-2</v>
      </c>
      <c r="D3226" s="1">
        <v>272438.1394304586</v>
      </c>
      <c r="E3226" s="1">
        <v>7986280</v>
      </c>
      <c r="F3226" s="1">
        <v>40952796</v>
      </c>
      <c r="G3226" s="16">
        <v>44182.876763025677</v>
      </c>
      <c r="H3226">
        <v>145.77000000000001</v>
      </c>
      <c r="I3226" s="1">
        <v>415.87</v>
      </c>
      <c r="J3226" s="16">
        <v>316621.01619348431</v>
      </c>
      <c r="K3226" s="5">
        <v>0.14747095097737339</v>
      </c>
      <c r="L3226" s="10">
        <v>490810.49469999998</v>
      </c>
    </row>
    <row r="3227" spans="1:12" x14ac:dyDescent="0.25">
      <c r="A3227">
        <v>3226</v>
      </c>
      <c r="B3227" s="3">
        <v>0.20913783458636764</v>
      </c>
      <c r="C3227" s="3">
        <v>6.8993217152155936E-2</v>
      </c>
      <c r="D3227" s="1">
        <v>223148.75629421766</v>
      </c>
      <c r="E3227" s="1">
        <v>10675643</v>
      </c>
      <c r="F3227" s="1">
        <v>39874652</v>
      </c>
      <c r="G3227" s="16">
        <v>26458.560299076442</v>
      </c>
      <c r="H3227">
        <v>205.64</v>
      </c>
      <c r="I3227" s="1">
        <v>639.34999999999991</v>
      </c>
      <c r="J3227" s="16">
        <v>249607.31659329409</v>
      </c>
      <c r="K3227" s="5">
        <v>-1.8298727287995243E-2</v>
      </c>
      <c r="L3227" s="10">
        <v>-603.22479999999996</v>
      </c>
    </row>
    <row r="3228" spans="1:12" x14ac:dyDescent="0.25">
      <c r="A3228">
        <v>3227</v>
      </c>
      <c r="B3228" s="3">
        <v>0.18763369776180661</v>
      </c>
      <c r="C3228" s="3">
        <v>5.6503490689176469E-2</v>
      </c>
      <c r="D3228" s="1">
        <v>44128.876954873536</v>
      </c>
      <c r="E3228" s="1">
        <v>1251476</v>
      </c>
      <c r="F3228" s="1">
        <v>7446058</v>
      </c>
      <c r="G3228" s="16">
        <v>7411.857704515397</v>
      </c>
      <c r="H3228">
        <v>31.53</v>
      </c>
      <c r="I3228" s="1">
        <v>167.1</v>
      </c>
      <c r="J3228" s="16">
        <v>51540.734659388931</v>
      </c>
      <c r="K3228" s="5">
        <v>5.4024567217192343E-2</v>
      </c>
      <c r="L3228" s="10">
        <v>54658.243699999999</v>
      </c>
    </row>
    <row r="3229" spans="1:12" x14ac:dyDescent="0.25">
      <c r="A3229">
        <v>3228</v>
      </c>
      <c r="B3229" s="3">
        <v>0.15198240360328044</v>
      </c>
      <c r="C3229" s="3">
        <v>6.2470546548648073E-2</v>
      </c>
      <c r="D3229" s="1">
        <v>296481.77400428039</v>
      </c>
      <c r="E3229" s="1">
        <v>12652502</v>
      </c>
      <c r="F3229" s="1">
        <v>49268390</v>
      </c>
      <c r="G3229" s="16">
        <v>18152.519065207245</v>
      </c>
      <c r="H3229">
        <v>73.34</v>
      </c>
      <c r="I3229" s="1">
        <v>232.66</v>
      </c>
      <c r="J3229" s="16">
        <v>314634.29306948761</v>
      </c>
      <c r="K3229" s="5">
        <v>9.3065808427249264E-2</v>
      </c>
      <c r="L3229" s="10">
        <v>349467.54139999999</v>
      </c>
    </row>
    <row r="3230" spans="1:12" x14ac:dyDescent="0.25">
      <c r="A3230">
        <v>3229</v>
      </c>
      <c r="B3230" s="3">
        <v>0.15245655476679443</v>
      </c>
      <c r="C3230" s="3">
        <v>3.9156680236428265E-2</v>
      </c>
      <c r="D3230" s="1">
        <v>79028.197153951958</v>
      </c>
      <c r="E3230" s="1">
        <v>2866404</v>
      </c>
      <c r="F3230" s="1">
        <v>23268529</v>
      </c>
      <c r="G3230" s="16">
        <v>15828.982158125933</v>
      </c>
      <c r="H3230">
        <v>64.28</v>
      </c>
      <c r="I3230" s="1">
        <v>349.19999999999993</v>
      </c>
      <c r="J3230" s="16">
        <v>94857.179312077889</v>
      </c>
      <c r="K3230" s="5">
        <v>7.1183327497867252E-2</v>
      </c>
      <c r="L3230" s="10">
        <v>166190.99309999999</v>
      </c>
    </row>
    <row r="3231" spans="1:12" x14ac:dyDescent="0.25">
      <c r="A3231">
        <v>3230</v>
      </c>
      <c r="B3231" s="3">
        <v>0.13927270316565671</v>
      </c>
      <c r="C3231" s="3">
        <v>2.5971304630732221E-2</v>
      </c>
      <c r="D3231" s="1">
        <v>83967.1906000007</v>
      </c>
      <c r="E3231" s="1">
        <v>2464424</v>
      </c>
      <c r="F3231" s="1">
        <v>16554521</v>
      </c>
      <c r="G3231" s="16">
        <v>44842.317015469991</v>
      </c>
      <c r="H3231">
        <v>192.71</v>
      </c>
      <c r="I3231" s="1">
        <v>469.29000000000008</v>
      </c>
      <c r="J3231" s="16">
        <v>128809.50761547069</v>
      </c>
      <c r="K3231" s="5">
        <v>9.0160971094123271E-3</v>
      </c>
      <c r="L3231" s="10">
        <v>87469.025299999994</v>
      </c>
    </row>
    <row r="3232" spans="1:12" x14ac:dyDescent="0.25">
      <c r="A3232">
        <v>3231</v>
      </c>
      <c r="B3232" s="3">
        <v>0.1078809900365213</v>
      </c>
      <c r="C3232" s="3">
        <v>5.2762635883141701E-2</v>
      </c>
      <c r="D3232" s="1">
        <v>266164.67851679685</v>
      </c>
      <c r="E3232" s="1">
        <v>7864343</v>
      </c>
      <c r="F3232" s="1">
        <v>24360691</v>
      </c>
      <c r="G3232" s="16">
        <v>59254.567054710649</v>
      </c>
      <c r="H3232">
        <v>198.1</v>
      </c>
      <c r="I3232" s="1">
        <v>591.36</v>
      </c>
      <c r="J3232" s="16">
        <v>325419.24557150749</v>
      </c>
      <c r="K3232" s="5">
        <v>9.8684694178146695E-2</v>
      </c>
      <c r="L3232" s="10">
        <v>432515.4411</v>
      </c>
    </row>
    <row r="3233" spans="1:12" x14ac:dyDescent="0.25">
      <c r="A3233">
        <v>3232</v>
      </c>
      <c r="B3233" s="3">
        <v>0.21139336319606056</v>
      </c>
      <c r="C3233" s="3">
        <v>6.2083888813050561E-2</v>
      </c>
      <c r="D3233" s="1">
        <v>107301.51067937809</v>
      </c>
      <c r="E3233" s="1">
        <v>4094756</v>
      </c>
      <c r="F3233" s="1">
        <v>16829661</v>
      </c>
      <c r="G3233" s="16">
        <v>7488.7699621749898</v>
      </c>
      <c r="H3233">
        <v>37.020000000000003</v>
      </c>
      <c r="I3233" s="1">
        <v>162.02000000000001</v>
      </c>
      <c r="J3233" s="16">
        <v>114790.28064155308</v>
      </c>
      <c r="K3233" s="5">
        <v>0.10655512747571734</v>
      </c>
      <c r="L3233" s="10">
        <v>147355.35250000001</v>
      </c>
    </row>
    <row r="3234" spans="1:12" x14ac:dyDescent="0.25">
      <c r="A3234">
        <v>3233</v>
      </c>
      <c r="B3234" s="3">
        <v>0.10998434845005524</v>
      </c>
      <c r="C3234" s="3">
        <v>4.6534106591410926E-2</v>
      </c>
      <c r="D3234" s="1">
        <v>311035.88838063076</v>
      </c>
      <c r="E3234" s="1">
        <v>9277329</v>
      </c>
      <c r="F3234" s="1">
        <v>30331315</v>
      </c>
      <c r="G3234" s="16">
        <v>43860.764503463928</v>
      </c>
      <c r="H3234">
        <v>149.12</v>
      </c>
      <c r="I3234" s="1">
        <v>514.71</v>
      </c>
      <c r="J3234" s="16">
        <v>354896.65288409468</v>
      </c>
      <c r="K3234" s="5">
        <v>0.16166581438987954</v>
      </c>
      <c r="L3234" s="10">
        <v>913826.9057</v>
      </c>
    </row>
    <row r="3235" spans="1:12" x14ac:dyDescent="0.25">
      <c r="A3235">
        <v>3234</v>
      </c>
      <c r="B3235" s="3">
        <v>0.16651620912787451</v>
      </c>
      <c r="C3235" s="3">
        <v>6.3901048754355441E-2</v>
      </c>
      <c r="D3235" s="1">
        <v>498378.12045403791</v>
      </c>
      <c r="E3235" s="1">
        <v>23188677</v>
      </c>
      <c r="F3235" s="1">
        <v>79568166</v>
      </c>
      <c r="G3235" s="16">
        <v>19172.10276281874</v>
      </c>
      <c r="H3235">
        <v>85.9</v>
      </c>
      <c r="I3235" s="1">
        <v>235.31000000000003</v>
      </c>
      <c r="J3235" s="16">
        <v>517550.22321685666</v>
      </c>
      <c r="K3235" s="5">
        <v>0.14404570576596581</v>
      </c>
      <c r="L3235" s="10">
        <v>823138.18449999997</v>
      </c>
    </row>
    <row r="3236" spans="1:12" x14ac:dyDescent="0.25">
      <c r="A3236">
        <v>3235</v>
      </c>
      <c r="B3236" s="3">
        <v>0.15699333715716435</v>
      </c>
      <c r="C3236" s="3">
        <v>2.2571595285300717E-2</v>
      </c>
      <c r="D3236" s="1">
        <v>529989.11750799534</v>
      </c>
      <c r="E3236" s="1">
        <v>23297790</v>
      </c>
      <c r="F3236" s="1">
        <v>62994855</v>
      </c>
      <c r="G3236" s="16">
        <v>33311.170897975811</v>
      </c>
      <c r="H3236">
        <v>165.71</v>
      </c>
      <c r="I3236" s="1">
        <v>473.02</v>
      </c>
      <c r="J3236" s="16">
        <v>563300.28840597114</v>
      </c>
      <c r="K3236" s="5">
        <v>0.18944170430800972</v>
      </c>
      <c r="L3236" s="10">
        <v>4003902.7080999999</v>
      </c>
    </row>
    <row r="3237" spans="1:12" x14ac:dyDescent="0.25">
      <c r="A3237">
        <v>3236</v>
      </c>
      <c r="B3237" s="3">
        <v>0.10939942334653639</v>
      </c>
      <c r="C3237" s="3">
        <v>2.1068422520205826E-2</v>
      </c>
      <c r="D3237" s="1">
        <v>186376.09694200548</v>
      </c>
      <c r="E3237" s="1">
        <v>5544487</v>
      </c>
      <c r="F3237" s="1">
        <v>28799788</v>
      </c>
      <c r="G3237" s="16">
        <v>34506.267870883945</v>
      </c>
      <c r="H3237">
        <v>116.82</v>
      </c>
      <c r="I3237" s="1">
        <v>455.77</v>
      </c>
      <c r="J3237" s="16">
        <v>220882.36481288943</v>
      </c>
      <c r="K3237" s="5">
        <v>6.0747832455711109E-2</v>
      </c>
      <c r="L3237" s="10">
        <v>619464.57479999994</v>
      </c>
    </row>
    <row r="3238" spans="1:12" x14ac:dyDescent="0.25">
      <c r="A3238">
        <v>3237</v>
      </c>
      <c r="B3238" s="3">
        <v>0.13993534678115738</v>
      </c>
      <c r="C3238" s="3">
        <v>3.0497714815871671E-2</v>
      </c>
      <c r="D3238" s="1">
        <v>251738.48358910924</v>
      </c>
      <c r="E3238" s="1">
        <v>8610502</v>
      </c>
      <c r="F3238" s="1">
        <v>30375284</v>
      </c>
      <c r="G3238" s="16">
        <v>21855.481568163184</v>
      </c>
      <c r="H3238">
        <v>81.31</v>
      </c>
      <c r="I3238" s="1">
        <v>261.57</v>
      </c>
      <c r="J3238" s="16">
        <v>273593.96515727241</v>
      </c>
      <c r="K3238" s="5">
        <v>0.2380841744048558</v>
      </c>
      <c r="L3238" s="10">
        <v>1770516.5691</v>
      </c>
    </row>
    <row r="3239" spans="1:12" x14ac:dyDescent="0.25">
      <c r="A3239">
        <v>3238</v>
      </c>
      <c r="B3239" s="3">
        <v>0.15833785946852935</v>
      </c>
      <c r="C3239" s="3">
        <v>3.9930736318369721E-2</v>
      </c>
      <c r="D3239" s="1">
        <v>150354.23420062536</v>
      </c>
      <c r="E3239" s="1">
        <v>5607473</v>
      </c>
      <c r="F3239" s="1">
        <v>28298310</v>
      </c>
      <c r="G3239" s="16">
        <v>48385.21040086545</v>
      </c>
      <c r="H3239">
        <v>243.56</v>
      </c>
      <c r="I3239" s="1">
        <v>719.55</v>
      </c>
      <c r="J3239" s="16">
        <v>198739.4446014908</v>
      </c>
      <c r="K3239" s="5">
        <v>0.11807523682309448</v>
      </c>
      <c r="L3239" s="10">
        <v>471590.65909999999</v>
      </c>
    </row>
    <row r="3240" spans="1:12" x14ac:dyDescent="0.25">
      <c r="A3240">
        <v>3239</v>
      </c>
      <c r="B3240" s="3">
        <v>0.20730813258052144</v>
      </c>
      <c r="C3240" s="3">
        <v>2.9585419325593464E-2</v>
      </c>
      <c r="D3240" s="1">
        <v>94605.93679303836</v>
      </c>
      <c r="E3240" s="1">
        <v>3554744</v>
      </c>
      <c r="F3240" s="1">
        <v>20504085</v>
      </c>
      <c r="G3240" s="16">
        <v>23678.534286963524</v>
      </c>
      <c r="H3240">
        <v>181.1</v>
      </c>
      <c r="I3240" s="1">
        <v>733.89</v>
      </c>
      <c r="J3240" s="16">
        <v>118284.47108000188</v>
      </c>
      <c r="K3240" s="5">
        <v>6.2647279480019663E-2</v>
      </c>
      <c r="L3240" s="10">
        <v>210523.0048</v>
      </c>
    </row>
    <row r="3241" spans="1:12" x14ac:dyDescent="0.25">
      <c r="A3241">
        <v>3240</v>
      </c>
      <c r="B3241" s="3">
        <v>0.10622543034889741</v>
      </c>
      <c r="C3241" s="3">
        <v>4.5912118900332928E-2</v>
      </c>
      <c r="D3241" s="1">
        <v>176727.70110869495</v>
      </c>
      <c r="E3241" s="1">
        <v>5183163</v>
      </c>
      <c r="F3241" s="1">
        <v>23489989</v>
      </c>
      <c r="G3241" s="16">
        <v>28896.322961212518</v>
      </c>
      <c r="H3241">
        <v>85.29</v>
      </c>
      <c r="I3241" s="1">
        <v>345.21000000000004</v>
      </c>
      <c r="J3241" s="16">
        <v>205624.02406990746</v>
      </c>
      <c r="K3241" s="5">
        <v>0.10469273625410161</v>
      </c>
      <c r="L3241" s="10">
        <v>351418.75180000003</v>
      </c>
    </row>
    <row r="3242" spans="1:12" x14ac:dyDescent="0.25">
      <c r="A3242">
        <v>3241</v>
      </c>
      <c r="B3242" s="3">
        <v>0.17426629773850494</v>
      </c>
      <c r="C3242" s="3">
        <v>7.1945931622469025E-2</v>
      </c>
      <c r="D3242" s="1">
        <v>56559.856240927838</v>
      </c>
      <c r="E3242" s="1">
        <v>1880143</v>
      </c>
      <c r="F3242" s="1">
        <v>15396398</v>
      </c>
      <c r="G3242" s="16">
        <v>17868.971959931529</v>
      </c>
      <c r="H3242">
        <v>84.87</v>
      </c>
      <c r="I3242" s="1">
        <v>198.84</v>
      </c>
      <c r="J3242" s="16">
        <v>74428.828200859367</v>
      </c>
      <c r="K3242" s="5">
        <v>0.1317244533049744</v>
      </c>
      <c r="L3242" s="10">
        <v>111964.3781</v>
      </c>
    </row>
    <row r="3243" spans="1:12" x14ac:dyDescent="0.25">
      <c r="A3243">
        <v>3242</v>
      </c>
      <c r="B3243" s="3">
        <v>0.23556413412865929</v>
      </c>
      <c r="C3243" s="3">
        <v>3.2547093207928347E-2</v>
      </c>
      <c r="D3243" s="1">
        <v>35770.890098318683</v>
      </c>
      <c r="E3243" s="1">
        <v>1498683</v>
      </c>
      <c r="F3243" s="1">
        <v>12195088</v>
      </c>
      <c r="G3243" s="16">
        <v>12809.585974599897</v>
      </c>
      <c r="H3243">
        <v>96.58</v>
      </c>
      <c r="I3243" s="1">
        <v>355.73999999999995</v>
      </c>
      <c r="J3243" s="16">
        <v>48580.47607291858</v>
      </c>
      <c r="K3243" s="5">
        <v>0.13217524953297385</v>
      </c>
      <c r="L3243" s="10">
        <v>177022.56349999999</v>
      </c>
    </row>
    <row r="3244" spans="1:12" x14ac:dyDescent="0.25">
      <c r="A3244">
        <v>3243</v>
      </c>
      <c r="B3244" s="3">
        <v>0.13290760788254957</v>
      </c>
      <c r="C3244" s="3">
        <v>5.5367486369893401E-2</v>
      </c>
      <c r="D3244" s="1">
        <v>262602.84109987714</v>
      </c>
      <c r="E3244" s="1">
        <v>8694416</v>
      </c>
      <c r="F3244" s="1">
        <v>32160281</v>
      </c>
      <c r="G3244" s="16">
        <v>46986.193578550017</v>
      </c>
      <c r="H3244">
        <v>192.01</v>
      </c>
      <c r="I3244" s="1">
        <v>607.11999999999989</v>
      </c>
      <c r="J3244" s="16">
        <v>309589.03467842715</v>
      </c>
      <c r="K3244" s="5">
        <v>2.8588208708912117E-2</v>
      </c>
      <c r="L3244" s="10">
        <v>143270.28270000001</v>
      </c>
    </row>
    <row r="3245" spans="1:12" x14ac:dyDescent="0.25">
      <c r="A3245">
        <v>3244</v>
      </c>
      <c r="B3245" s="3">
        <v>0.14484731719946589</v>
      </c>
      <c r="C3245" s="3">
        <v>7.6199760423337468E-2</v>
      </c>
      <c r="D3245" s="1">
        <v>391865.86700161069</v>
      </c>
      <c r="E3245" s="1">
        <v>16036939</v>
      </c>
      <c r="F3245" s="1">
        <v>46542951</v>
      </c>
      <c r="G3245" s="16">
        <v>32576.879304073896</v>
      </c>
      <c r="H3245">
        <v>146.37</v>
      </c>
      <c r="I3245" s="1">
        <v>436.96</v>
      </c>
      <c r="J3245" s="16">
        <v>424442.74630568456</v>
      </c>
      <c r="K3245" s="5">
        <v>0.15607433842727833</v>
      </c>
      <c r="L3245" s="10">
        <v>550687.17339999997</v>
      </c>
    </row>
    <row r="3246" spans="1:12" x14ac:dyDescent="0.25">
      <c r="A3246">
        <v>3245</v>
      </c>
      <c r="B3246" s="3">
        <v>0.16070575658023625</v>
      </c>
      <c r="C3246" s="3">
        <v>4.4304152744844047E-2</v>
      </c>
      <c r="D3246" s="1">
        <v>212891.16836863756</v>
      </c>
      <c r="E3246" s="1">
        <v>8029771</v>
      </c>
      <c r="F3246" s="1">
        <v>28460700</v>
      </c>
      <c r="G3246" s="16">
        <v>25249.602654575061</v>
      </c>
      <c r="H3246">
        <v>129.58000000000001</v>
      </c>
      <c r="I3246" s="1">
        <v>515.89</v>
      </c>
      <c r="J3246" s="16">
        <v>238140.77102321261</v>
      </c>
      <c r="K3246" s="5">
        <v>9.1898938692246912E-2</v>
      </c>
      <c r="L3246" s="10">
        <v>421271.27510000003</v>
      </c>
    </row>
    <row r="3247" spans="1:12" x14ac:dyDescent="0.25">
      <c r="A3247">
        <v>3246</v>
      </c>
      <c r="B3247" s="3">
        <v>0.12720943695641884</v>
      </c>
      <c r="C3247" s="3">
        <v>2.9562019619497011E-2</v>
      </c>
      <c r="D3247" s="1">
        <v>507418.82373877376</v>
      </c>
      <c r="E3247" s="1">
        <v>18750782</v>
      </c>
      <c r="F3247" s="1">
        <v>60222048</v>
      </c>
      <c r="G3247" s="16">
        <v>54025.122007859834</v>
      </c>
      <c r="H3247">
        <v>210.59</v>
      </c>
      <c r="I3247" s="1">
        <v>491.41999999999996</v>
      </c>
      <c r="J3247" s="16">
        <v>561443.94574663357</v>
      </c>
      <c r="K3247" s="5">
        <v>0.10520696570731791</v>
      </c>
      <c r="L3247" s="10">
        <v>1662569.4580000001</v>
      </c>
    </row>
    <row r="3248" spans="1:12" x14ac:dyDescent="0.25">
      <c r="A3248">
        <v>3247</v>
      </c>
      <c r="B3248" s="3">
        <v>0.2307201923111169</v>
      </c>
      <c r="C3248" s="3">
        <v>5.7175808410511661E-2</v>
      </c>
      <c r="D3248" s="1">
        <v>82675.466225351003</v>
      </c>
      <c r="E3248" s="1">
        <v>4418165</v>
      </c>
      <c r="F3248" s="1">
        <v>23297786</v>
      </c>
      <c r="G3248" s="16">
        <v>23722.369776818556</v>
      </c>
      <c r="H3248">
        <v>224.02</v>
      </c>
      <c r="I3248" s="1">
        <v>716.13</v>
      </c>
      <c r="J3248" s="16">
        <v>106397.83600216956</v>
      </c>
      <c r="K3248" s="5">
        <v>9.5617105295804583E-2</v>
      </c>
      <c r="L3248" s="10">
        <v>169690.3915</v>
      </c>
    </row>
    <row r="3249" spans="1:12" x14ac:dyDescent="0.25">
      <c r="A3249">
        <v>3248</v>
      </c>
      <c r="B3249" s="3">
        <v>0.23915078199781648</v>
      </c>
      <c r="C3249" s="3">
        <v>7.1884939374288498E-2</v>
      </c>
      <c r="D3249" s="1">
        <v>100508.89353525371</v>
      </c>
      <c r="E3249" s="1">
        <v>4270812</v>
      </c>
      <c r="F3249" s="1">
        <v>14213532</v>
      </c>
      <c r="G3249" s="16">
        <v>14506.491306772998</v>
      </c>
      <c r="H3249">
        <v>112.44</v>
      </c>
      <c r="I3249" s="1">
        <v>329.61</v>
      </c>
      <c r="J3249" s="16">
        <v>115015.3848420267</v>
      </c>
      <c r="K3249" s="5">
        <v>0.19854417232032889</v>
      </c>
      <c r="L3249" s="10">
        <v>207154.1298</v>
      </c>
    </row>
    <row r="3250" spans="1:12" x14ac:dyDescent="0.25">
      <c r="A3250">
        <v>3249</v>
      </c>
      <c r="B3250" s="3">
        <v>0.12134694618454904</v>
      </c>
      <c r="C3250" s="3">
        <v>3.2514296965186408E-2</v>
      </c>
      <c r="D3250" s="1">
        <v>79767.155961187193</v>
      </c>
      <c r="E3250" s="1">
        <v>2200768</v>
      </c>
      <c r="F3250" s="1">
        <v>10967582</v>
      </c>
      <c r="G3250" s="16">
        <v>32990.219846238717</v>
      </c>
      <c r="H3250">
        <v>122.62</v>
      </c>
      <c r="I3250" s="1">
        <v>391.89</v>
      </c>
      <c r="J3250" s="16">
        <v>112757.37580742591</v>
      </c>
      <c r="K3250" s="5">
        <v>-7.8378671394122371E-3</v>
      </c>
      <c r="L3250" s="10">
        <v>-7319.1779999999999</v>
      </c>
    </row>
    <row r="3251" spans="1:12" x14ac:dyDescent="0.25">
      <c r="A3251">
        <v>3250</v>
      </c>
      <c r="B3251" s="3">
        <v>0.1397184747488843</v>
      </c>
      <c r="C3251" s="3">
        <v>2.6566441231762501E-2</v>
      </c>
      <c r="D3251" s="1">
        <v>106309.43819305349</v>
      </c>
      <c r="E3251" s="1">
        <v>3125017</v>
      </c>
      <c r="F3251" s="1">
        <v>16965626</v>
      </c>
      <c r="G3251" s="16">
        <v>31372.559261484803</v>
      </c>
      <c r="H3251">
        <v>116.52</v>
      </c>
      <c r="I3251" s="1">
        <v>336.92999999999995</v>
      </c>
      <c r="J3251" s="16">
        <v>137681.9974545383</v>
      </c>
      <c r="K3251" s="5">
        <v>7.6038602438774791E-2</v>
      </c>
      <c r="L3251" s="10">
        <v>376197.83390000003</v>
      </c>
    </row>
    <row r="3252" spans="1:12" x14ac:dyDescent="0.25">
      <c r="A3252">
        <v>3251</v>
      </c>
      <c r="B3252" s="3">
        <v>0.2415870387647889</v>
      </c>
      <c r="C3252" s="3">
        <v>3.9383200870667462E-2</v>
      </c>
      <c r="D3252" s="1">
        <v>309053.56291861983</v>
      </c>
      <c r="E3252" s="1">
        <v>30394987</v>
      </c>
      <c r="F3252" s="1">
        <v>86097830</v>
      </c>
      <c r="G3252" s="16">
        <v>7144.1353046475178</v>
      </c>
      <c r="H3252">
        <v>56.51</v>
      </c>
      <c r="I3252" s="1">
        <v>220.35</v>
      </c>
      <c r="J3252" s="16">
        <v>316197.69822326733</v>
      </c>
      <c r="K3252" s="5">
        <v>0.14890433107917189</v>
      </c>
      <c r="L3252" s="10">
        <v>962865.23160000006</v>
      </c>
    </row>
    <row r="3253" spans="1:12" x14ac:dyDescent="0.25">
      <c r="A3253">
        <v>3252</v>
      </c>
      <c r="B3253" s="3">
        <v>0.12958505971707365</v>
      </c>
      <c r="C3253" s="3">
        <v>5.9611215432865905E-2</v>
      </c>
      <c r="D3253" s="1">
        <v>134138.41026101995</v>
      </c>
      <c r="E3253" s="1">
        <v>3806940</v>
      </c>
      <c r="F3253" s="1">
        <v>16091971</v>
      </c>
      <c r="G3253" s="16">
        <v>95751.134978061658</v>
      </c>
      <c r="H3253">
        <v>436.59</v>
      </c>
      <c r="I3253" s="1">
        <v>1221.53</v>
      </c>
      <c r="J3253" s="16">
        <v>229889.54523908161</v>
      </c>
      <c r="K3253" s="5">
        <v>0.26096317674493624</v>
      </c>
      <c r="L3253" s="10">
        <v>663756.58250000002</v>
      </c>
    </row>
    <row r="3254" spans="1:12" x14ac:dyDescent="0.25">
      <c r="A3254">
        <v>3253</v>
      </c>
      <c r="B3254" s="3">
        <v>0.22605546149654693</v>
      </c>
      <c r="C3254" s="3">
        <v>4.3781439775341553E-2</v>
      </c>
      <c r="D3254" s="1">
        <v>98383.293242540632</v>
      </c>
      <c r="E3254" s="1">
        <v>5131983</v>
      </c>
      <c r="F3254" s="1">
        <v>26589021</v>
      </c>
      <c r="G3254" s="16">
        <v>19455.794118072874</v>
      </c>
      <c r="H3254">
        <v>175.91</v>
      </c>
      <c r="I3254" s="1">
        <v>635.95000000000005</v>
      </c>
      <c r="J3254" s="16">
        <v>117839.08736061351</v>
      </c>
      <c r="K3254" s="5">
        <v>0.21684979331711035</v>
      </c>
      <c r="L3254" s="10">
        <v>488821.35720000003</v>
      </c>
    </row>
    <row r="3255" spans="1:12" x14ac:dyDescent="0.25">
      <c r="A3255">
        <v>3254</v>
      </c>
      <c r="B3255" s="3">
        <v>0.18007127503639847</v>
      </c>
      <c r="C3255" s="3">
        <v>6.5495620346948807E-2</v>
      </c>
      <c r="D3255" s="1">
        <v>22512.828093117027</v>
      </c>
      <c r="E3255" s="1">
        <v>626730</v>
      </c>
      <c r="F3255" s="1">
        <v>7845024</v>
      </c>
      <c r="G3255" s="16">
        <v>43493.898868658631</v>
      </c>
      <c r="H3255">
        <v>262.72000000000003</v>
      </c>
      <c r="I3255" s="1">
        <v>700.47</v>
      </c>
      <c r="J3255" s="16">
        <v>66006.726961775654</v>
      </c>
      <c r="K3255" s="5">
        <v>0.11747839097460724</v>
      </c>
      <c r="L3255" s="10">
        <v>93119.353300000002</v>
      </c>
    </row>
    <row r="3256" spans="1:12" x14ac:dyDescent="0.25">
      <c r="A3256">
        <v>3255</v>
      </c>
      <c r="B3256" s="3">
        <v>0.11442102877798178</v>
      </c>
      <c r="C3256" s="3">
        <v>2.9505825862573241E-2</v>
      </c>
      <c r="D3256" s="1">
        <v>208195.8058650312</v>
      </c>
      <c r="E3256" s="1">
        <v>6335278</v>
      </c>
      <c r="F3256" s="1">
        <v>27260468</v>
      </c>
      <c r="G3256" s="16">
        <v>30107.29188068266</v>
      </c>
      <c r="H3256">
        <v>93.88</v>
      </c>
      <c r="I3256" s="1">
        <v>309.39999999999998</v>
      </c>
      <c r="J3256" s="16">
        <v>238303.09774571387</v>
      </c>
      <c r="K3256" s="5">
        <v>0.1727662509824964</v>
      </c>
      <c r="L3256" s="10">
        <v>1135253.2259</v>
      </c>
    </row>
    <row r="3257" spans="1:12" x14ac:dyDescent="0.25">
      <c r="A3257">
        <v>3256</v>
      </c>
      <c r="B3257" s="3">
        <v>0.16306236880151065</v>
      </c>
      <c r="C3257" s="3">
        <v>4.1503474069583698E-2</v>
      </c>
      <c r="D3257" s="1">
        <v>69498.252409799868</v>
      </c>
      <c r="E3257" s="1">
        <v>2218691</v>
      </c>
      <c r="F3257" s="1">
        <v>13977938</v>
      </c>
      <c r="G3257" s="16">
        <v>18075.975108389219</v>
      </c>
      <c r="H3257">
        <v>79.25</v>
      </c>
      <c r="I3257" s="1">
        <v>208.92000000000002</v>
      </c>
      <c r="J3257" s="16">
        <v>87574.227518189087</v>
      </c>
      <c r="K3257" s="5">
        <v>5.5153236911253539E-2</v>
      </c>
      <c r="L3257" s="10">
        <v>126682.1991</v>
      </c>
    </row>
    <row r="3258" spans="1:12" x14ac:dyDescent="0.25">
      <c r="A3258">
        <v>3257</v>
      </c>
      <c r="B3258" s="3">
        <v>0.14123811850976786</v>
      </c>
      <c r="C3258" s="3">
        <v>4.5537581707664337E-2</v>
      </c>
      <c r="D3258" s="1">
        <v>125172.49277355126</v>
      </c>
      <c r="E3258" s="1">
        <v>4307454</v>
      </c>
      <c r="F3258" s="1">
        <v>29548628</v>
      </c>
      <c r="G3258" s="16">
        <v>79516.740831549556</v>
      </c>
      <c r="H3258">
        <v>404.57</v>
      </c>
      <c r="I3258" s="1">
        <v>925.92000000000007</v>
      </c>
      <c r="J3258" s="16">
        <v>204689.23360510083</v>
      </c>
      <c r="K3258" s="5">
        <v>5.2647578041561824E-2</v>
      </c>
      <c r="L3258" s="10">
        <v>245488.50510000001</v>
      </c>
    </row>
    <row r="3259" spans="1:12" x14ac:dyDescent="0.25">
      <c r="A3259">
        <v>3258</v>
      </c>
      <c r="B3259" s="3">
        <v>0.18042782550997222</v>
      </c>
      <c r="C3259" s="3">
        <v>5.9121977611153884E-2</v>
      </c>
      <c r="D3259" s="1">
        <v>122697.41383457941</v>
      </c>
      <c r="E3259" s="1">
        <v>5089664</v>
      </c>
      <c r="F3259" s="1">
        <v>25730797</v>
      </c>
      <c r="G3259" s="16">
        <v>11920.001335526538</v>
      </c>
      <c r="H3259">
        <v>59.24</v>
      </c>
      <c r="I3259" s="1">
        <v>221.79000000000002</v>
      </c>
      <c r="J3259" s="16">
        <v>134617.41517010593</v>
      </c>
      <c r="K3259" s="5">
        <v>0.15128731005174942</v>
      </c>
      <c r="L3259" s="10">
        <v>257519.4417</v>
      </c>
    </row>
    <row r="3260" spans="1:12" x14ac:dyDescent="0.25">
      <c r="A3260">
        <v>3259</v>
      </c>
      <c r="B3260" s="3">
        <v>0.17073712203669159</v>
      </c>
      <c r="C3260" s="3">
        <v>5.584674039627989E-2</v>
      </c>
      <c r="D3260" s="1">
        <v>77275.336332962965</v>
      </c>
      <c r="E3260" s="1">
        <v>2536106</v>
      </c>
      <c r="F3260" s="1">
        <v>12181865</v>
      </c>
      <c r="G3260" s="16">
        <v>72793.462403513186</v>
      </c>
      <c r="H3260">
        <v>490.29</v>
      </c>
      <c r="I3260" s="1">
        <v>1168.94</v>
      </c>
      <c r="J3260" s="16">
        <v>150068.79873647616</v>
      </c>
      <c r="K3260" s="5">
        <v>0.18767652609341873</v>
      </c>
      <c r="L3260" s="10">
        <v>362590.95789999998</v>
      </c>
    </row>
    <row r="3261" spans="1:12" x14ac:dyDescent="0.25">
      <c r="A3261">
        <v>3260</v>
      </c>
      <c r="B3261" s="3">
        <v>0.18058815072209783</v>
      </c>
      <c r="C3261" s="3">
        <v>2.8708174611338497E-2</v>
      </c>
      <c r="D3261" s="1">
        <v>155457.76242404708</v>
      </c>
      <c r="E3261" s="1">
        <v>6453660</v>
      </c>
      <c r="F3261" s="1">
        <v>21867986</v>
      </c>
      <c r="G3261" s="16">
        <v>34443.056631025109</v>
      </c>
      <c r="H3261">
        <v>255.28</v>
      </c>
      <c r="I3261" s="1">
        <v>776.73</v>
      </c>
      <c r="J3261" s="16">
        <v>189900.81905507218</v>
      </c>
      <c r="K3261" s="5">
        <v>9.1058642885700702E-2</v>
      </c>
      <c r="L3261" s="10">
        <v>526174.67070000002</v>
      </c>
    </row>
    <row r="3262" spans="1:12" x14ac:dyDescent="0.25">
      <c r="A3262">
        <v>3261</v>
      </c>
      <c r="B3262" s="3">
        <v>0.12601022092171044</v>
      </c>
      <c r="C3262" s="3">
        <v>5.6193608369126055E-2</v>
      </c>
      <c r="D3262" s="1">
        <v>88289.899858167584</v>
      </c>
      <c r="E3262" s="1">
        <v>2475109</v>
      </c>
      <c r="F3262" s="1">
        <v>11638368</v>
      </c>
      <c r="G3262" s="16">
        <v>55572.816752624509</v>
      </c>
      <c r="H3262">
        <v>214.9</v>
      </c>
      <c r="I3262" s="1">
        <v>691.65</v>
      </c>
      <c r="J3262" s="16">
        <v>143862.71661079209</v>
      </c>
      <c r="K3262" s="5">
        <v>9.9265778719827696E-2</v>
      </c>
      <c r="L3262" s="10">
        <v>173593.6635</v>
      </c>
    </row>
    <row r="3263" spans="1:12" x14ac:dyDescent="0.25">
      <c r="A3263">
        <v>3262</v>
      </c>
      <c r="B3263" s="3">
        <v>0.17480764723861419</v>
      </c>
      <c r="C3263" s="3">
        <v>6.2230875854797835E-2</v>
      </c>
      <c r="D3263" s="1">
        <v>261570.3888876749</v>
      </c>
      <c r="E3263" s="1">
        <v>10557733</v>
      </c>
      <c r="F3263" s="1">
        <v>39067566</v>
      </c>
      <c r="G3263" s="16">
        <v>8714.3418877327895</v>
      </c>
      <c r="H3263">
        <v>34.22</v>
      </c>
      <c r="I3263" s="1">
        <v>139.93</v>
      </c>
      <c r="J3263" s="16">
        <v>270284.73077540769</v>
      </c>
      <c r="K3263" s="5">
        <v>0.24624244876076318</v>
      </c>
      <c r="L3263" s="10">
        <v>738905.68319999997</v>
      </c>
    </row>
    <row r="3264" spans="1:12" x14ac:dyDescent="0.25">
      <c r="A3264">
        <v>3263</v>
      </c>
      <c r="B3264" s="3">
        <v>0.13918259937352939</v>
      </c>
      <c r="C3264" s="3">
        <v>2.8789143739280855E-2</v>
      </c>
      <c r="D3264" s="1">
        <v>44935.293748715834</v>
      </c>
      <c r="E3264" s="1">
        <v>1134926</v>
      </c>
      <c r="F3264" s="1">
        <v>9979783</v>
      </c>
      <c r="G3264" s="16">
        <v>21034.101081287794</v>
      </c>
      <c r="H3264">
        <v>77.73</v>
      </c>
      <c r="I3264" s="1">
        <v>346.39000000000004</v>
      </c>
      <c r="J3264" s="16">
        <v>65969.394830003628</v>
      </c>
      <c r="K3264" s="5">
        <v>0.12696679532942276</v>
      </c>
      <c r="L3264" s="10">
        <v>268054.71549999999</v>
      </c>
    </row>
    <row r="3265" spans="1:12" x14ac:dyDescent="0.25">
      <c r="A3265">
        <v>3264</v>
      </c>
      <c r="B3265" s="3">
        <v>0.16237263844539765</v>
      </c>
      <c r="C3265" s="3">
        <v>5.808010324915569E-2</v>
      </c>
      <c r="D3265" s="1">
        <v>266178.23863003182</v>
      </c>
      <c r="E3265" s="1">
        <v>10119795</v>
      </c>
      <c r="F3265" s="1">
        <v>29465240</v>
      </c>
      <c r="G3265" s="16">
        <v>44480.599197640382</v>
      </c>
      <c r="H3265">
        <v>231.13</v>
      </c>
      <c r="I3265" s="1">
        <v>708.27</v>
      </c>
      <c r="J3265" s="16">
        <v>310658.83782767219</v>
      </c>
      <c r="K3265" s="5">
        <v>3.9527901772341854E-2</v>
      </c>
      <c r="L3265" s="10">
        <v>158665.40239999999</v>
      </c>
    </row>
    <row r="3266" spans="1:12" x14ac:dyDescent="0.25">
      <c r="A3266">
        <v>3265</v>
      </c>
      <c r="B3266" s="3">
        <v>0.14261497201660811</v>
      </c>
      <c r="C3266" s="3">
        <v>6.4271256926357143E-2</v>
      </c>
      <c r="D3266" s="1">
        <v>95095.321649854566</v>
      </c>
      <c r="E3266" s="1">
        <v>3293505</v>
      </c>
      <c r="F3266" s="1">
        <v>24764383</v>
      </c>
      <c r="G3266" s="16">
        <v>43414.477467827623</v>
      </c>
      <c r="H3266">
        <v>191.7</v>
      </c>
      <c r="I3266" s="1">
        <v>506.62</v>
      </c>
      <c r="J3266" s="16">
        <v>138509.79911768218</v>
      </c>
      <c r="K3266" s="5">
        <v>-1.9379683972834821E-3</v>
      </c>
      <c r="L3266" s="10">
        <v>-17144.297699999999</v>
      </c>
    </row>
    <row r="3267" spans="1:12" x14ac:dyDescent="0.25">
      <c r="A3267">
        <v>3266</v>
      </c>
      <c r="B3267" s="3">
        <v>0.10757595497853506</v>
      </c>
      <c r="C3267" s="3">
        <v>5.0256288568788117E-2</v>
      </c>
      <c r="D3267" s="1">
        <v>73796.872760399812</v>
      </c>
      <c r="E3267" s="1">
        <v>1943244</v>
      </c>
      <c r="F3267" s="1">
        <v>11942229</v>
      </c>
      <c r="G3267" s="16">
        <v>49941.645678158828</v>
      </c>
      <c r="H3267">
        <v>148.59</v>
      </c>
      <c r="I3267" s="1">
        <v>381.84000000000003</v>
      </c>
      <c r="J3267" s="16">
        <v>123738.51843855865</v>
      </c>
      <c r="K3267" s="5">
        <v>0.18300463652619531</v>
      </c>
      <c r="L3267" s="10">
        <v>331934.0196</v>
      </c>
    </row>
    <row r="3268" spans="1:12" x14ac:dyDescent="0.25">
      <c r="A3268">
        <v>3267</v>
      </c>
      <c r="B3268" s="3">
        <v>0.2435234430182619</v>
      </c>
      <c r="C3268" s="3">
        <v>6.2664678168061885E-2</v>
      </c>
      <c r="D3268" s="1">
        <v>76176.684935423691</v>
      </c>
      <c r="E3268" s="1">
        <v>3293354</v>
      </c>
      <c r="F3268" s="1">
        <v>14941323</v>
      </c>
      <c r="G3268" s="16">
        <v>12876.510056395347</v>
      </c>
      <c r="H3268">
        <v>103.32</v>
      </c>
      <c r="I3268" s="1">
        <v>299.64</v>
      </c>
      <c r="J3268" s="16">
        <v>89053.194991819037</v>
      </c>
      <c r="K3268" s="5">
        <v>0.1503102369218228</v>
      </c>
      <c r="L3268" s="10">
        <v>152512.03140000001</v>
      </c>
    </row>
    <row r="3269" spans="1:12" x14ac:dyDescent="0.25">
      <c r="A3269">
        <v>3268</v>
      </c>
      <c r="B3269" s="3">
        <v>0.10704799023127415</v>
      </c>
      <c r="C3269" s="3">
        <v>7.8326851573271947E-2</v>
      </c>
      <c r="D3269" s="1">
        <v>1132244.6285682006</v>
      </c>
      <c r="E3269" s="1">
        <v>41799826</v>
      </c>
      <c r="F3269" s="1">
        <v>133790835</v>
      </c>
      <c r="G3269" s="16">
        <v>24082.665584628005</v>
      </c>
      <c r="H3269">
        <v>71.64</v>
      </c>
      <c r="I3269" s="1">
        <v>244.77999999999997</v>
      </c>
      <c r="J3269" s="16">
        <v>1156327.2941528286</v>
      </c>
      <c r="K3269" s="5">
        <v>9.8002183567853354E-2</v>
      </c>
      <c r="L3269" s="10">
        <v>811332.04469999997</v>
      </c>
    </row>
    <row r="3270" spans="1:12" x14ac:dyDescent="0.25">
      <c r="A3270">
        <v>3269</v>
      </c>
      <c r="B3270" s="3">
        <v>0.23387205202508854</v>
      </c>
      <c r="C3270" s="3">
        <v>4.1642953020070435E-2</v>
      </c>
      <c r="D3270" s="1">
        <v>253458.97187976338</v>
      </c>
      <c r="E3270" s="1">
        <v>17972327</v>
      </c>
      <c r="F3270" s="1">
        <v>68319789</v>
      </c>
      <c r="G3270" s="16">
        <v>16412.797954105972</v>
      </c>
      <c r="H3270">
        <v>122.18</v>
      </c>
      <c r="I3270" s="1">
        <v>359.37</v>
      </c>
      <c r="J3270" s="16">
        <v>269871.76983386936</v>
      </c>
      <c r="K3270" s="5">
        <v>8.3652879182150211E-2</v>
      </c>
      <c r="L3270" s="10">
        <v>454093.19939999998</v>
      </c>
    </row>
    <row r="3271" spans="1:12" x14ac:dyDescent="0.25">
      <c r="A3271">
        <v>3270</v>
      </c>
      <c r="B3271" s="3">
        <v>0.17907111124520125</v>
      </c>
      <c r="C3271" s="3">
        <v>7.1107957714615116E-2</v>
      </c>
      <c r="D3271" s="1">
        <v>308959.15107949713</v>
      </c>
      <c r="E3271" s="1">
        <v>12731568</v>
      </c>
      <c r="F3271" s="1">
        <v>42011669</v>
      </c>
      <c r="G3271" s="16">
        <v>27570.972297623215</v>
      </c>
      <c r="H3271">
        <v>165.13</v>
      </c>
      <c r="I3271" s="1">
        <v>459.58</v>
      </c>
      <c r="J3271" s="16">
        <v>336530.12337712036</v>
      </c>
      <c r="K3271" s="5">
        <v>0.16965375093948767</v>
      </c>
      <c r="L3271" s="10">
        <v>511943.48369999998</v>
      </c>
    </row>
    <row r="3272" spans="1:12" x14ac:dyDescent="0.25">
      <c r="A3272">
        <v>3271</v>
      </c>
      <c r="B3272" s="3">
        <v>0.20710492457149865</v>
      </c>
      <c r="C3272" s="3">
        <v>5.2322942488562299E-2</v>
      </c>
      <c r="D3272" s="1">
        <v>138442.95831516263</v>
      </c>
      <c r="E3272" s="1">
        <v>6555583</v>
      </c>
      <c r="F3272" s="1">
        <v>23790538</v>
      </c>
      <c r="G3272" s="16">
        <v>21449.812760516452</v>
      </c>
      <c r="H3272">
        <v>163.92</v>
      </c>
      <c r="I3272" s="1">
        <v>664</v>
      </c>
      <c r="J3272" s="16">
        <v>159892.77107567908</v>
      </c>
      <c r="K3272" s="5">
        <v>-2.8126512751082491E-2</v>
      </c>
      <c r="L3272" s="10">
        <v>-42119.910100000001</v>
      </c>
    </row>
    <row r="3273" spans="1:12" x14ac:dyDescent="0.25">
      <c r="A3273">
        <v>3272</v>
      </c>
      <c r="B3273" s="3">
        <v>0.23278469080040232</v>
      </c>
      <c r="C3273" s="3">
        <v>6.1804719864773608E-2</v>
      </c>
      <c r="D3273" s="1">
        <v>204492.95602583856</v>
      </c>
      <c r="E3273" s="1">
        <v>14397756</v>
      </c>
      <c r="F3273" s="1">
        <v>64328145</v>
      </c>
      <c r="G3273" s="16">
        <v>15982.521623915767</v>
      </c>
      <c r="H3273">
        <v>117.95</v>
      </c>
      <c r="I3273" s="1">
        <v>286.95</v>
      </c>
      <c r="J3273" s="16">
        <v>220475.47764975432</v>
      </c>
      <c r="K3273" s="5">
        <v>0.18454200106880664</v>
      </c>
      <c r="L3273" s="10">
        <v>499723.73729999998</v>
      </c>
    </row>
    <row r="3274" spans="1:12" x14ac:dyDescent="0.25">
      <c r="A3274">
        <v>3273</v>
      </c>
      <c r="B3274" s="3">
        <v>0.14869446894729574</v>
      </c>
      <c r="C3274" s="3">
        <v>3.5953828738153393E-2</v>
      </c>
      <c r="D3274" s="1">
        <v>254012.92394775996</v>
      </c>
      <c r="E3274" s="1">
        <v>10632405</v>
      </c>
      <c r="F3274" s="1">
        <v>43579042</v>
      </c>
      <c r="G3274" s="16">
        <v>29071.507926120194</v>
      </c>
      <c r="H3274">
        <v>134.94</v>
      </c>
      <c r="I3274" s="1">
        <v>474.87</v>
      </c>
      <c r="J3274" s="16">
        <v>283084.43187388015</v>
      </c>
      <c r="K3274" s="5">
        <v>0.11791737261185783</v>
      </c>
      <c r="L3274" s="10">
        <v>802441.6581</v>
      </c>
    </row>
    <row r="3275" spans="1:12" x14ac:dyDescent="0.25">
      <c r="A3275">
        <v>3274</v>
      </c>
      <c r="B3275" s="3">
        <v>0.16051992858339856</v>
      </c>
      <c r="C3275" s="3">
        <v>7.7088978622726109E-2</v>
      </c>
      <c r="D3275" s="1">
        <v>49287.862027962328</v>
      </c>
      <c r="E3275" s="1">
        <v>1559237</v>
      </c>
      <c r="F3275" s="1">
        <v>11598467</v>
      </c>
      <c r="G3275" s="16">
        <v>28816.084523407364</v>
      </c>
      <c r="H3275">
        <v>123.93</v>
      </c>
      <c r="I3275" s="1">
        <v>336.40000000000003</v>
      </c>
      <c r="J3275" s="16">
        <v>78103.946551369692</v>
      </c>
      <c r="K3275" s="5">
        <v>8.5915512170451541E-2</v>
      </c>
      <c r="L3275" s="10">
        <v>65690.825599999996</v>
      </c>
    </row>
    <row r="3276" spans="1:12" x14ac:dyDescent="0.25">
      <c r="A3276">
        <v>3275</v>
      </c>
      <c r="B3276" s="3">
        <v>0.10772796642959404</v>
      </c>
      <c r="C3276" s="3">
        <v>2.4890478469964523E-2</v>
      </c>
      <c r="D3276" s="1">
        <v>180469.16316209588</v>
      </c>
      <c r="E3276" s="1">
        <v>4754597</v>
      </c>
      <c r="F3276" s="1">
        <v>20581594</v>
      </c>
      <c r="G3276" s="16">
        <v>38894.309589529716</v>
      </c>
      <c r="H3276">
        <v>116.04</v>
      </c>
      <c r="I3276" s="1">
        <v>313.09000000000003</v>
      </c>
      <c r="J3276" s="16">
        <v>219363.47275162558</v>
      </c>
      <c r="K3276" s="5">
        <v>0.21686070067579377</v>
      </c>
      <c r="L3276" s="10">
        <v>1641336.2313999999</v>
      </c>
    </row>
    <row r="3277" spans="1:12" x14ac:dyDescent="0.25">
      <c r="A3277">
        <v>3276</v>
      </c>
      <c r="B3277" s="3">
        <v>0.13763225067698659</v>
      </c>
      <c r="C3277" s="3">
        <v>7.5232332560398629E-2</v>
      </c>
      <c r="D3277" s="1">
        <v>338419.81171517493</v>
      </c>
      <c r="E3277" s="1">
        <v>13279929</v>
      </c>
      <c r="F3277" s="1">
        <v>50306238</v>
      </c>
      <c r="G3277" s="16">
        <v>37134.868190457993</v>
      </c>
      <c r="H3277">
        <v>135.6</v>
      </c>
      <c r="I3277" s="1">
        <v>326.28999999999996</v>
      </c>
      <c r="J3277" s="16">
        <v>375554.67990563292</v>
      </c>
      <c r="K3277" s="5">
        <v>0.16926953606824019</v>
      </c>
      <c r="L3277" s="10">
        <v>528442.42920000001</v>
      </c>
    </row>
    <row r="3278" spans="1:12" x14ac:dyDescent="0.25">
      <c r="A3278">
        <v>3277</v>
      </c>
      <c r="B3278" s="3">
        <v>0.19859043272049354</v>
      </c>
      <c r="C3278" s="3">
        <v>3.4939910144998941E-2</v>
      </c>
      <c r="D3278" s="1">
        <v>56480.272619768577</v>
      </c>
      <c r="E3278" s="1">
        <v>2053696</v>
      </c>
      <c r="F3278" s="1">
        <v>18177446</v>
      </c>
      <c r="G3278" s="16">
        <v>24176.471266189536</v>
      </c>
      <c r="H3278">
        <v>137.27000000000001</v>
      </c>
      <c r="I3278" s="1">
        <v>366.53</v>
      </c>
      <c r="J3278" s="16">
        <v>80656.743885958116</v>
      </c>
      <c r="K3278" s="5">
        <v>6.5336156489025382E-2</v>
      </c>
      <c r="L3278" s="10">
        <v>161138.91310000001</v>
      </c>
    </row>
    <row r="3279" spans="1:12" x14ac:dyDescent="0.25">
      <c r="A3279">
        <v>3278</v>
      </c>
      <c r="B3279" s="3">
        <v>0.18049172505415625</v>
      </c>
      <c r="C3279" s="3">
        <v>7.7691051634802513E-2</v>
      </c>
      <c r="D3279" s="1">
        <v>153893.7224023013</v>
      </c>
      <c r="E3279" s="1">
        <v>6385730</v>
      </c>
      <c r="F3279" s="1">
        <v>32619581</v>
      </c>
      <c r="G3279" s="16">
        <v>40882.40243696222</v>
      </c>
      <c r="H3279">
        <v>302.56</v>
      </c>
      <c r="I3279" s="1">
        <v>853.25</v>
      </c>
      <c r="J3279" s="16">
        <v>194776.1248392635</v>
      </c>
      <c r="K3279" s="5">
        <v>9.0136705480128365E-2</v>
      </c>
      <c r="L3279" s="10">
        <v>154563.1091</v>
      </c>
    </row>
    <row r="3280" spans="1:12" x14ac:dyDescent="0.25">
      <c r="A3280">
        <v>3279</v>
      </c>
      <c r="B3280" s="3">
        <v>0.18888002750612465</v>
      </c>
      <c r="C3280" s="3">
        <v>2.8051362908729827E-2</v>
      </c>
      <c r="D3280" s="1">
        <v>122023.7458539066</v>
      </c>
      <c r="E3280" s="1">
        <v>5276025</v>
      </c>
      <c r="F3280" s="1">
        <v>22724673</v>
      </c>
      <c r="G3280" s="16">
        <v>30466.259891536549</v>
      </c>
      <c r="H3280">
        <v>198.21</v>
      </c>
      <c r="I3280" s="1">
        <v>703.7</v>
      </c>
      <c r="J3280" s="16">
        <v>152490.00574544314</v>
      </c>
      <c r="K3280" s="5">
        <v>0.14635893950269491</v>
      </c>
      <c r="L3280" s="10">
        <v>696433.79729999998</v>
      </c>
    </row>
    <row r="3281" spans="1:12" x14ac:dyDescent="0.25">
      <c r="A3281">
        <v>3280</v>
      </c>
      <c r="B3281" s="3">
        <v>0.14929435164937699</v>
      </c>
      <c r="C3281" s="3">
        <v>7.2095168020450989E-2</v>
      </c>
      <c r="D3281" s="1">
        <v>129838.37258652311</v>
      </c>
      <c r="E3281" s="1">
        <v>4639688</v>
      </c>
      <c r="F3281" s="1">
        <v>22327663</v>
      </c>
      <c r="G3281" s="16">
        <v>19265.388913283612</v>
      </c>
      <c r="H3281">
        <v>76.39</v>
      </c>
      <c r="I3281" s="1">
        <v>272.87</v>
      </c>
      <c r="J3281" s="16">
        <v>149103.76149980671</v>
      </c>
      <c r="K3281" s="5">
        <v>0.19642762130863864</v>
      </c>
      <c r="L3281" s="10">
        <v>298610.18109999999</v>
      </c>
    </row>
    <row r="3282" spans="1:12" x14ac:dyDescent="0.25">
      <c r="A3282">
        <v>3281</v>
      </c>
      <c r="B3282" s="3">
        <v>0.13462143987045688</v>
      </c>
      <c r="C3282" s="3">
        <v>7.2069552734950831E-2</v>
      </c>
      <c r="D3282" s="1">
        <v>127908.0792693137</v>
      </c>
      <c r="E3282" s="1">
        <v>3693874</v>
      </c>
      <c r="F3282" s="1">
        <v>16806251</v>
      </c>
      <c r="G3282" s="16">
        <v>106967.15289779268</v>
      </c>
      <c r="H3282">
        <v>511.48</v>
      </c>
      <c r="I3282" s="1">
        <v>1102.1399999999999</v>
      </c>
      <c r="J3282" s="16">
        <v>234875.23216710638</v>
      </c>
      <c r="K3282" s="5">
        <v>0.16971451439427393</v>
      </c>
      <c r="L3282" s="10">
        <v>359955.26760000002</v>
      </c>
    </row>
    <row r="3283" spans="1:12" x14ac:dyDescent="0.25">
      <c r="A3283">
        <v>3282</v>
      </c>
      <c r="B3283" s="3">
        <v>0.24275421787724194</v>
      </c>
      <c r="C3283" s="3">
        <v>7.4976785093860271E-2</v>
      </c>
      <c r="D3283" s="1">
        <v>76165.491755881289</v>
      </c>
      <c r="E3283" s="1">
        <v>3282848</v>
      </c>
      <c r="F3283" s="1">
        <v>19699339</v>
      </c>
      <c r="G3283" s="16">
        <v>21136.471180970813</v>
      </c>
      <c r="H3283">
        <v>294.10000000000002</v>
      </c>
      <c r="I3283" s="1">
        <v>813.84</v>
      </c>
      <c r="J3283" s="16">
        <v>97301.962936852098</v>
      </c>
      <c r="K3283" s="5">
        <v>4.4586547098254568E-2</v>
      </c>
      <c r="L3283" s="10">
        <v>59027.133099999999</v>
      </c>
    </row>
    <row r="3284" spans="1:12" x14ac:dyDescent="0.25">
      <c r="A3284">
        <v>3283</v>
      </c>
      <c r="B3284" s="3">
        <v>0.2222159718370455</v>
      </c>
      <c r="C3284" s="3">
        <v>2.1610785025112544E-2</v>
      </c>
      <c r="D3284" s="1">
        <v>61758.561098021164</v>
      </c>
      <c r="E3284" s="1">
        <v>3158376</v>
      </c>
      <c r="F3284" s="1">
        <v>22904419</v>
      </c>
      <c r="G3284" s="16">
        <v>16963.434445201776</v>
      </c>
      <c r="H3284">
        <v>148.34</v>
      </c>
      <c r="I3284" s="1">
        <v>417.97</v>
      </c>
      <c r="J3284" s="16">
        <v>78721.995543222933</v>
      </c>
      <c r="K3284" s="5">
        <v>1.4529339747981582E-2</v>
      </c>
      <c r="L3284" s="10">
        <v>83456.987299999993</v>
      </c>
    </row>
    <row r="3285" spans="1:12" x14ac:dyDescent="0.25">
      <c r="A3285">
        <v>3284</v>
      </c>
      <c r="B3285" s="3">
        <v>0.21699146926603713</v>
      </c>
      <c r="C3285" s="3">
        <v>6.8817544710330858E-2</v>
      </c>
      <c r="D3285" s="1">
        <v>185828.51588096417</v>
      </c>
      <c r="E3285" s="1">
        <v>9252282</v>
      </c>
      <c r="F3285" s="1">
        <v>42628973</v>
      </c>
      <c r="G3285" s="16">
        <v>26913.404651512374</v>
      </c>
      <c r="H3285">
        <v>224.53</v>
      </c>
      <c r="I3285" s="1">
        <v>638.9</v>
      </c>
      <c r="J3285" s="16">
        <v>212741.92053247654</v>
      </c>
      <c r="K3285" s="5">
        <v>0.13910304824430206</v>
      </c>
      <c r="L3285" s="10">
        <v>319539.3235</v>
      </c>
    </row>
    <row r="3286" spans="1:12" x14ac:dyDescent="0.25">
      <c r="A3286">
        <v>3285</v>
      </c>
      <c r="B3286" s="3">
        <v>0.18518297979521267</v>
      </c>
      <c r="C3286" s="3">
        <v>3.1888374006339384E-2</v>
      </c>
      <c r="D3286" s="1">
        <v>253121.06632141216</v>
      </c>
      <c r="E3286" s="1">
        <v>13189576</v>
      </c>
      <c r="F3286" s="1">
        <v>58039527</v>
      </c>
      <c r="G3286" s="16">
        <v>16800.820471684507</v>
      </c>
      <c r="H3286">
        <v>86.32</v>
      </c>
      <c r="I3286" s="1">
        <v>225.57</v>
      </c>
      <c r="J3286" s="16">
        <v>269921.88679309667</v>
      </c>
      <c r="K3286" s="5">
        <v>0.12078729676368138</v>
      </c>
      <c r="L3286" s="10">
        <v>856723.74789999996</v>
      </c>
    </row>
    <row r="3287" spans="1:12" x14ac:dyDescent="0.25">
      <c r="A3287">
        <v>3286</v>
      </c>
      <c r="B3287" s="3">
        <v>0.2178090163306039</v>
      </c>
      <c r="C3287" s="3">
        <v>6.2044102633231776E-2</v>
      </c>
      <c r="D3287" s="1">
        <v>219899.12161697834</v>
      </c>
      <c r="E3287" s="1">
        <v>10994498</v>
      </c>
      <c r="F3287" s="1">
        <v>38629697</v>
      </c>
      <c r="G3287" s="16">
        <v>37425.047438761852</v>
      </c>
      <c r="H3287">
        <v>314.45999999999998</v>
      </c>
      <c r="I3287" s="1">
        <v>708.4</v>
      </c>
      <c r="J3287" s="16">
        <v>257324.1690557402</v>
      </c>
      <c r="K3287" s="5">
        <v>0.25429195141541877</v>
      </c>
      <c r="L3287" s="10">
        <v>724299.76280000003</v>
      </c>
    </row>
    <row r="3288" spans="1:12" x14ac:dyDescent="0.25">
      <c r="A3288">
        <v>3287</v>
      </c>
      <c r="B3288" s="3">
        <v>0.1250500768785211</v>
      </c>
      <c r="C3288" s="3">
        <v>3.4499124030534511E-2</v>
      </c>
      <c r="D3288" s="1">
        <v>377030.1222078781</v>
      </c>
      <c r="E3288" s="1">
        <v>13761417</v>
      </c>
      <c r="F3288" s="1">
        <v>45697216</v>
      </c>
      <c r="G3288" s="16">
        <v>42690.346644676851</v>
      </c>
      <c r="H3288">
        <v>163.63</v>
      </c>
      <c r="I3288" s="1">
        <v>586.81999999999994</v>
      </c>
      <c r="J3288" s="16">
        <v>419720.46885255497</v>
      </c>
      <c r="K3288" s="5">
        <v>0.26732571167955776</v>
      </c>
      <c r="L3288" s="10">
        <v>2624525.4065999999</v>
      </c>
    </row>
    <row r="3289" spans="1:12" x14ac:dyDescent="0.25">
      <c r="A3289">
        <v>3288</v>
      </c>
      <c r="B3289" s="3">
        <v>0.16886789660500623</v>
      </c>
      <c r="C3289" s="3">
        <v>5.6208515799997846E-2</v>
      </c>
      <c r="D3289" s="1">
        <v>56539.344353299384</v>
      </c>
      <c r="E3289" s="1">
        <v>1843076</v>
      </c>
      <c r="F3289" s="1">
        <v>12415378</v>
      </c>
      <c r="G3289" s="16">
        <v>20189.850969461771</v>
      </c>
      <c r="H3289">
        <v>92.18</v>
      </c>
      <c r="I3289" s="1">
        <v>327.77</v>
      </c>
      <c r="J3289" s="16">
        <v>76729.195322761152</v>
      </c>
      <c r="K3289" s="5">
        <v>4.399765639086857E-2</v>
      </c>
      <c r="L3289" s="10">
        <v>74643.022899999996</v>
      </c>
    </row>
    <row r="3290" spans="1:12" x14ac:dyDescent="0.25">
      <c r="A3290">
        <v>3289</v>
      </c>
      <c r="B3290" s="3">
        <v>0.21148402375719352</v>
      </c>
      <c r="C3290" s="3">
        <v>5.3987022535740878E-2</v>
      </c>
      <c r="D3290" s="1">
        <v>100922.79088732573</v>
      </c>
      <c r="E3290" s="1">
        <v>4885960</v>
      </c>
      <c r="F3290" s="1">
        <v>27506043</v>
      </c>
      <c r="G3290" s="16">
        <v>44847.707029857389</v>
      </c>
      <c r="H3290">
        <v>451.48</v>
      </c>
      <c r="I3290" s="1">
        <v>1003.82</v>
      </c>
      <c r="J3290" s="16">
        <v>145770.49791718312</v>
      </c>
      <c r="K3290" s="5">
        <v>0.2329850864013116</v>
      </c>
      <c r="L3290" s="10">
        <v>482670.8627</v>
      </c>
    </row>
    <row r="3291" spans="1:12" x14ac:dyDescent="0.25">
      <c r="A3291">
        <v>3290</v>
      </c>
      <c r="B3291" s="3">
        <v>0.23904104539890875</v>
      </c>
      <c r="C3291" s="3">
        <v>6.6578245389668375E-2</v>
      </c>
      <c r="D3291" s="1">
        <v>115941.26912357927</v>
      </c>
      <c r="E3291" s="1">
        <v>6471366</v>
      </c>
      <c r="F3291" s="1">
        <v>25926856</v>
      </c>
      <c r="G3291" s="16">
        <v>19612.730115783874</v>
      </c>
      <c r="H3291">
        <v>151.9</v>
      </c>
      <c r="I3291" s="1">
        <v>362.16</v>
      </c>
      <c r="J3291" s="16">
        <v>135553.99923936315</v>
      </c>
      <c r="K3291" s="5">
        <v>0.19947214575501876</v>
      </c>
      <c r="L3291" s="10">
        <v>295180.82990000001</v>
      </c>
    </row>
    <row r="3292" spans="1:12" x14ac:dyDescent="0.25">
      <c r="A3292">
        <v>3291</v>
      </c>
      <c r="B3292" s="3">
        <v>0.18745058896944455</v>
      </c>
      <c r="C3292" s="3">
        <v>7.6522513475206444E-2</v>
      </c>
      <c r="D3292" s="1">
        <v>231265.95080027555</v>
      </c>
      <c r="E3292" s="1">
        <v>12219842</v>
      </c>
      <c r="F3292" s="1">
        <v>48708893</v>
      </c>
      <c r="G3292" s="16">
        <v>13717.722342661058</v>
      </c>
      <c r="H3292">
        <v>71.7</v>
      </c>
      <c r="I3292" s="1">
        <v>366.62999999999994</v>
      </c>
      <c r="J3292" s="16">
        <v>244983.6731429366</v>
      </c>
      <c r="K3292" s="5">
        <v>0.19528045793548834</v>
      </c>
      <c r="L3292" s="10">
        <v>419955.42690000002</v>
      </c>
    </row>
    <row r="3293" spans="1:12" x14ac:dyDescent="0.25">
      <c r="A3293">
        <v>3292</v>
      </c>
      <c r="B3293" s="3">
        <v>0.14874445029721428</v>
      </c>
      <c r="C3293" s="3">
        <v>4.5990309757309569E-2</v>
      </c>
      <c r="D3293" s="1">
        <v>112704.98873390121</v>
      </c>
      <c r="E3293" s="1">
        <v>3419532</v>
      </c>
      <c r="F3293" s="1">
        <v>19384514</v>
      </c>
      <c r="G3293" s="16">
        <v>45004.736192711011</v>
      </c>
      <c r="H3293">
        <v>208.97</v>
      </c>
      <c r="I3293" s="1">
        <v>602</v>
      </c>
      <c r="J3293" s="16">
        <v>157709.72492661222</v>
      </c>
      <c r="K3293" s="5">
        <v>4.4405069220268351E-2</v>
      </c>
      <c r="L3293" s="10">
        <v>126527.37760000001</v>
      </c>
    </row>
    <row r="3294" spans="1:12" x14ac:dyDescent="0.25">
      <c r="A3294">
        <v>3293</v>
      </c>
      <c r="B3294" s="3">
        <v>0.24551791884212604</v>
      </c>
      <c r="C3294" s="3">
        <v>2.289580163862814E-2</v>
      </c>
      <c r="D3294" s="1">
        <v>131309.05634859041</v>
      </c>
      <c r="E3294" s="1">
        <v>7584068</v>
      </c>
      <c r="F3294" s="1">
        <v>24923351</v>
      </c>
      <c r="G3294" s="16">
        <v>12293.830248916915</v>
      </c>
      <c r="H3294">
        <v>132.79</v>
      </c>
      <c r="I3294" s="1">
        <v>385.66999999999996</v>
      </c>
      <c r="J3294" s="16">
        <v>143602.88659750734</v>
      </c>
      <c r="K3294" s="5">
        <v>0.22723415127731214</v>
      </c>
      <c r="L3294" s="10">
        <v>1251512.0915999999</v>
      </c>
    </row>
    <row r="3295" spans="1:12" x14ac:dyDescent="0.25">
      <c r="A3295">
        <v>3294</v>
      </c>
      <c r="B3295" s="3">
        <v>0.20125334787077553</v>
      </c>
      <c r="C3295" s="3">
        <v>2.9782733238556382E-2</v>
      </c>
      <c r="D3295" s="1">
        <v>61684.295232621778</v>
      </c>
      <c r="E3295" s="1">
        <v>2265427</v>
      </c>
      <c r="F3295" s="1">
        <v>17585883</v>
      </c>
      <c r="G3295" s="16">
        <v>13359.89379096417</v>
      </c>
      <c r="H3295">
        <v>77.349999999999994</v>
      </c>
      <c r="I3295" s="1">
        <v>348.97</v>
      </c>
      <c r="J3295" s="16">
        <v>75044.189023585946</v>
      </c>
      <c r="K3295" s="5">
        <v>0.22832791345910697</v>
      </c>
      <c r="L3295" s="10">
        <v>524147.16119999997</v>
      </c>
    </row>
    <row r="3296" spans="1:12" x14ac:dyDescent="0.25">
      <c r="A3296">
        <v>3295</v>
      </c>
      <c r="B3296" s="3">
        <v>0.20189439405119591</v>
      </c>
      <c r="C3296" s="3">
        <v>2.3464686170953597E-2</v>
      </c>
      <c r="D3296" s="1">
        <v>33547.79887847248</v>
      </c>
      <c r="E3296" s="1">
        <v>985704</v>
      </c>
      <c r="F3296" s="1">
        <v>7430015</v>
      </c>
      <c r="G3296" s="16">
        <v>28755.436193756621</v>
      </c>
      <c r="H3296">
        <v>262.77</v>
      </c>
      <c r="I3296" s="1">
        <v>887.76</v>
      </c>
      <c r="J3296" s="16">
        <v>62303.235072229101</v>
      </c>
      <c r="K3296" s="5">
        <v>1.86775570109096E-2</v>
      </c>
      <c r="L3296" s="10">
        <v>39373.327599999997</v>
      </c>
    </row>
    <row r="3297" spans="1:12" x14ac:dyDescent="0.25">
      <c r="A3297">
        <v>3296</v>
      </c>
      <c r="B3297" s="3">
        <v>0.21159665780478865</v>
      </c>
      <c r="C3297" s="3">
        <v>4.5650925261311627E-2</v>
      </c>
      <c r="D3297" s="1">
        <v>114982.44426458771</v>
      </c>
      <c r="E3297" s="1">
        <v>4391254</v>
      </c>
      <c r="F3297" s="1">
        <v>16931689</v>
      </c>
      <c r="G3297" s="16">
        <v>22077.053632398864</v>
      </c>
      <c r="H3297">
        <v>138.22999999999999</v>
      </c>
      <c r="I3297" s="1">
        <v>339.05999999999995</v>
      </c>
      <c r="J3297" s="16">
        <v>137059.49789698658</v>
      </c>
      <c r="K3297" s="5">
        <v>0.28860690387577159</v>
      </c>
      <c r="L3297" s="10">
        <v>653278.74800000002</v>
      </c>
    </row>
    <row r="3298" spans="1:12" x14ac:dyDescent="0.25">
      <c r="A3298">
        <v>3297</v>
      </c>
      <c r="B3298" s="3">
        <v>0.15667011784432977</v>
      </c>
      <c r="C3298" s="3">
        <v>7.5044492457647077E-2</v>
      </c>
      <c r="D3298" s="1">
        <v>96545.085941519719</v>
      </c>
      <c r="E3298" s="1">
        <v>3572256</v>
      </c>
      <c r="F3298" s="1">
        <v>22694871</v>
      </c>
      <c r="G3298" s="16">
        <v>53324.159597664162</v>
      </c>
      <c r="H3298">
        <v>264.32</v>
      </c>
      <c r="I3298" s="1">
        <v>697.31999999999994</v>
      </c>
      <c r="J3298" s="16">
        <v>149869.24553918387</v>
      </c>
      <c r="K3298" s="5">
        <v>0.33454566152607146</v>
      </c>
      <c r="L3298" s="10">
        <v>472015.40610000002</v>
      </c>
    </row>
    <row r="3299" spans="1:12" x14ac:dyDescent="0.25">
      <c r="A3299">
        <v>3298</v>
      </c>
      <c r="B3299" s="3">
        <v>0.15994589658867867</v>
      </c>
      <c r="C3299" s="3">
        <v>4.1013683093697573E-2</v>
      </c>
      <c r="D3299" s="1">
        <v>178862.24596477405</v>
      </c>
      <c r="E3299" s="1">
        <v>6721903</v>
      </c>
      <c r="F3299" s="1">
        <v>36072926</v>
      </c>
      <c r="G3299" s="16">
        <v>89532.079320901321</v>
      </c>
      <c r="H3299">
        <v>646.29</v>
      </c>
      <c r="I3299" s="1">
        <v>1719.88</v>
      </c>
      <c r="J3299" s="16">
        <v>268394.32528567535</v>
      </c>
      <c r="K3299" s="5">
        <v>5.573887668571275E-2</v>
      </c>
      <c r="L3299" s="10">
        <v>370779.00280000002</v>
      </c>
    </row>
    <row r="3300" spans="1:12" x14ac:dyDescent="0.25">
      <c r="A3300">
        <v>3299</v>
      </c>
      <c r="B3300" s="3">
        <v>0.18060951729455832</v>
      </c>
      <c r="C3300" s="3">
        <v>3.8013432197395093E-2</v>
      </c>
      <c r="D3300" s="1">
        <v>69108.197270134231</v>
      </c>
      <c r="E3300" s="1">
        <v>2351040</v>
      </c>
      <c r="F3300" s="1">
        <v>16780529</v>
      </c>
      <c r="G3300" s="16">
        <v>15270.356331955234</v>
      </c>
      <c r="H3300">
        <v>75.930000000000007</v>
      </c>
      <c r="I3300" s="1">
        <v>272.77</v>
      </c>
      <c r="J3300" s="16">
        <v>84378.553602089465</v>
      </c>
      <c r="K3300" s="5">
        <v>8.3888533872392326E-2</v>
      </c>
      <c r="L3300" s="10">
        <v>183774.3144</v>
      </c>
    </row>
    <row r="3301" spans="1:12" x14ac:dyDescent="0.25">
      <c r="A3301">
        <v>3300</v>
      </c>
      <c r="B3301" s="3">
        <v>0.12177197264600385</v>
      </c>
      <c r="C3301" s="3">
        <v>3.0281394569102893E-2</v>
      </c>
      <c r="D3301" s="1">
        <v>306583.28224272083</v>
      </c>
      <c r="E3301" s="1">
        <v>9645448</v>
      </c>
      <c r="F3301" s="1">
        <v>42910910</v>
      </c>
      <c r="G3301" s="16">
        <v>27362.560948740989</v>
      </c>
      <c r="H3301">
        <v>102.15</v>
      </c>
      <c r="I3301" s="1">
        <v>397.27</v>
      </c>
      <c r="J3301" s="16">
        <v>333945.84319146181</v>
      </c>
      <c r="K3301" s="5">
        <v>0.28332963672764072</v>
      </c>
      <c r="L3301" s="10">
        <v>2604823.1423999998</v>
      </c>
    </row>
    <row r="3302" spans="1:12" x14ac:dyDescent="0.25">
      <c r="A3302">
        <v>3301</v>
      </c>
      <c r="B3302" s="3">
        <v>0.2159442414269836</v>
      </c>
      <c r="C3302" s="3">
        <v>7.5642918638740828E-2</v>
      </c>
      <c r="D3302" s="1">
        <v>41204.700595508075</v>
      </c>
      <c r="E3302" s="1">
        <v>1599957</v>
      </c>
      <c r="F3302" s="1">
        <v>12104331</v>
      </c>
      <c r="G3302" s="16">
        <v>10827.4231621869</v>
      </c>
      <c r="H3302">
        <v>70.05</v>
      </c>
      <c r="I3302" s="1">
        <v>253.24</v>
      </c>
      <c r="J3302" s="16">
        <v>52032.123757694979</v>
      </c>
      <c r="K3302" s="5">
        <v>8.9225439330720094E-2</v>
      </c>
      <c r="L3302" s="10">
        <v>52863.871700000003</v>
      </c>
    </row>
    <row r="3303" spans="1:12" x14ac:dyDescent="0.25">
      <c r="A3303">
        <v>3302</v>
      </c>
      <c r="B3303" s="3">
        <v>0.14137005989146856</v>
      </c>
      <c r="C3303" s="3">
        <v>2.8899357314882926E-2</v>
      </c>
      <c r="D3303" s="1">
        <v>366509.87285286922</v>
      </c>
      <c r="E3303" s="1">
        <v>12620155</v>
      </c>
      <c r="F3303" s="1">
        <v>36233623</v>
      </c>
      <c r="G3303" s="16">
        <v>50778.457459069788</v>
      </c>
      <c r="H3303">
        <v>221.74</v>
      </c>
      <c r="I3303" s="1">
        <v>767.01</v>
      </c>
      <c r="J3303" s="16">
        <v>417288.330311939</v>
      </c>
      <c r="K3303" s="5">
        <v>-3.0860253101253329E-2</v>
      </c>
      <c r="L3303" s="10">
        <v>-329230.64360000001</v>
      </c>
    </row>
    <row r="3304" spans="1:12" x14ac:dyDescent="0.25">
      <c r="A3304">
        <v>3303</v>
      </c>
      <c r="B3304" s="3">
        <v>0.12442071068338868</v>
      </c>
      <c r="C3304" s="3">
        <v>3.0811930997187532E-2</v>
      </c>
      <c r="D3304" s="1">
        <v>87832.596648371589</v>
      </c>
      <c r="E3304" s="1">
        <v>2448908</v>
      </c>
      <c r="F3304" s="1">
        <v>19585656</v>
      </c>
      <c r="G3304" s="16">
        <v>33883.429134969207</v>
      </c>
      <c r="H3304">
        <v>129.33000000000001</v>
      </c>
      <c r="I3304" s="1">
        <v>448.63</v>
      </c>
      <c r="J3304" s="16">
        <v>121716.0257833408</v>
      </c>
      <c r="K3304" s="5">
        <v>0.28122695320904512</v>
      </c>
      <c r="L3304" s="10">
        <v>968655.52390000003</v>
      </c>
    </row>
    <row r="3305" spans="1:12" x14ac:dyDescent="0.25">
      <c r="A3305">
        <v>3304</v>
      </c>
      <c r="B3305" s="3">
        <v>0.20318053905437627</v>
      </c>
      <c r="C3305" s="3">
        <v>6.9988194673218096E-2</v>
      </c>
      <c r="D3305" s="1">
        <v>111681.89213787009</v>
      </c>
      <c r="E3305" s="1">
        <v>4131474</v>
      </c>
      <c r="F3305" s="1">
        <v>16437860</v>
      </c>
      <c r="G3305" s="16">
        <v>21160.633048760043</v>
      </c>
      <c r="H3305">
        <v>124.28</v>
      </c>
      <c r="I3305" s="1">
        <v>379.53</v>
      </c>
      <c r="J3305" s="16">
        <v>132842.52518663014</v>
      </c>
      <c r="K3305" s="5">
        <v>0.16203563595173762</v>
      </c>
      <c r="L3305" s="10">
        <v>191234.91029999999</v>
      </c>
    </row>
    <row r="3306" spans="1:12" x14ac:dyDescent="0.25">
      <c r="A3306">
        <v>3305</v>
      </c>
      <c r="B3306" s="3">
        <v>0.17208225391536236</v>
      </c>
      <c r="C3306" s="3">
        <v>5.7785631221795503E-2</v>
      </c>
      <c r="D3306" s="1">
        <v>50836.415703495804</v>
      </c>
      <c r="E3306" s="1">
        <v>1676548</v>
      </c>
      <c r="F3306" s="1">
        <v>12325618</v>
      </c>
      <c r="G3306" s="16">
        <v>49340.162564116421</v>
      </c>
      <c r="H3306">
        <v>278.51</v>
      </c>
      <c r="I3306" s="1">
        <v>701.93999999999994</v>
      </c>
      <c r="J3306" s="16">
        <v>100176.57826761223</v>
      </c>
      <c r="K3306" s="5">
        <v>1.3196758229607548E-2</v>
      </c>
      <c r="L3306" s="10">
        <v>33901.978499999997</v>
      </c>
    </row>
    <row r="3307" spans="1:12" x14ac:dyDescent="0.25">
      <c r="A3307">
        <v>3306</v>
      </c>
      <c r="B3307" s="3">
        <v>0.18373528837779327</v>
      </c>
      <c r="C3307" s="3">
        <v>5.738763678694192E-2</v>
      </c>
      <c r="D3307" s="1">
        <v>90813.853365703646</v>
      </c>
      <c r="E3307" s="1">
        <v>3125086</v>
      </c>
      <c r="F3307" s="1">
        <v>21096391</v>
      </c>
      <c r="G3307" s="16">
        <v>50652.567042251336</v>
      </c>
      <c r="H3307">
        <v>387.09</v>
      </c>
      <c r="I3307" s="1">
        <v>1131.1500000000001</v>
      </c>
      <c r="J3307" s="16">
        <v>141466.42040795498</v>
      </c>
      <c r="K3307" s="5">
        <v>0.20003897461231734</v>
      </c>
      <c r="L3307" s="10">
        <v>410022.33789999998</v>
      </c>
    </row>
    <row r="3308" spans="1:12" x14ac:dyDescent="0.25">
      <c r="A3308">
        <v>3307</v>
      </c>
      <c r="B3308" s="3">
        <v>0.13278843745681437</v>
      </c>
      <c r="C3308" s="3">
        <v>4.2811922131425512E-2</v>
      </c>
      <c r="D3308" s="1">
        <v>109094.02842637461</v>
      </c>
      <c r="E3308" s="1">
        <v>3609966</v>
      </c>
      <c r="F3308" s="1">
        <v>27980210</v>
      </c>
      <c r="G3308" s="16">
        <v>30605.534412776691</v>
      </c>
      <c r="H3308">
        <v>125.02</v>
      </c>
      <c r="I3308" s="1">
        <v>419.99</v>
      </c>
      <c r="J3308" s="16">
        <v>139699.5628391513</v>
      </c>
      <c r="K3308" s="5">
        <v>-2.730260681637682E-3</v>
      </c>
      <c r="L3308" s="10">
        <v>-37957.093200000003</v>
      </c>
    </row>
    <row r="3309" spans="1:12" x14ac:dyDescent="0.25">
      <c r="A3309">
        <v>3308</v>
      </c>
      <c r="B3309" s="3">
        <v>0.24823946069907424</v>
      </c>
      <c r="C3309" s="3">
        <v>3.2915726596378127E-2</v>
      </c>
      <c r="D3309" s="1">
        <v>92202.486708965254</v>
      </c>
      <c r="E3309" s="1">
        <v>4061691</v>
      </c>
      <c r="F3309" s="1">
        <v>19494499</v>
      </c>
      <c r="G3309" s="16">
        <v>7305.6276098260823</v>
      </c>
      <c r="H3309">
        <v>60.88</v>
      </c>
      <c r="I3309" s="1">
        <v>222.37</v>
      </c>
      <c r="J3309" s="16">
        <v>99508.11431879134</v>
      </c>
      <c r="K3309" s="5">
        <v>8.465702037741335E-2</v>
      </c>
      <c r="L3309" s="10">
        <v>219202.9032</v>
      </c>
    </row>
    <row r="3310" spans="1:12" x14ac:dyDescent="0.25">
      <c r="A3310">
        <v>3309</v>
      </c>
      <c r="B3310" s="3">
        <v>0.14429754412415066</v>
      </c>
      <c r="C3310" s="3">
        <v>4.9450806588605276E-2</v>
      </c>
      <c r="D3310" s="1">
        <v>244506.68401698253</v>
      </c>
      <c r="E3310" s="1">
        <v>9974231</v>
      </c>
      <c r="F3310" s="1">
        <v>47738389</v>
      </c>
      <c r="G3310" s="16">
        <v>22023.971112711719</v>
      </c>
      <c r="H3310">
        <v>84.53</v>
      </c>
      <c r="I3310" s="1">
        <v>302.86</v>
      </c>
      <c r="J3310" s="16">
        <v>266530.65512969426</v>
      </c>
      <c r="K3310" s="5">
        <v>0.3041809311950765</v>
      </c>
      <c r="L3310" s="10">
        <v>1323854.7845000001</v>
      </c>
    </row>
    <row r="3311" spans="1:12" x14ac:dyDescent="0.25">
      <c r="A3311">
        <v>3310</v>
      </c>
      <c r="B3311" s="3">
        <v>0.14623193602509099</v>
      </c>
      <c r="C3311" s="3">
        <v>3.4767235410678152E-2</v>
      </c>
      <c r="D3311" s="1">
        <v>218447.77362962326</v>
      </c>
      <c r="E3311" s="1">
        <v>7694690</v>
      </c>
      <c r="F3311" s="1">
        <v>31031744</v>
      </c>
      <c r="G3311" s="16">
        <v>14461.896513428397</v>
      </c>
      <c r="H3311">
        <v>47.96</v>
      </c>
      <c r="I3311" s="1">
        <v>174.14</v>
      </c>
      <c r="J3311" s="16">
        <v>232909.67014305166</v>
      </c>
      <c r="K3311" s="5">
        <v>0.27093771414413625</v>
      </c>
      <c r="L3311" s="10">
        <v>1443516.6845</v>
      </c>
    </row>
    <row r="3312" spans="1:12" x14ac:dyDescent="0.25">
      <c r="A3312">
        <v>3311</v>
      </c>
      <c r="B3312" s="3">
        <v>0.21545169215631763</v>
      </c>
      <c r="C3312" s="3">
        <v>2.8189423026985551E-2</v>
      </c>
      <c r="D3312" s="1">
        <v>84195.996234186212</v>
      </c>
      <c r="E3312" s="1">
        <v>3263141</v>
      </c>
      <c r="F3312" s="1">
        <v>14899145</v>
      </c>
      <c r="G3312" s="16">
        <v>14483.605980409176</v>
      </c>
      <c r="H3312">
        <v>93.32</v>
      </c>
      <c r="I3312" s="1">
        <v>317.14999999999998</v>
      </c>
      <c r="J3312" s="16">
        <v>98679.60221459539</v>
      </c>
      <c r="K3312" s="5">
        <v>0.22910788605643226</v>
      </c>
      <c r="L3312" s="10">
        <v>669063.52390000003</v>
      </c>
    </row>
    <row r="3313" spans="1:12" x14ac:dyDescent="0.25">
      <c r="A3313">
        <v>3312</v>
      </c>
      <c r="B3313" s="3">
        <v>0.13260116193794891</v>
      </c>
      <c r="C3313" s="3">
        <v>5.0389718135275388E-2</v>
      </c>
      <c r="D3313" s="1">
        <v>214143.17862233741</v>
      </c>
      <c r="E3313" s="1">
        <v>7079981</v>
      </c>
      <c r="F3313" s="1">
        <v>31625113</v>
      </c>
      <c r="G3313" s="16">
        <v>73787.474182614562</v>
      </c>
      <c r="H3313">
        <v>346.5</v>
      </c>
      <c r="I3313" s="1">
        <v>871.84</v>
      </c>
      <c r="J3313" s="16">
        <v>287930.652804952</v>
      </c>
      <c r="K3313" s="5">
        <v>9.2854503059976473E-2</v>
      </c>
      <c r="L3313" s="10">
        <v>396731.42879999999</v>
      </c>
    </row>
    <row r="3314" spans="1:12" x14ac:dyDescent="0.25">
      <c r="A3314">
        <v>3313</v>
      </c>
      <c r="B3314" s="3">
        <v>0.11330258758722236</v>
      </c>
      <c r="C3314" s="3">
        <v>2.224007235672637E-2</v>
      </c>
      <c r="D3314" s="1">
        <v>134402.77818683165</v>
      </c>
      <c r="E3314" s="1">
        <v>3608145</v>
      </c>
      <c r="F3314" s="1">
        <v>19952041</v>
      </c>
      <c r="G3314" s="16">
        <v>76357.342506706045</v>
      </c>
      <c r="H3314">
        <v>266.44</v>
      </c>
      <c r="I3314" s="1">
        <v>726.55</v>
      </c>
      <c r="J3314" s="16">
        <v>210760.1206935377</v>
      </c>
      <c r="K3314" s="5">
        <v>4.4061180699405206E-2</v>
      </c>
      <c r="L3314" s="10">
        <v>412657.21679999999</v>
      </c>
    </row>
    <row r="3315" spans="1:12" x14ac:dyDescent="0.25">
      <c r="A3315">
        <v>3314</v>
      </c>
      <c r="B3315" s="3">
        <v>0.23852177455317441</v>
      </c>
      <c r="C3315" s="3">
        <v>6.7529889711913191E-2</v>
      </c>
      <c r="D3315" s="1">
        <v>153181.65445582898</v>
      </c>
      <c r="E3315" s="1">
        <v>8526679</v>
      </c>
      <c r="F3315" s="1">
        <v>29963923</v>
      </c>
      <c r="G3315" s="16">
        <v>11676.273287866823</v>
      </c>
      <c r="H3315">
        <v>90.03</v>
      </c>
      <c r="I3315" s="1">
        <v>257.03999999999996</v>
      </c>
      <c r="J3315" s="16">
        <v>164857.92774369579</v>
      </c>
      <c r="K3315" s="5">
        <v>0.18331390764622366</v>
      </c>
      <c r="L3315" s="10">
        <v>325293.96189999999</v>
      </c>
    </row>
    <row r="3316" spans="1:12" x14ac:dyDescent="0.25">
      <c r="A3316">
        <v>3315</v>
      </c>
      <c r="B3316" s="3">
        <v>0.11522265942933653</v>
      </c>
      <c r="C3316" s="3">
        <v>3.9022736016889742E-2</v>
      </c>
      <c r="D3316" s="1">
        <v>112769.79299888357</v>
      </c>
      <c r="E3316" s="1">
        <v>3047147</v>
      </c>
      <c r="F3316" s="1">
        <v>18199343</v>
      </c>
      <c r="G3316" s="16">
        <v>54193.344976329317</v>
      </c>
      <c r="H3316">
        <v>192.11</v>
      </c>
      <c r="I3316" s="1">
        <v>527.22</v>
      </c>
      <c r="J3316" s="16">
        <v>166963.13797521289</v>
      </c>
      <c r="K3316" s="5">
        <v>0.22268463179503412</v>
      </c>
      <c r="L3316" s="10">
        <v>743220.88950000005</v>
      </c>
    </row>
    <row r="3317" spans="1:12" x14ac:dyDescent="0.25">
      <c r="A3317">
        <v>3316</v>
      </c>
      <c r="B3317" s="3">
        <v>0.20961127221266412</v>
      </c>
      <c r="C3317" s="3">
        <v>3.9039218150391616E-2</v>
      </c>
      <c r="D3317" s="1">
        <v>69143.481139466618</v>
      </c>
      <c r="E3317" s="1">
        <v>3315822</v>
      </c>
      <c r="F3317" s="1">
        <v>25623380</v>
      </c>
      <c r="G3317" s="16">
        <v>33443.060467159368</v>
      </c>
      <c r="H3317">
        <v>261.14999999999998</v>
      </c>
      <c r="I3317" s="1">
        <v>718.73</v>
      </c>
      <c r="J3317" s="16">
        <v>102586.54160662598</v>
      </c>
      <c r="K3317" s="5">
        <v>5.6663886067282565E-2</v>
      </c>
      <c r="L3317" s="10">
        <v>162184.26740000001</v>
      </c>
    </row>
    <row r="3318" spans="1:12" x14ac:dyDescent="0.25">
      <c r="A3318">
        <v>3317</v>
      </c>
      <c r="B3318" s="3">
        <v>0.23652343980224863</v>
      </c>
      <c r="C3318" s="3">
        <v>5.7207706757424467E-2</v>
      </c>
      <c r="D3318" s="1">
        <v>94476.053371511269</v>
      </c>
      <c r="E3318" s="1">
        <v>5204056</v>
      </c>
      <c r="F3318" s="1">
        <v>30237104</v>
      </c>
      <c r="G3318" s="16">
        <v>23414.066917498021</v>
      </c>
      <c r="H3318">
        <v>232.91</v>
      </c>
      <c r="I3318" s="1">
        <v>563.41999999999996</v>
      </c>
      <c r="J3318" s="16">
        <v>117890.1202890093</v>
      </c>
      <c r="K3318" s="5">
        <v>0.18273256989106598</v>
      </c>
      <c r="L3318" s="10">
        <v>269836.9656</v>
      </c>
    </row>
    <row r="3319" spans="1:12" x14ac:dyDescent="0.25">
      <c r="A3319">
        <v>3318</v>
      </c>
      <c r="B3319" s="3">
        <v>0.12961729906019223</v>
      </c>
      <c r="C3319" s="3">
        <v>2.2640810368480861E-2</v>
      </c>
      <c r="D3319" s="1">
        <v>129580.80463387769</v>
      </c>
      <c r="E3319" s="1">
        <v>4225737</v>
      </c>
      <c r="F3319" s="1">
        <v>23066998</v>
      </c>
      <c r="G3319" s="16">
        <v>20392.051209116173</v>
      </c>
      <c r="H3319">
        <v>61.57</v>
      </c>
      <c r="I3319" s="1">
        <v>189.89999999999998</v>
      </c>
      <c r="J3319" s="16">
        <v>149972.85584299386</v>
      </c>
      <c r="K3319" s="5">
        <v>9.4513938100324324E-3</v>
      </c>
      <c r="L3319" s="10">
        <v>77842.791800000006</v>
      </c>
    </row>
    <row r="3320" spans="1:12" x14ac:dyDescent="0.25">
      <c r="A3320">
        <v>3319</v>
      </c>
      <c r="B3320" s="3">
        <v>0.22994659640088347</v>
      </c>
      <c r="C3320" s="3">
        <v>2.9671489591585512E-2</v>
      </c>
      <c r="D3320" s="1">
        <v>128891.93659548428</v>
      </c>
      <c r="E3320" s="1">
        <v>8908900</v>
      </c>
      <c r="F3320" s="1">
        <v>53217312</v>
      </c>
      <c r="G3320" s="16">
        <v>31192.189480836121</v>
      </c>
      <c r="H3320">
        <v>292.43</v>
      </c>
      <c r="I3320" s="1">
        <v>744.53</v>
      </c>
      <c r="J3320" s="16">
        <v>160084.12607632039</v>
      </c>
      <c r="K3320" s="5">
        <v>0.24730189372662356</v>
      </c>
      <c r="L3320" s="10">
        <v>1224694.4273999999</v>
      </c>
    </row>
    <row r="3321" spans="1:12" x14ac:dyDescent="0.25">
      <c r="A3321">
        <v>3320</v>
      </c>
      <c r="B3321" s="3">
        <v>0.21704787256112257</v>
      </c>
      <c r="C3321" s="3">
        <v>2.2240671791208869E-2</v>
      </c>
      <c r="D3321" s="1">
        <v>41405.563182052938</v>
      </c>
      <c r="E3321" s="1">
        <v>1614569</v>
      </c>
      <c r="F3321" s="1">
        <v>13464946</v>
      </c>
      <c r="G3321" s="16">
        <v>18486.578048354731</v>
      </c>
      <c r="H3321">
        <v>154.08000000000001</v>
      </c>
      <c r="I3321" s="1">
        <v>472.28</v>
      </c>
      <c r="J3321" s="16">
        <v>59892.141230407666</v>
      </c>
      <c r="K3321" s="5">
        <v>7.4110425043609984E-2</v>
      </c>
      <c r="L3321" s="10">
        <v>220410.0098</v>
      </c>
    </row>
    <row r="3322" spans="1:12" x14ac:dyDescent="0.25">
      <c r="A3322">
        <v>3321</v>
      </c>
      <c r="B3322" s="3">
        <v>0.17751806812096238</v>
      </c>
      <c r="C3322" s="3">
        <v>6.4028025608586614E-2</v>
      </c>
      <c r="D3322" s="1">
        <v>328583.53964419843</v>
      </c>
      <c r="E3322" s="1">
        <v>16338664</v>
      </c>
      <c r="F3322" s="1">
        <v>64411655</v>
      </c>
      <c r="G3322" s="16">
        <v>13991.251738165649</v>
      </c>
      <c r="H3322">
        <v>67.930000000000007</v>
      </c>
      <c r="I3322" s="1">
        <v>201.92000000000002</v>
      </c>
      <c r="J3322" s="16">
        <v>342574.79138236406</v>
      </c>
      <c r="K3322" s="5">
        <v>0.10097661180962297</v>
      </c>
      <c r="L3322" s="10">
        <v>356659.00260000001</v>
      </c>
    </row>
    <row r="3323" spans="1:12" x14ac:dyDescent="0.25">
      <c r="A3323">
        <v>3322</v>
      </c>
      <c r="B3323" s="3">
        <v>0.17132925656976628</v>
      </c>
      <c r="C3323" s="3">
        <v>3.2618440205571177E-2</v>
      </c>
      <c r="D3323" s="1">
        <v>371697.30247070309</v>
      </c>
      <c r="E3323" s="1">
        <v>17802535</v>
      </c>
      <c r="F3323" s="1">
        <v>56012929</v>
      </c>
      <c r="G3323" s="16">
        <v>48437.223955151916</v>
      </c>
      <c r="H3323">
        <v>328.12</v>
      </c>
      <c r="I3323" s="1">
        <v>907.49</v>
      </c>
      <c r="J3323" s="16">
        <v>420134.526425855</v>
      </c>
      <c r="K3323" s="5">
        <v>4.5515154690623498E-2</v>
      </c>
      <c r="L3323" s="10">
        <v>544406.66749999998</v>
      </c>
    </row>
    <row r="3324" spans="1:12" x14ac:dyDescent="0.25">
      <c r="A3324">
        <v>3323</v>
      </c>
      <c r="B3324" s="3">
        <v>0.18701823250481941</v>
      </c>
      <c r="C3324" s="3">
        <v>6.6234883642987838E-2</v>
      </c>
      <c r="D3324" s="1">
        <v>366162.87696139427</v>
      </c>
      <c r="E3324" s="1">
        <v>19296244</v>
      </c>
      <c r="F3324" s="1">
        <v>61321051</v>
      </c>
      <c r="G3324" s="16">
        <v>25717.025538334976</v>
      </c>
      <c r="H3324">
        <v>133.91</v>
      </c>
      <c r="I3324" s="1">
        <v>354.65999999999997</v>
      </c>
      <c r="J3324" s="16">
        <v>391879.90249972924</v>
      </c>
      <c r="K3324" s="5">
        <v>7.6295087038056625E-2</v>
      </c>
      <c r="L3324" s="10">
        <v>298776.83279999997</v>
      </c>
    </row>
    <row r="3325" spans="1:12" x14ac:dyDescent="0.25">
      <c r="A3325">
        <v>3324</v>
      </c>
      <c r="B3325" s="3">
        <v>0.18161893096341414</v>
      </c>
      <c r="C3325" s="3">
        <v>2.9688063857959513E-2</v>
      </c>
      <c r="D3325" s="1">
        <v>68268.962617008336</v>
      </c>
      <c r="E3325" s="1">
        <v>2331092</v>
      </c>
      <c r="F3325" s="1">
        <v>18687329</v>
      </c>
      <c r="G3325" s="16">
        <v>35967.451300602486</v>
      </c>
      <c r="H3325">
        <v>220.29</v>
      </c>
      <c r="I3325" s="1">
        <v>656.81000000000006</v>
      </c>
      <c r="J3325" s="16">
        <v>104236.41391761083</v>
      </c>
      <c r="K3325" s="5">
        <v>2.2348970463514365E-2</v>
      </c>
      <c r="L3325" s="10">
        <v>84512.4568</v>
      </c>
    </row>
    <row r="3326" spans="1:12" x14ac:dyDescent="0.25">
      <c r="A3326">
        <v>3325</v>
      </c>
      <c r="B3326" s="3">
        <v>0.17379173367442657</v>
      </c>
      <c r="C3326" s="3">
        <v>4.11084940913089E-2</v>
      </c>
      <c r="D3326" s="1">
        <v>266773.4803614968</v>
      </c>
      <c r="E3326" s="1">
        <v>12968758</v>
      </c>
      <c r="F3326" s="1">
        <v>47530153</v>
      </c>
      <c r="G3326" s="16">
        <v>20769.321294108442</v>
      </c>
      <c r="H3326">
        <v>119.02</v>
      </c>
      <c r="I3326" s="1">
        <v>398.92999999999995</v>
      </c>
      <c r="J3326" s="16">
        <v>287542.80165560526</v>
      </c>
      <c r="K3326" s="5">
        <v>0.15217210616747623</v>
      </c>
      <c r="L3326" s="10">
        <v>874139.07770000002</v>
      </c>
    </row>
    <row r="3327" spans="1:12" x14ac:dyDescent="0.25">
      <c r="A3327">
        <v>3326</v>
      </c>
      <c r="B3327" s="3">
        <v>0.19564253339629972</v>
      </c>
      <c r="C3327" s="3">
        <v>3.2974678020984485E-2</v>
      </c>
      <c r="D3327" s="1">
        <v>44761.40827699603</v>
      </c>
      <c r="E3327" s="1">
        <v>1609756</v>
      </c>
      <c r="F3327" s="1">
        <v>11715934</v>
      </c>
      <c r="G3327" s="16">
        <v>29216.659925120966</v>
      </c>
      <c r="H3327">
        <v>251.07</v>
      </c>
      <c r="I3327" s="1">
        <v>993.45</v>
      </c>
      <c r="J3327" s="16">
        <v>73978.068202116992</v>
      </c>
      <c r="K3327" s="5">
        <v>0.15757698065190248</v>
      </c>
      <c r="L3327" s="10">
        <v>325717.73340000003</v>
      </c>
    </row>
    <row r="3328" spans="1:12" x14ac:dyDescent="0.25">
      <c r="A3328">
        <v>3327</v>
      </c>
      <c r="B3328" s="3">
        <v>0.15299978724812485</v>
      </c>
      <c r="C3328" s="3">
        <v>3.9431965863115752E-2</v>
      </c>
      <c r="D3328" s="1">
        <v>273834.52680013794</v>
      </c>
      <c r="E3328" s="1">
        <v>11756366</v>
      </c>
      <c r="F3328" s="1">
        <v>49993746</v>
      </c>
      <c r="G3328" s="16">
        <v>25840.675902000836</v>
      </c>
      <c r="H3328">
        <v>105.32</v>
      </c>
      <c r="I3328" s="1">
        <v>274.49</v>
      </c>
      <c r="J3328" s="16">
        <v>299675.20270213881</v>
      </c>
      <c r="K3328" s="5">
        <v>0.16802190959131694</v>
      </c>
      <c r="L3328" s="10">
        <v>975955.67319999996</v>
      </c>
    </row>
    <row r="3329" spans="1:12" x14ac:dyDescent="0.25">
      <c r="A3329">
        <v>3328</v>
      </c>
      <c r="B3329" s="3">
        <v>0.12304431562745589</v>
      </c>
      <c r="C3329" s="3">
        <v>4.4364761161626701E-2</v>
      </c>
      <c r="D3329" s="1">
        <v>179756.10709870604</v>
      </c>
      <c r="E3329" s="1">
        <v>5688213</v>
      </c>
      <c r="F3329" s="1">
        <v>23114137</v>
      </c>
      <c r="G3329" s="16">
        <v>17169.899592261776</v>
      </c>
      <c r="H3329">
        <v>56.77</v>
      </c>
      <c r="I3329" s="1">
        <v>227.4</v>
      </c>
      <c r="J3329" s="16">
        <v>196926.00669096783</v>
      </c>
      <c r="K3329" s="5">
        <v>-3.8310327196141525E-2</v>
      </c>
      <c r="L3329" s="10">
        <v>-121540.5481</v>
      </c>
    </row>
    <row r="3330" spans="1:12" x14ac:dyDescent="0.25">
      <c r="A3330">
        <v>3329</v>
      </c>
      <c r="B3330" s="3">
        <v>0.24215841468797489</v>
      </c>
      <c r="C3330" s="3">
        <v>3.1113511268520196E-2</v>
      </c>
      <c r="D3330" s="1">
        <v>172121.29995688581</v>
      </c>
      <c r="E3330" s="1">
        <v>12886801</v>
      </c>
      <c r="F3330" s="1">
        <v>43927764</v>
      </c>
      <c r="G3330" s="16">
        <v>10277.89025628315</v>
      </c>
      <c r="H3330">
        <v>81.62</v>
      </c>
      <c r="I3330" s="1">
        <v>297.35000000000002</v>
      </c>
      <c r="J3330" s="16">
        <v>182399.19021316897</v>
      </c>
      <c r="K3330" s="5">
        <v>6.186028942572866E-2</v>
      </c>
      <c r="L3330" s="10">
        <v>325843.91489999997</v>
      </c>
    </row>
    <row r="3331" spans="1:12" x14ac:dyDescent="0.25">
      <c r="A3331">
        <v>3330</v>
      </c>
      <c r="B3331" s="3">
        <v>0.22862509797856401</v>
      </c>
      <c r="C3331" s="3">
        <v>5.4127985963103031E-2</v>
      </c>
      <c r="D3331" s="1">
        <v>177814.36245340024</v>
      </c>
      <c r="E3331" s="1">
        <v>9399567</v>
      </c>
      <c r="F3331" s="1">
        <v>28927905</v>
      </c>
      <c r="G3331" s="16">
        <v>8216.7875973446389</v>
      </c>
      <c r="H3331">
        <v>58.61</v>
      </c>
      <c r="I3331" s="1">
        <v>244.28999999999996</v>
      </c>
      <c r="J3331" s="16">
        <v>186031.15005074488</v>
      </c>
      <c r="K3331" s="5">
        <v>3.9725237910344602E-2</v>
      </c>
      <c r="L3331" s="10">
        <v>100413.7197</v>
      </c>
    </row>
    <row r="3332" spans="1:12" x14ac:dyDescent="0.25">
      <c r="A3332">
        <v>3331</v>
      </c>
      <c r="B3332" s="3">
        <v>0.19344068850246909</v>
      </c>
      <c r="C3332" s="3">
        <v>2.1245169733793482E-2</v>
      </c>
      <c r="D3332" s="1">
        <v>167064.27995038265</v>
      </c>
      <c r="E3332" s="1">
        <v>7388237</v>
      </c>
      <c r="F3332" s="1">
        <v>35761055</v>
      </c>
      <c r="G3332" s="16">
        <v>12403.895286575465</v>
      </c>
      <c r="H3332">
        <v>67.790000000000006</v>
      </c>
      <c r="I3332" s="1">
        <v>299.79000000000002</v>
      </c>
      <c r="J3332" s="16">
        <v>179468.17523695811</v>
      </c>
      <c r="K3332" s="5">
        <v>3.0597413362924215E-2</v>
      </c>
      <c r="L3332" s="10">
        <v>285057.10930000001</v>
      </c>
    </row>
    <row r="3333" spans="1:12" x14ac:dyDescent="0.25">
      <c r="A3333">
        <v>3332</v>
      </c>
      <c r="B3333" s="3">
        <v>0.11388674121162894</v>
      </c>
      <c r="C3333" s="3">
        <v>6.7728686231229712E-2</v>
      </c>
      <c r="D3333" s="1">
        <v>275149.73718343076</v>
      </c>
      <c r="E3333" s="1">
        <v>8352475</v>
      </c>
      <c r="F3333" s="1">
        <v>29703280</v>
      </c>
      <c r="G3333" s="16">
        <v>95123.52138555453</v>
      </c>
      <c r="H3333">
        <v>333.29</v>
      </c>
      <c r="I3333" s="1">
        <v>754.27</v>
      </c>
      <c r="J3333" s="16">
        <v>370273.25856898527</v>
      </c>
      <c r="K3333" s="5">
        <v>0.12427228667169464</v>
      </c>
      <c r="L3333" s="10">
        <v>458541.03370000003</v>
      </c>
    </row>
    <row r="3334" spans="1:12" x14ac:dyDescent="0.25">
      <c r="A3334">
        <v>3333</v>
      </c>
      <c r="B3334" s="3">
        <v>0.13451432262768914</v>
      </c>
      <c r="C3334" s="3">
        <v>6.5436163325869073E-2</v>
      </c>
      <c r="D3334" s="1">
        <v>297449.8534172902</v>
      </c>
      <c r="E3334" s="1">
        <v>9921494</v>
      </c>
      <c r="F3334" s="1">
        <v>31526600</v>
      </c>
      <c r="G3334" s="16">
        <v>72423.113743829192</v>
      </c>
      <c r="H3334">
        <v>345.97</v>
      </c>
      <c r="I3334" s="1">
        <v>936.8</v>
      </c>
      <c r="J3334" s="16">
        <v>369872.96716111939</v>
      </c>
      <c r="K3334" s="5">
        <v>3.4986450028541519E-2</v>
      </c>
      <c r="L3334" s="10">
        <v>138354.70680000001</v>
      </c>
    </row>
    <row r="3335" spans="1:12" x14ac:dyDescent="0.25">
      <c r="A3335">
        <v>3334</v>
      </c>
      <c r="B3335" s="3">
        <v>0.21063706995514681</v>
      </c>
      <c r="C3335" s="3">
        <v>5.7898858099891884E-2</v>
      </c>
      <c r="D3335" s="1">
        <v>20271.465589353509</v>
      </c>
      <c r="E3335" s="1">
        <v>608885</v>
      </c>
      <c r="F3335" s="1">
        <v>8211116</v>
      </c>
      <c r="G3335" s="16">
        <v>19673.887561765277</v>
      </c>
      <c r="H3335">
        <v>154.79</v>
      </c>
      <c r="I3335" s="1">
        <v>393.8</v>
      </c>
      <c r="J3335" s="16">
        <v>39945.35315111879</v>
      </c>
      <c r="K3335" s="5">
        <v>0.11779268916567553</v>
      </c>
      <c r="L3335" s="10">
        <v>69976.337400000004</v>
      </c>
    </row>
    <row r="3336" spans="1:12" x14ac:dyDescent="0.25">
      <c r="A3336">
        <v>3335</v>
      </c>
      <c r="B3336" s="3">
        <v>0.11954064117735749</v>
      </c>
      <c r="C3336" s="3">
        <v>5.5830559616271938E-2</v>
      </c>
      <c r="D3336" s="1">
        <v>293943.41085226758</v>
      </c>
      <c r="E3336" s="1">
        <v>9154389</v>
      </c>
      <c r="F3336" s="1">
        <v>28320561</v>
      </c>
      <c r="G3336" s="16">
        <v>50074.164955835411</v>
      </c>
      <c r="H3336">
        <v>183.68</v>
      </c>
      <c r="I3336" s="1">
        <v>564.9</v>
      </c>
      <c r="J3336" s="16">
        <v>344017.57580810296</v>
      </c>
      <c r="K3336" s="5">
        <v>7.963401186390992E-2</v>
      </c>
      <c r="L3336" s="10">
        <v>365902.05080000003</v>
      </c>
    </row>
    <row r="3337" spans="1:12" x14ac:dyDescent="0.25">
      <c r="A3337">
        <v>3336</v>
      </c>
      <c r="B3337" s="3">
        <v>0.20090640029059043</v>
      </c>
      <c r="C3337" s="3">
        <v>3.6215815242683622E-2</v>
      </c>
      <c r="D3337" s="1">
        <v>58002.793289141118</v>
      </c>
      <c r="E3337" s="1">
        <v>2127446</v>
      </c>
      <c r="F3337" s="1">
        <v>15211313</v>
      </c>
      <c r="G3337" s="16">
        <v>7680.6578011537704</v>
      </c>
      <c r="H3337">
        <v>35.479999999999997</v>
      </c>
      <c r="I3337" s="1">
        <v>187.70999999999998</v>
      </c>
      <c r="J3337" s="16">
        <v>65683.451090294882</v>
      </c>
      <c r="K3337" s="5">
        <v>0.16379818351192563</v>
      </c>
      <c r="L3337" s="10">
        <v>249529.1882</v>
      </c>
    </row>
    <row r="3338" spans="1:12" x14ac:dyDescent="0.25">
      <c r="A3338">
        <v>3337</v>
      </c>
      <c r="B3338" s="3">
        <v>0.12051888505736059</v>
      </c>
      <c r="C3338" s="3">
        <v>6.6843248630777563E-2</v>
      </c>
      <c r="D3338" s="1">
        <v>50374.488862231432</v>
      </c>
      <c r="E3338" s="1">
        <v>1218878</v>
      </c>
      <c r="F3338" s="1">
        <v>7797027</v>
      </c>
      <c r="G3338" s="16">
        <v>22473.947259035365</v>
      </c>
      <c r="H3338">
        <v>73.099999999999994</v>
      </c>
      <c r="I3338" s="1">
        <v>276.34000000000003</v>
      </c>
      <c r="J3338" s="16">
        <v>72848.436121266801</v>
      </c>
      <c r="K3338" s="5">
        <v>-0.18351166798496885</v>
      </c>
      <c r="L3338" s="10">
        <v>-124129.4304</v>
      </c>
    </row>
    <row r="3339" spans="1:12" x14ac:dyDescent="0.25">
      <c r="A3339">
        <v>3338</v>
      </c>
      <c r="B3339" s="3">
        <v>0.10099089957093689</v>
      </c>
      <c r="C3339" s="3">
        <v>3.9237906779805001E-2</v>
      </c>
      <c r="D3339" s="1">
        <v>194004.27394953187</v>
      </c>
      <c r="E3339" s="1">
        <v>5558502</v>
      </c>
      <c r="F3339" s="1">
        <v>32855043</v>
      </c>
      <c r="G3339" s="16">
        <v>67474.27236593276</v>
      </c>
      <c r="H3339">
        <v>214.22</v>
      </c>
      <c r="I3339" s="1">
        <v>721.01</v>
      </c>
      <c r="J3339" s="16">
        <v>261478.54631546463</v>
      </c>
      <c r="K3339" s="5">
        <v>-1.2630713542970951E-2</v>
      </c>
      <c r="L3339" s="10">
        <v>-59815.956700000002</v>
      </c>
    </row>
    <row r="3340" spans="1:12" x14ac:dyDescent="0.25">
      <c r="A3340">
        <v>3339</v>
      </c>
      <c r="B3340" s="3">
        <v>0.20881179345970419</v>
      </c>
      <c r="C3340" s="3">
        <v>6.960991549730404E-2</v>
      </c>
      <c r="D3340" s="1">
        <v>127597.70068154177</v>
      </c>
      <c r="E3340" s="1">
        <v>4821773</v>
      </c>
      <c r="F3340" s="1">
        <v>21285719</v>
      </c>
      <c r="G3340" s="16">
        <v>12408.559581705973</v>
      </c>
      <c r="H3340">
        <v>60.27</v>
      </c>
      <c r="I3340" s="1">
        <v>179.4</v>
      </c>
      <c r="J3340" s="16">
        <v>140006.26026324774</v>
      </c>
      <c r="K3340" s="5">
        <v>0.1644658820551847</v>
      </c>
      <c r="L3340" s="10">
        <v>252729.2726</v>
      </c>
    </row>
    <row r="3341" spans="1:12" x14ac:dyDescent="0.25">
      <c r="A3341">
        <v>3340</v>
      </c>
      <c r="B3341" s="3">
        <v>0.24398565715325285</v>
      </c>
      <c r="C3341" s="3">
        <v>2.7126112309069694E-2</v>
      </c>
      <c r="D3341" s="1">
        <v>78528.323225200686</v>
      </c>
      <c r="E3341" s="1">
        <v>4498930</v>
      </c>
      <c r="F3341" s="1">
        <v>32101119</v>
      </c>
      <c r="G3341" s="16">
        <v>10578.735589065989</v>
      </c>
      <c r="H3341">
        <v>85.22</v>
      </c>
      <c r="I3341" s="1">
        <v>250.1</v>
      </c>
      <c r="J3341" s="16">
        <v>89107.058814266667</v>
      </c>
      <c r="K3341" s="5">
        <v>0.10208250044115863</v>
      </c>
      <c r="L3341" s="10">
        <v>332842.18</v>
      </c>
    </row>
    <row r="3342" spans="1:12" x14ac:dyDescent="0.25">
      <c r="A3342">
        <v>3341</v>
      </c>
      <c r="B3342" s="3">
        <v>0.14457580233880585</v>
      </c>
      <c r="C3342" s="3">
        <v>3.95447981174082E-2</v>
      </c>
      <c r="D3342" s="1">
        <v>152433.44798386181</v>
      </c>
      <c r="E3342" s="1">
        <v>5327912</v>
      </c>
      <c r="F3342" s="1">
        <v>23388203</v>
      </c>
      <c r="G3342" s="16">
        <v>23030.560660896739</v>
      </c>
      <c r="H3342">
        <v>103.39</v>
      </c>
      <c r="I3342" s="1">
        <v>445.12</v>
      </c>
      <c r="J3342" s="16">
        <v>175464.00864475855</v>
      </c>
      <c r="K3342" s="5">
        <v>0.17887746828490936</v>
      </c>
      <c r="L3342" s="10">
        <v>635858.80200000003</v>
      </c>
    </row>
    <row r="3343" spans="1:12" x14ac:dyDescent="0.25">
      <c r="A3343">
        <v>3342</v>
      </c>
      <c r="B3343" s="3">
        <v>0.17757921553403216</v>
      </c>
      <c r="C3343" s="3">
        <v>7.0834770604499983E-2</v>
      </c>
      <c r="D3343" s="1">
        <v>55078.409409470944</v>
      </c>
      <c r="E3343" s="1">
        <v>1853114</v>
      </c>
      <c r="F3343" s="1">
        <v>15696040</v>
      </c>
      <c r="G3343" s="16">
        <v>37620.693950614448</v>
      </c>
      <c r="H3343">
        <v>222.52</v>
      </c>
      <c r="I3343" s="1">
        <v>644.28</v>
      </c>
      <c r="J3343" s="16">
        <v>92699.103360085399</v>
      </c>
      <c r="K3343" s="5">
        <v>0.13511853125528389</v>
      </c>
      <c r="L3343" s="10">
        <v>134087.36859999999</v>
      </c>
    </row>
    <row r="3344" spans="1:12" x14ac:dyDescent="0.25">
      <c r="A3344">
        <v>3343</v>
      </c>
      <c r="B3344" s="3">
        <v>0.23982200865155384</v>
      </c>
      <c r="C3344" s="3">
        <v>6.5389123654478243E-2</v>
      </c>
      <c r="D3344" s="1">
        <v>46885.435510243136</v>
      </c>
      <c r="E3344" s="1">
        <v>1997538</v>
      </c>
      <c r="F3344" s="1">
        <v>13824531</v>
      </c>
      <c r="G3344" s="16">
        <v>16629.379870873301</v>
      </c>
      <c r="H3344">
        <v>170.62</v>
      </c>
      <c r="I3344" s="1">
        <v>402.32</v>
      </c>
      <c r="J3344" s="16">
        <v>63514.815381116437</v>
      </c>
      <c r="K3344" s="5">
        <v>5.5047122386922012E-2</v>
      </c>
      <c r="L3344" s="10">
        <v>48892.9827</v>
      </c>
    </row>
    <row r="3345" spans="1:12" x14ac:dyDescent="0.25">
      <c r="A3345">
        <v>3344</v>
      </c>
      <c r="B3345" s="3">
        <v>0.24004794534138404</v>
      </c>
      <c r="C3345" s="3">
        <v>2.0392368322438074E-2</v>
      </c>
      <c r="D3345" s="1">
        <v>126725.57655491693</v>
      </c>
      <c r="E3345" s="1">
        <v>9356977</v>
      </c>
      <c r="F3345" s="1">
        <v>49534308</v>
      </c>
      <c r="G3345" s="16">
        <v>7983.615796004281</v>
      </c>
      <c r="H3345">
        <v>62.35</v>
      </c>
      <c r="I3345" s="1">
        <v>283.26000000000005</v>
      </c>
      <c r="J3345" s="16">
        <v>134709.19235092122</v>
      </c>
      <c r="K3345" s="5">
        <v>-2.9940718944562864E-2</v>
      </c>
      <c r="L3345" s="10">
        <v>-205421.63310000001</v>
      </c>
    </row>
    <row r="3346" spans="1:12" x14ac:dyDescent="0.25">
      <c r="A3346">
        <v>3345</v>
      </c>
      <c r="B3346" s="3">
        <v>0.20492316530341098</v>
      </c>
      <c r="C3346" s="3">
        <v>6.017961625209052E-2</v>
      </c>
      <c r="D3346" s="1">
        <v>254922.69789080811</v>
      </c>
      <c r="E3346" s="1">
        <v>15016410</v>
      </c>
      <c r="F3346" s="1">
        <v>46623333</v>
      </c>
      <c r="G3346" s="16">
        <v>15527.578718860368</v>
      </c>
      <c r="H3346">
        <v>92.44</v>
      </c>
      <c r="I3346" s="1">
        <v>295.42</v>
      </c>
      <c r="J3346" s="16">
        <v>270450.27660966845</v>
      </c>
      <c r="K3346" s="5">
        <v>3.8442930747353186E-2</v>
      </c>
      <c r="L3346" s="10">
        <v>138318.40160000001</v>
      </c>
    </row>
    <row r="3347" spans="1:12" x14ac:dyDescent="0.25">
      <c r="A3347">
        <v>3346</v>
      </c>
      <c r="B3347" s="3">
        <v>0.19592062258758391</v>
      </c>
      <c r="C3347" s="3">
        <v>5.6030379510731129E-2</v>
      </c>
      <c r="D3347" s="1">
        <v>208735.45738602785</v>
      </c>
      <c r="E3347" s="1">
        <v>11622628</v>
      </c>
      <c r="F3347" s="1">
        <v>55952983</v>
      </c>
      <c r="G3347" s="16">
        <v>14963.273776729991</v>
      </c>
      <c r="H3347">
        <v>83.26</v>
      </c>
      <c r="I3347" s="1">
        <v>260.2</v>
      </c>
      <c r="J3347" s="16">
        <v>223698.73116275785</v>
      </c>
      <c r="K3347" s="5">
        <v>1.698317598579626E-2</v>
      </c>
      <c r="L3347" s="10">
        <v>61953.086000000003</v>
      </c>
    </row>
    <row r="3348" spans="1:12" x14ac:dyDescent="0.25">
      <c r="A3348">
        <v>3347</v>
      </c>
      <c r="B3348" s="3">
        <v>0.20206561037722959</v>
      </c>
      <c r="C3348" s="3">
        <v>5.2560018707642861E-2</v>
      </c>
      <c r="D3348" s="1">
        <v>102676.8852609249</v>
      </c>
      <c r="E3348" s="1">
        <v>4740308</v>
      </c>
      <c r="F3348" s="1">
        <v>22581864</v>
      </c>
      <c r="G3348" s="16">
        <v>28641.87446454278</v>
      </c>
      <c r="H3348">
        <v>209.32</v>
      </c>
      <c r="I3348" s="1">
        <v>639.47</v>
      </c>
      <c r="J3348" s="16">
        <v>131318.75972546768</v>
      </c>
      <c r="K3348" s="5">
        <v>2.8729179934052721E-2</v>
      </c>
      <c r="L3348" s="10">
        <v>78893.219899999996</v>
      </c>
    </row>
    <row r="3349" spans="1:12" x14ac:dyDescent="0.25">
      <c r="A3349">
        <v>3348</v>
      </c>
      <c r="B3349" s="3">
        <v>0.23400021822559475</v>
      </c>
      <c r="C3349" s="3">
        <v>5.607578344851312E-2</v>
      </c>
      <c r="D3349" s="1">
        <v>142561.0714748</v>
      </c>
      <c r="E3349" s="1">
        <v>10117207</v>
      </c>
      <c r="F3349" s="1">
        <v>44207698</v>
      </c>
      <c r="G3349" s="16">
        <v>14365.319037555795</v>
      </c>
      <c r="H3349">
        <v>106.96</v>
      </c>
      <c r="I3349" s="1">
        <v>321.25</v>
      </c>
      <c r="J3349" s="16">
        <v>156926.39051235581</v>
      </c>
      <c r="K3349" s="5">
        <v>2.4924051312997679E-2</v>
      </c>
      <c r="L3349" s="10">
        <v>93426.059899999993</v>
      </c>
    </row>
    <row r="3350" spans="1:12" x14ac:dyDescent="0.25">
      <c r="A3350">
        <v>3349</v>
      </c>
      <c r="B3350" s="3">
        <v>0.22684183669693586</v>
      </c>
      <c r="C3350" s="3">
        <v>5.1875584636314351E-2</v>
      </c>
      <c r="D3350" s="1">
        <v>88542.23030607395</v>
      </c>
      <c r="E3350" s="1">
        <v>3585486</v>
      </c>
      <c r="F3350" s="1">
        <v>18604678</v>
      </c>
      <c r="G3350" s="16">
        <v>7607.9663418318632</v>
      </c>
      <c r="H3350">
        <v>53.59</v>
      </c>
      <c r="I3350" s="1">
        <v>229.66</v>
      </c>
      <c r="J3350" s="16">
        <v>96150.196647905817</v>
      </c>
      <c r="K3350" s="5">
        <v>0.19846289186318564</v>
      </c>
      <c r="L3350" s="10">
        <v>283540.42560000002</v>
      </c>
    </row>
    <row r="3351" spans="1:12" x14ac:dyDescent="0.25">
      <c r="A3351">
        <v>3350</v>
      </c>
      <c r="B3351" s="3">
        <v>0.14642071502716425</v>
      </c>
      <c r="C3351" s="3">
        <v>6.5097461261884704E-2</v>
      </c>
      <c r="D3351" s="1">
        <v>335207.72544582997</v>
      </c>
      <c r="E3351" s="1">
        <v>13845159</v>
      </c>
      <c r="F3351" s="1">
        <v>55135700</v>
      </c>
      <c r="G3351" s="16">
        <v>49311.144954120915</v>
      </c>
      <c r="H3351">
        <v>224.93</v>
      </c>
      <c r="I3351" s="1">
        <v>533.33999999999992</v>
      </c>
      <c r="J3351" s="16">
        <v>384518.87039995089</v>
      </c>
      <c r="K3351" s="5">
        <v>0.15808378973788492</v>
      </c>
      <c r="L3351" s="10">
        <v>639448.52960000001</v>
      </c>
    </row>
    <row r="3352" spans="1:12" x14ac:dyDescent="0.25">
      <c r="A3352">
        <v>3351</v>
      </c>
      <c r="B3352" s="3">
        <v>0.15152154345592073</v>
      </c>
      <c r="C3352" s="3">
        <v>7.9310049745973596E-2</v>
      </c>
      <c r="D3352" s="1">
        <v>109490.73963231126</v>
      </c>
      <c r="E3352" s="1">
        <v>3953818</v>
      </c>
      <c r="F3352" s="1">
        <v>21532384</v>
      </c>
      <c r="G3352" s="16">
        <v>21162.186252080654</v>
      </c>
      <c r="H3352">
        <v>85.29</v>
      </c>
      <c r="I3352" s="1">
        <v>291.11</v>
      </c>
      <c r="J3352" s="16">
        <v>130652.92588439191</v>
      </c>
      <c r="K3352" s="5">
        <v>5.3247194956226263E-2</v>
      </c>
      <c r="L3352" s="10">
        <v>72335.990300000005</v>
      </c>
    </row>
    <row r="3353" spans="1:12" x14ac:dyDescent="0.25">
      <c r="A3353">
        <v>3352</v>
      </c>
      <c r="B3353" s="3">
        <v>0.24877797736001372</v>
      </c>
      <c r="C3353" s="3">
        <v>2.8709758200386595E-2</v>
      </c>
      <c r="D3353" s="1">
        <v>55215.683194609344</v>
      </c>
      <c r="E3353" s="1">
        <v>2437589</v>
      </c>
      <c r="F3353" s="1">
        <v>14858766</v>
      </c>
      <c r="G3353" s="16">
        <v>21850.456973733413</v>
      </c>
      <c r="H3353">
        <v>243.46</v>
      </c>
      <c r="I3353" s="1">
        <v>689.43000000000006</v>
      </c>
      <c r="J3353" s="16">
        <v>77066.140168342754</v>
      </c>
      <c r="K3353" s="5">
        <v>-8.2213288745039415E-2</v>
      </c>
      <c r="L3353" s="10">
        <v>-152315.34220000001</v>
      </c>
    </row>
    <row r="3354" spans="1:12" x14ac:dyDescent="0.25">
      <c r="A3354">
        <v>3353</v>
      </c>
      <c r="B3354" s="3">
        <v>0.20334542333470218</v>
      </c>
      <c r="C3354" s="3">
        <v>3.9098638551173348E-2</v>
      </c>
      <c r="D3354" s="1">
        <v>57506.127005616094</v>
      </c>
      <c r="E3354" s="1">
        <v>2128667</v>
      </c>
      <c r="F3354" s="1">
        <v>11991717</v>
      </c>
      <c r="G3354" s="16">
        <v>23534.884421973413</v>
      </c>
      <c r="H3354">
        <v>138.44</v>
      </c>
      <c r="I3354" s="1">
        <v>373.66999999999996</v>
      </c>
      <c r="J3354" s="16">
        <v>81041.011427589503</v>
      </c>
      <c r="K3354" s="5">
        <v>3.4172710822930469E-2</v>
      </c>
      <c r="L3354" s="10">
        <v>83681.367100000003</v>
      </c>
    </row>
    <row r="3355" spans="1:12" x14ac:dyDescent="0.25">
      <c r="A3355">
        <v>3354</v>
      </c>
      <c r="B3355" s="3">
        <v>0.21105485339322927</v>
      </c>
      <c r="C3355" s="3">
        <v>3.990457490735811E-2</v>
      </c>
      <c r="D3355" s="1">
        <v>138418.9714150104</v>
      </c>
      <c r="E3355" s="1">
        <v>6686693</v>
      </c>
      <c r="F3355" s="1">
        <v>24825219</v>
      </c>
      <c r="G3355" s="16">
        <v>11455.828804645491</v>
      </c>
      <c r="H3355">
        <v>71.430000000000007</v>
      </c>
      <c r="I3355" s="1">
        <v>260.67</v>
      </c>
      <c r="J3355" s="16">
        <v>149874.80021965588</v>
      </c>
      <c r="K3355" s="5">
        <v>0.27373320993592543</v>
      </c>
      <c r="L3355" s="10">
        <v>825383.76789999998</v>
      </c>
    </row>
    <row r="3356" spans="1:12" x14ac:dyDescent="0.25">
      <c r="A3356">
        <v>3355</v>
      </c>
      <c r="B3356" s="3">
        <v>0.1348788071518231</v>
      </c>
      <c r="C3356" s="3">
        <v>5.1067211145895852E-2</v>
      </c>
      <c r="D3356" s="1">
        <v>192895.66178792313</v>
      </c>
      <c r="E3356" s="1">
        <v>6444918</v>
      </c>
      <c r="F3356" s="1">
        <v>27183040</v>
      </c>
      <c r="G3356" s="16">
        <v>92704.229892439122</v>
      </c>
      <c r="H3356">
        <v>444.05</v>
      </c>
      <c r="I3356" s="1">
        <v>1241.52</v>
      </c>
      <c r="J3356" s="16">
        <v>285599.89168036229</v>
      </c>
      <c r="K3356" s="5">
        <v>-5.9282371194237446E-2</v>
      </c>
      <c r="L3356" s="10">
        <v>-229554.05069999999</v>
      </c>
    </row>
    <row r="3357" spans="1:12" x14ac:dyDescent="0.25">
      <c r="A3357">
        <v>3356</v>
      </c>
      <c r="B3357" s="3">
        <v>0.14026218933429843</v>
      </c>
      <c r="C3357" s="3">
        <v>5.0723152287000972E-2</v>
      </c>
      <c r="D3357" s="1">
        <v>126955.41469473146</v>
      </c>
      <c r="E3357" s="1">
        <v>4349006</v>
      </c>
      <c r="F3357" s="1">
        <v>29735288</v>
      </c>
      <c r="G3357" s="16">
        <v>34280.910730750846</v>
      </c>
      <c r="H3357">
        <v>127.53</v>
      </c>
      <c r="I3357" s="1">
        <v>318.96000000000004</v>
      </c>
      <c r="J3357" s="16">
        <v>161236.3254254823</v>
      </c>
      <c r="K3357" s="5">
        <v>0.19274844193720764</v>
      </c>
      <c r="L3357" s="10">
        <v>495085.9228</v>
      </c>
    </row>
    <row r="3358" spans="1:12" x14ac:dyDescent="0.25">
      <c r="A3358">
        <v>3357</v>
      </c>
      <c r="B3358" s="3">
        <v>0.10246542599497718</v>
      </c>
      <c r="C3358" s="3">
        <v>3.321857057245349E-2</v>
      </c>
      <c r="D3358" s="1">
        <v>228838.15923893222</v>
      </c>
      <c r="E3358" s="1">
        <v>6599733</v>
      </c>
      <c r="F3358" s="1">
        <v>32308832</v>
      </c>
      <c r="G3358" s="16">
        <v>42431.769982060971</v>
      </c>
      <c r="H3358">
        <v>136.03</v>
      </c>
      <c r="I3358" s="1">
        <v>399.67999999999995</v>
      </c>
      <c r="J3358" s="16">
        <v>271269.92922099319</v>
      </c>
      <c r="K3358" s="5">
        <v>0.22759409729307731</v>
      </c>
      <c r="L3358" s="10">
        <v>1499560.6324</v>
      </c>
    </row>
    <row r="3359" spans="1:12" x14ac:dyDescent="0.25">
      <c r="A3359">
        <v>3358</v>
      </c>
      <c r="B3359" s="3">
        <v>0.22009151925411552</v>
      </c>
      <c r="C3359" s="3">
        <v>7.7909947066600191E-2</v>
      </c>
      <c r="D3359" s="1">
        <v>155514.59182341193</v>
      </c>
      <c r="E3359" s="1">
        <v>7866828</v>
      </c>
      <c r="F3359" s="1">
        <v>32537570</v>
      </c>
      <c r="G3359" s="16">
        <v>15045.734865164377</v>
      </c>
      <c r="H3359">
        <v>100.61</v>
      </c>
      <c r="I3359" s="1">
        <v>309.31</v>
      </c>
      <c r="J3359" s="16">
        <v>170560.32668857632</v>
      </c>
      <c r="K3359" s="5">
        <v>0.1005838703490245</v>
      </c>
      <c r="L3359" s="10">
        <v>166693.1213</v>
      </c>
    </row>
    <row r="3360" spans="1:12" x14ac:dyDescent="0.25">
      <c r="A3360">
        <v>3359</v>
      </c>
      <c r="B3360" s="3">
        <v>0.12959143096869843</v>
      </c>
      <c r="C3360" s="3">
        <v>7.1114171876504428E-2</v>
      </c>
      <c r="D3360" s="1">
        <v>138944.14669148016</v>
      </c>
      <c r="E3360" s="1">
        <v>4530550</v>
      </c>
      <c r="F3360" s="1">
        <v>28583989</v>
      </c>
      <c r="G3360" s="16">
        <v>55928.636739126974</v>
      </c>
      <c r="H3360">
        <v>222.24</v>
      </c>
      <c r="I3360" s="1">
        <v>593.91</v>
      </c>
      <c r="J3360" s="16">
        <v>194872.78343060712</v>
      </c>
      <c r="K3360" s="5">
        <v>-1.0442504285350832E-2</v>
      </c>
      <c r="L3360" s="10">
        <v>-30945.730899999999</v>
      </c>
    </row>
    <row r="3361" spans="1:12" x14ac:dyDescent="0.25">
      <c r="A3361">
        <v>3360</v>
      </c>
      <c r="B3361" s="3">
        <v>0.12488417513811172</v>
      </c>
      <c r="C3361" s="3">
        <v>3.4069109233989467E-2</v>
      </c>
      <c r="D3361" s="1">
        <v>196196.24750953517</v>
      </c>
      <c r="E3361" s="1">
        <v>6260822</v>
      </c>
      <c r="F3361" s="1">
        <v>24478613</v>
      </c>
      <c r="G3361" s="16">
        <v>43441.004865440351</v>
      </c>
      <c r="H3361">
        <v>166.49</v>
      </c>
      <c r="I3361" s="1">
        <v>472.1</v>
      </c>
      <c r="J3361" s="16">
        <v>239637.25237497553</v>
      </c>
      <c r="K3361" s="5">
        <v>7.5456570052286287E-2</v>
      </c>
      <c r="L3361" s="10">
        <v>428356.55579999997</v>
      </c>
    </row>
    <row r="3362" spans="1:12" x14ac:dyDescent="0.25">
      <c r="A3362">
        <v>3361</v>
      </c>
      <c r="B3362" s="3">
        <v>0.15921104170373654</v>
      </c>
      <c r="C3362" s="3">
        <v>5.9387091908883416E-2</v>
      </c>
      <c r="D3362" s="1">
        <v>89577.986307063504</v>
      </c>
      <c r="E3362" s="1">
        <v>2820611</v>
      </c>
      <c r="F3362" s="1">
        <v>16473162</v>
      </c>
      <c r="G3362" s="16">
        <v>21428.389214710282</v>
      </c>
      <c r="H3362">
        <v>91.22</v>
      </c>
      <c r="I3362" s="1">
        <v>310.64</v>
      </c>
      <c r="J3362" s="16">
        <v>111006.37552177379</v>
      </c>
      <c r="K3362" s="5">
        <v>0.1434232699305576</v>
      </c>
      <c r="L3362" s="10">
        <v>190506.40210000001</v>
      </c>
    </row>
    <row r="3363" spans="1:12" x14ac:dyDescent="0.25">
      <c r="A3363">
        <v>3362</v>
      </c>
      <c r="B3363" s="3">
        <v>0.16121230568607997</v>
      </c>
      <c r="C3363" s="3">
        <v>6.6884663371274897E-2</v>
      </c>
      <c r="D3363" s="1">
        <v>71250.401499173982</v>
      </c>
      <c r="E3363" s="1">
        <v>2259614</v>
      </c>
      <c r="F3363" s="1">
        <v>14655357</v>
      </c>
      <c r="G3363" s="16">
        <v>23484.1073572524</v>
      </c>
      <c r="H3363">
        <v>101.45</v>
      </c>
      <c r="I3363" s="1">
        <v>359.59999999999997</v>
      </c>
      <c r="J3363" s="16">
        <v>94734.508856426386</v>
      </c>
      <c r="K3363" s="5">
        <v>5.3826913841162928E-2</v>
      </c>
      <c r="L3363" s="10">
        <v>54864.878700000001</v>
      </c>
    </row>
    <row r="3364" spans="1:12" x14ac:dyDescent="0.25">
      <c r="A3364">
        <v>3363</v>
      </c>
      <c r="B3364" s="3">
        <v>0.12974183614249873</v>
      </c>
      <c r="C3364" s="3">
        <v>3.4241162335524211E-2</v>
      </c>
      <c r="D3364" s="1">
        <v>272113.0470333079</v>
      </c>
      <c r="E3364" s="1">
        <v>8878916</v>
      </c>
      <c r="F3364" s="1">
        <v>31929566</v>
      </c>
      <c r="G3364" s="16">
        <v>79900.419958110782</v>
      </c>
      <c r="H3364">
        <v>364.96</v>
      </c>
      <c r="I3364" s="1">
        <v>918.31999999999994</v>
      </c>
      <c r="J3364" s="16">
        <v>352013.46699141868</v>
      </c>
      <c r="K3364" s="5">
        <v>4.3269653673782174E-2</v>
      </c>
      <c r="L3364" s="10">
        <v>383709.4768</v>
      </c>
    </row>
    <row r="3365" spans="1:12" x14ac:dyDescent="0.25">
      <c r="A3365">
        <v>3364</v>
      </c>
      <c r="B3365" s="3">
        <v>0.23032627057510432</v>
      </c>
      <c r="C3365" s="3">
        <v>2.9725289261813045E-2</v>
      </c>
      <c r="D3365" s="1">
        <v>169690.25542748356</v>
      </c>
      <c r="E3365" s="1">
        <v>9049676</v>
      </c>
      <c r="F3365" s="1">
        <v>32610777</v>
      </c>
      <c r="G3365" s="16">
        <v>15058.804604743935</v>
      </c>
      <c r="H3365">
        <v>109.01</v>
      </c>
      <c r="I3365" s="1">
        <v>306.11</v>
      </c>
      <c r="J3365" s="16">
        <v>184749.06003222748</v>
      </c>
      <c r="K3365" s="5">
        <v>5.2908944261552092E-3</v>
      </c>
      <c r="L3365" s="10">
        <v>30788.140599999999</v>
      </c>
    </row>
    <row r="3366" spans="1:12" x14ac:dyDescent="0.25">
      <c r="A3366">
        <v>3365</v>
      </c>
      <c r="B3366" s="3">
        <v>0.12004402331296013</v>
      </c>
      <c r="C3366" s="3">
        <v>7.9706253169880739E-2</v>
      </c>
      <c r="D3366" s="1">
        <v>351540.20966490562</v>
      </c>
      <c r="E3366" s="1">
        <v>10973228</v>
      </c>
      <c r="F3366" s="1">
        <v>39660095</v>
      </c>
      <c r="G3366" s="16">
        <v>29690.942083337086</v>
      </c>
      <c r="H3366">
        <v>109.3</v>
      </c>
      <c r="I3366" s="1">
        <v>426.34</v>
      </c>
      <c r="J3366" s="16">
        <v>381231.15174824273</v>
      </c>
      <c r="K3366" s="5">
        <v>0.12043450782334045</v>
      </c>
      <c r="L3366" s="10">
        <v>341936.50429999997</v>
      </c>
    </row>
    <row r="3367" spans="1:12" x14ac:dyDescent="0.25">
      <c r="A3367">
        <v>3366</v>
      </c>
      <c r="B3367" s="3">
        <v>0.1105641054182071</v>
      </c>
      <c r="C3367" s="3">
        <v>5.6682915487894434E-2</v>
      </c>
      <c r="D3367" s="1">
        <v>161667.5805580999</v>
      </c>
      <c r="E3367" s="1">
        <v>4834671</v>
      </c>
      <c r="F3367" s="1">
        <v>31006498</v>
      </c>
      <c r="G3367" s="16">
        <v>39718.506366875998</v>
      </c>
      <c r="H3367">
        <v>120.81</v>
      </c>
      <c r="I3367" s="1">
        <v>352.02</v>
      </c>
      <c r="J3367" s="16">
        <v>201386.08692497591</v>
      </c>
      <c r="K3367" s="5">
        <v>5.422319424635072E-2</v>
      </c>
      <c r="L3367" s="10">
        <v>198948.8817</v>
      </c>
    </row>
    <row r="3368" spans="1:12" x14ac:dyDescent="0.25">
      <c r="A3368">
        <v>3367</v>
      </c>
      <c r="B3368" s="3">
        <v>0.10035440793002098</v>
      </c>
      <c r="C3368" s="3">
        <v>3.5835340459797763E-2</v>
      </c>
      <c r="D3368" s="1">
        <v>293870.45310157712</v>
      </c>
      <c r="E3368" s="1">
        <v>8396006</v>
      </c>
      <c r="F3368" s="1">
        <v>35162623</v>
      </c>
      <c r="G3368" s="16">
        <v>57147.931047668702</v>
      </c>
      <c r="H3368">
        <v>180.18</v>
      </c>
      <c r="I3368" s="1">
        <v>485.48</v>
      </c>
      <c r="J3368" s="16">
        <v>351018.3841492458</v>
      </c>
      <c r="K3368" s="5">
        <v>-8.7388791085702452E-2</v>
      </c>
      <c r="L3368" s="10">
        <v>-677420.21669999999</v>
      </c>
    </row>
    <row r="3369" spans="1:12" x14ac:dyDescent="0.25">
      <c r="A3369">
        <v>3368</v>
      </c>
      <c r="B3369" s="3">
        <v>0.24294067169409622</v>
      </c>
      <c r="C3369" s="3">
        <v>3.4220415890030539E-2</v>
      </c>
      <c r="D3369" s="1">
        <v>59073.844316822695</v>
      </c>
      <c r="E3369" s="1">
        <v>2548049</v>
      </c>
      <c r="F3369" s="1">
        <v>13049864</v>
      </c>
      <c r="G3369" s="16">
        <v>25281.185990554866</v>
      </c>
      <c r="H3369">
        <v>267.23</v>
      </c>
      <c r="I3369" s="1">
        <v>651.67000000000007</v>
      </c>
      <c r="J3369" s="16">
        <v>84355.030307377558</v>
      </c>
      <c r="K3369" s="5">
        <v>0.13540330278730903</v>
      </c>
      <c r="L3369" s="10">
        <v>277778.62099999998</v>
      </c>
    </row>
    <row r="3370" spans="1:12" x14ac:dyDescent="0.25">
      <c r="A3370">
        <v>3369</v>
      </c>
      <c r="B3370" s="3">
        <v>0.16989299283907555</v>
      </c>
      <c r="C3370" s="3">
        <v>5.1850871622141637E-2</v>
      </c>
      <c r="D3370" s="1">
        <v>237758.46838173229</v>
      </c>
      <c r="E3370" s="1">
        <v>9371374</v>
      </c>
      <c r="F3370" s="1">
        <v>25723905</v>
      </c>
      <c r="G3370" s="16">
        <v>15306.113617353669</v>
      </c>
      <c r="H3370">
        <v>70.260000000000005</v>
      </c>
      <c r="I3370" s="1">
        <v>235.04000000000002</v>
      </c>
      <c r="J3370" s="16">
        <v>253064.58199908596</v>
      </c>
      <c r="K3370" s="5">
        <v>0.17506454329071147</v>
      </c>
      <c r="L3370" s="10">
        <v>601173.3149</v>
      </c>
    </row>
    <row r="3371" spans="1:12" x14ac:dyDescent="0.25">
      <c r="A3371">
        <v>3370</v>
      </c>
      <c r="B3371" s="3">
        <v>0.23963177517034634</v>
      </c>
      <c r="C3371" s="3">
        <v>6.6266170911532724E-2</v>
      </c>
      <c r="D3371" s="1">
        <v>107783.54377034845</v>
      </c>
      <c r="E3371" s="1">
        <v>4588636</v>
      </c>
      <c r="F3371" s="1">
        <v>17928794</v>
      </c>
      <c r="G3371" s="16">
        <v>17129.096341076522</v>
      </c>
      <c r="H3371">
        <v>175.39</v>
      </c>
      <c r="I3371" s="1">
        <v>447.57</v>
      </c>
      <c r="J3371" s="16">
        <v>124912.64011142497</v>
      </c>
      <c r="K3371" s="5">
        <v>5.856548639034613E-2</v>
      </c>
      <c r="L3371" s="10">
        <v>91758.816600000006</v>
      </c>
    </row>
    <row r="3372" spans="1:12" x14ac:dyDescent="0.25">
      <c r="A3372">
        <v>3371</v>
      </c>
      <c r="B3372" s="3">
        <v>0.11487189816211818</v>
      </c>
      <c r="C3372" s="3">
        <v>3.0329934028624432E-2</v>
      </c>
      <c r="D3372" s="1">
        <v>321830.24415588018</v>
      </c>
      <c r="E3372" s="1">
        <v>9813076</v>
      </c>
      <c r="F3372" s="1">
        <v>31814280</v>
      </c>
      <c r="G3372" s="16">
        <v>48138.42451034634</v>
      </c>
      <c r="H3372">
        <v>170.55</v>
      </c>
      <c r="I3372" s="1">
        <v>564.12</v>
      </c>
      <c r="J3372" s="16">
        <v>369968.6686662265</v>
      </c>
      <c r="K3372" s="5">
        <v>3.8886703734887992E-2</v>
      </c>
      <c r="L3372" s="10">
        <v>385966.92489999998</v>
      </c>
    </row>
    <row r="3373" spans="1:12" x14ac:dyDescent="0.25">
      <c r="A3373">
        <v>3372</v>
      </c>
      <c r="B3373" s="3">
        <v>0.15404581843271367</v>
      </c>
      <c r="C3373" s="3">
        <v>3.9066314284080764E-2</v>
      </c>
      <c r="D3373" s="1">
        <v>306377.51740928349</v>
      </c>
      <c r="E3373" s="1">
        <v>13235045</v>
      </c>
      <c r="F3373" s="1">
        <v>45083586</v>
      </c>
      <c r="G3373" s="16">
        <v>24650.394667026962</v>
      </c>
      <c r="H3373">
        <v>101.15</v>
      </c>
      <c r="I3373" s="1">
        <v>350.28</v>
      </c>
      <c r="J3373" s="16">
        <v>331027.91207631043</v>
      </c>
      <c r="K3373" s="5">
        <v>0.24226729833644334</v>
      </c>
      <c r="L3373" s="10">
        <v>1572604.8244</v>
      </c>
    </row>
    <row r="3374" spans="1:12" x14ac:dyDescent="0.25">
      <c r="A3374">
        <v>3373</v>
      </c>
      <c r="B3374" s="3">
        <v>0.22093104551094508</v>
      </c>
      <c r="C3374" s="3">
        <v>4.2707354762827159E-2</v>
      </c>
      <c r="D3374" s="1">
        <v>74830.09007068933</v>
      </c>
      <c r="E3374" s="1">
        <v>2961768</v>
      </c>
      <c r="F3374" s="1">
        <v>15584057</v>
      </c>
      <c r="G3374" s="16">
        <v>41116.559732527407</v>
      </c>
      <c r="H3374">
        <v>456.35</v>
      </c>
      <c r="I3374" s="1">
        <v>1073.23</v>
      </c>
      <c r="J3374" s="16">
        <v>115946.64980321674</v>
      </c>
      <c r="K3374" s="5">
        <v>2.8545091189742317E-2</v>
      </c>
      <c r="L3374" s="10">
        <v>78036.680600000007</v>
      </c>
    </row>
    <row r="3375" spans="1:12" x14ac:dyDescent="0.25">
      <c r="A3375">
        <v>3374</v>
      </c>
      <c r="B3375" s="3">
        <v>0.19905342807002258</v>
      </c>
      <c r="C3375" s="3">
        <v>7.8665231375699612E-2</v>
      </c>
      <c r="D3375" s="1">
        <v>118594.6254613169</v>
      </c>
      <c r="E3375" s="1">
        <v>4319736</v>
      </c>
      <c r="F3375" s="1">
        <v>20801405</v>
      </c>
      <c r="G3375" s="16">
        <v>36703.066412306129</v>
      </c>
      <c r="H3375">
        <v>326.29000000000002</v>
      </c>
      <c r="I3375" s="1">
        <v>917.67000000000007</v>
      </c>
      <c r="J3375" s="16">
        <v>155297.69187362303</v>
      </c>
      <c r="K3375" s="5">
        <v>0.10978810310504752</v>
      </c>
      <c r="L3375" s="10">
        <v>138435.70920000001</v>
      </c>
    </row>
    <row r="3376" spans="1:12" x14ac:dyDescent="0.25">
      <c r="A3376">
        <v>3375</v>
      </c>
      <c r="B3376" s="3">
        <v>0.17886894137217024</v>
      </c>
      <c r="C3376" s="3">
        <v>4.2583881268438026E-2</v>
      </c>
      <c r="D3376" s="1">
        <v>311995.69268546446</v>
      </c>
      <c r="E3376" s="1">
        <v>15641883</v>
      </c>
      <c r="F3376" s="1">
        <v>51696135</v>
      </c>
      <c r="G3376" s="16">
        <v>37866.83538677184</v>
      </c>
      <c r="H3376">
        <v>226.79</v>
      </c>
      <c r="I3376" s="1">
        <v>550.29999999999995</v>
      </c>
      <c r="J3376" s="16">
        <v>349862.52807223628</v>
      </c>
      <c r="K3376" s="5">
        <v>0.22676600069081987</v>
      </c>
      <c r="L3376" s="10">
        <v>1430455.2736</v>
      </c>
    </row>
    <row r="3377" spans="1:12" x14ac:dyDescent="0.25">
      <c r="A3377">
        <v>3376</v>
      </c>
      <c r="B3377" s="3">
        <v>0.23367017620028757</v>
      </c>
      <c r="C3377" s="3">
        <v>4.7473105531763093E-2</v>
      </c>
      <c r="D3377" s="1">
        <v>434584.95255056018</v>
      </c>
      <c r="E3377" s="1">
        <v>40159052</v>
      </c>
      <c r="F3377" s="1">
        <v>110053750</v>
      </c>
      <c r="G3377" s="16">
        <v>23649.781158639838</v>
      </c>
      <c r="H3377">
        <v>229.31</v>
      </c>
      <c r="I3377" s="1">
        <v>671</v>
      </c>
      <c r="J3377" s="16">
        <v>458234.73370919999</v>
      </c>
      <c r="K3377" s="5">
        <v>-2.3093643829979756E-2</v>
      </c>
      <c r="L3377" s="10">
        <v>-70412.710399999996</v>
      </c>
    </row>
    <row r="3378" spans="1:12" x14ac:dyDescent="0.25">
      <c r="A3378">
        <v>3377</v>
      </c>
      <c r="B3378" s="3">
        <v>0.20841722767295073</v>
      </c>
      <c r="C3378" s="3">
        <v>5.6083564327861324E-2</v>
      </c>
      <c r="D3378" s="1">
        <v>57075.857223915016</v>
      </c>
      <c r="E3378" s="1">
        <v>2153605</v>
      </c>
      <c r="F3378" s="1">
        <v>17232254</v>
      </c>
      <c r="G3378" s="16">
        <v>20385.153355744147</v>
      </c>
      <c r="H3378">
        <v>157.49</v>
      </c>
      <c r="I3378" s="1">
        <v>508.46</v>
      </c>
      <c r="J3378" s="16">
        <v>77461.010579659167</v>
      </c>
      <c r="K3378" s="5">
        <v>1.9850267630361365E-2</v>
      </c>
      <c r="L3378" s="10">
        <v>47609.301800000001</v>
      </c>
    </row>
    <row r="3379" spans="1:12" x14ac:dyDescent="0.25">
      <c r="A3379">
        <v>3378</v>
      </c>
      <c r="B3379" s="3">
        <v>0.22191131972269196</v>
      </c>
      <c r="C3379" s="3">
        <v>5.7678803041141591E-2</v>
      </c>
      <c r="D3379" s="1">
        <v>85277.489535856628</v>
      </c>
      <c r="E3379" s="1">
        <v>4354324</v>
      </c>
      <c r="F3379" s="1">
        <v>22467478</v>
      </c>
      <c r="G3379" s="16">
        <v>11210.507594954111</v>
      </c>
      <c r="H3379">
        <v>75.97</v>
      </c>
      <c r="I3379" s="1">
        <v>325.28999999999996</v>
      </c>
      <c r="J3379" s="16">
        <v>96487.997130810734</v>
      </c>
      <c r="K3379" s="5">
        <v>0.18398879416555625</v>
      </c>
      <c r="L3379" s="10">
        <v>243550.2414</v>
      </c>
    </row>
    <row r="3380" spans="1:12" x14ac:dyDescent="0.25">
      <c r="A3380">
        <v>3379</v>
      </c>
      <c r="B3380" s="3">
        <v>0.21222656412686269</v>
      </c>
      <c r="C3380" s="3">
        <v>6.6850740811129322E-2</v>
      </c>
      <c r="D3380" s="1">
        <v>161631.67718442588</v>
      </c>
      <c r="E3380" s="1">
        <v>7854593</v>
      </c>
      <c r="F3380" s="1">
        <v>37984933</v>
      </c>
      <c r="G3380" s="16">
        <v>14139.844393479607</v>
      </c>
      <c r="H3380">
        <v>88.99</v>
      </c>
      <c r="I3380" s="1">
        <v>256.31</v>
      </c>
      <c r="J3380" s="16">
        <v>175771.52157790549</v>
      </c>
      <c r="K3380" s="5">
        <v>0.1089618561531291</v>
      </c>
      <c r="L3380" s="10">
        <v>239515.511</v>
      </c>
    </row>
    <row r="3381" spans="1:12" x14ac:dyDescent="0.25">
      <c r="A3381">
        <v>3380</v>
      </c>
      <c r="B3381" s="3">
        <v>0.21052549870215198</v>
      </c>
      <c r="C3381" s="3">
        <v>4.0373567648594871E-2</v>
      </c>
      <c r="D3381" s="1">
        <v>169262.49717616904</v>
      </c>
      <c r="E3381" s="1">
        <v>8154752</v>
      </c>
      <c r="F3381" s="1">
        <v>28867524</v>
      </c>
      <c r="G3381" s="16">
        <v>13998.960328178893</v>
      </c>
      <c r="H3381">
        <v>110.2</v>
      </c>
      <c r="I3381" s="1">
        <v>395.73999999999995</v>
      </c>
      <c r="J3381" s="16">
        <v>183261.45750434793</v>
      </c>
      <c r="K3381" s="5">
        <v>9.2246327992449972E-2</v>
      </c>
      <c r="L3381" s="10">
        <v>329009.51179999998</v>
      </c>
    </row>
    <row r="3382" spans="1:12" x14ac:dyDescent="0.25">
      <c r="A3382">
        <v>3381</v>
      </c>
      <c r="B3382" s="3">
        <v>0.17763834053357164</v>
      </c>
      <c r="C3382" s="3">
        <v>4.3915862569716878E-2</v>
      </c>
      <c r="D3382" s="1">
        <v>116411.55963333731</v>
      </c>
      <c r="E3382" s="1">
        <v>4763735</v>
      </c>
      <c r="F3382" s="1">
        <v>25050685</v>
      </c>
      <c r="G3382" s="16">
        <v>20882.632701597016</v>
      </c>
      <c r="H3382">
        <v>123.52</v>
      </c>
      <c r="I3382" s="1">
        <v>384.95</v>
      </c>
      <c r="J3382" s="16">
        <v>137294.19233493431</v>
      </c>
      <c r="K3382" s="5">
        <v>0.10251503619321958</v>
      </c>
      <c r="L3382" s="10">
        <v>277956.42729999998</v>
      </c>
    </row>
    <row r="3383" spans="1:12" x14ac:dyDescent="0.25">
      <c r="A3383">
        <v>3382</v>
      </c>
      <c r="B3383" s="3">
        <v>0.14994766156531897</v>
      </c>
      <c r="C3383" s="3">
        <v>4.1107189867958624E-2</v>
      </c>
      <c r="D3383" s="1">
        <v>414985.62821462617</v>
      </c>
      <c r="E3383" s="1">
        <v>17498773</v>
      </c>
      <c r="F3383" s="1">
        <v>66529787</v>
      </c>
      <c r="G3383" s="16">
        <v>53109.243657850064</v>
      </c>
      <c r="H3383">
        <v>249.33</v>
      </c>
      <c r="I3383" s="1">
        <v>701.43000000000006</v>
      </c>
      <c r="J3383" s="16">
        <v>468094.87187247624</v>
      </c>
      <c r="K3383" s="5">
        <v>-3.2081368566673943E-2</v>
      </c>
      <c r="L3383" s="10">
        <v>-257979.80600000001</v>
      </c>
    </row>
    <row r="3384" spans="1:12" x14ac:dyDescent="0.25">
      <c r="A3384">
        <v>3383</v>
      </c>
      <c r="B3384" s="3">
        <v>0.168402185114986</v>
      </c>
      <c r="C3384" s="3">
        <v>6.2328054457437568E-2</v>
      </c>
      <c r="D3384" s="1">
        <v>69679.475690910025</v>
      </c>
      <c r="E3384" s="1">
        <v>2267607</v>
      </c>
      <c r="F3384" s="1">
        <v>18542284</v>
      </c>
      <c r="G3384" s="16">
        <v>21637.334449488324</v>
      </c>
      <c r="H3384">
        <v>118.37</v>
      </c>
      <c r="I3384" s="1">
        <v>494.36</v>
      </c>
      <c r="J3384" s="16">
        <v>91316.810140398346</v>
      </c>
      <c r="K3384" s="5">
        <v>0.10983532707414341</v>
      </c>
      <c r="L3384" s="10">
        <v>144526.52040000001</v>
      </c>
    </row>
    <row r="3385" spans="1:12" x14ac:dyDescent="0.25">
      <c r="A3385">
        <v>3384</v>
      </c>
      <c r="B3385" s="3">
        <v>0.22948589789517893</v>
      </c>
      <c r="C3385" s="3">
        <v>7.119954092495577E-2</v>
      </c>
      <c r="D3385" s="1">
        <v>122978.67875214842</v>
      </c>
      <c r="E3385" s="1">
        <v>6529962</v>
      </c>
      <c r="F3385" s="1">
        <v>22156364</v>
      </c>
      <c r="G3385" s="16">
        <v>23738.070292710137</v>
      </c>
      <c r="H3385">
        <v>287.67</v>
      </c>
      <c r="I3385" s="1">
        <v>783.2</v>
      </c>
      <c r="J3385" s="16">
        <v>146716.74904485856</v>
      </c>
      <c r="K3385" s="5">
        <v>0.18310417673160234</v>
      </c>
      <c r="L3385" s="10">
        <v>248010.54199999999</v>
      </c>
    </row>
    <row r="3386" spans="1:12" x14ac:dyDescent="0.25">
      <c r="A3386">
        <v>3385</v>
      </c>
      <c r="B3386" s="3">
        <v>0.1973819940900402</v>
      </c>
      <c r="C3386" s="3">
        <v>5.0939463505287434E-2</v>
      </c>
      <c r="D3386" s="1">
        <v>69573.730415776867</v>
      </c>
      <c r="E3386" s="1">
        <v>2021299</v>
      </c>
      <c r="F3386" s="1">
        <v>9382301</v>
      </c>
      <c r="G3386" s="16">
        <v>12474.695983431688</v>
      </c>
      <c r="H3386">
        <v>70.11</v>
      </c>
      <c r="I3386" s="1">
        <v>282.09000000000003</v>
      </c>
      <c r="J3386" s="16">
        <v>82048.426399208547</v>
      </c>
      <c r="K3386" s="5">
        <v>0.19408088417498795</v>
      </c>
      <c r="L3386" s="10">
        <v>244325.99780000001</v>
      </c>
    </row>
    <row r="3387" spans="1:12" x14ac:dyDescent="0.25">
      <c r="A3387">
        <v>3386</v>
      </c>
      <c r="B3387" s="3">
        <v>0.14274027445701271</v>
      </c>
      <c r="C3387" s="3">
        <v>5.6955588479866467E-2</v>
      </c>
      <c r="D3387" s="1">
        <v>287247.67634875979</v>
      </c>
      <c r="E3387" s="1">
        <v>9954273</v>
      </c>
      <c r="F3387" s="1">
        <v>35536351</v>
      </c>
      <c r="G3387" s="16">
        <v>33404.399888895154</v>
      </c>
      <c r="H3387">
        <v>126.66</v>
      </c>
      <c r="I3387" s="1">
        <v>376.39</v>
      </c>
      <c r="J3387" s="16">
        <v>320652.07623765495</v>
      </c>
      <c r="K3387" s="5">
        <v>5.7484655552224595E-3</v>
      </c>
      <c r="L3387" s="10">
        <v>65504.933599999997</v>
      </c>
    </row>
    <row r="3388" spans="1:12" x14ac:dyDescent="0.25">
      <c r="A3388">
        <v>3387</v>
      </c>
      <c r="B3388" s="3">
        <v>0.1509389168119587</v>
      </c>
      <c r="C3388" s="3">
        <v>7.3191415668313692E-2</v>
      </c>
      <c r="D3388" s="1">
        <v>122961.32257770974</v>
      </c>
      <c r="E3388" s="1">
        <v>4428079</v>
      </c>
      <c r="F3388" s="1">
        <v>33563226</v>
      </c>
      <c r="G3388" s="16">
        <v>36829.206979350238</v>
      </c>
      <c r="H3388">
        <v>147.86000000000001</v>
      </c>
      <c r="I3388" s="1">
        <v>361.85</v>
      </c>
      <c r="J3388" s="16">
        <v>159790.52955705998</v>
      </c>
      <c r="K3388" s="5">
        <v>5.5733682658210028E-3</v>
      </c>
      <c r="L3388" s="10">
        <v>44517.612999999998</v>
      </c>
    </row>
    <row r="3389" spans="1:12" x14ac:dyDescent="0.25">
      <c r="A3389">
        <v>3388</v>
      </c>
      <c r="B3389" s="3">
        <v>0.21125392911607052</v>
      </c>
      <c r="C3389" s="3">
        <v>5.9804426517265072E-2</v>
      </c>
      <c r="D3389" s="1">
        <v>61909.205272523024</v>
      </c>
      <c r="E3389" s="1">
        <v>2361280</v>
      </c>
      <c r="F3389" s="1">
        <v>13224476</v>
      </c>
      <c r="G3389" s="16">
        <v>22365.568622709787</v>
      </c>
      <c r="H3389">
        <v>177.07</v>
      </c>
      <c r="I3389" s="1">
        <v>564.65000000000009</v>
      </c>
      <c r="J3389" s="16">
        <v>84274.773895232807</v>
      </c>
      <c r="K3389" s="5">
        <v>6.2040858811378781E-2</v>
      </c>
      <c r="L3389" s="10">
        <v>74790.1495</v>
      </c>
    </row>
    <row r="3390" spans="1:12" x14ac:dyDescent="0.25">
      <c r="A3390">
        <v>3389</v>
      </c>
      <c r="B3390" s="3">
        <v>0.19567717794979389</v>
      </c>
      <c r="C3390" s="3">
        <v>5.8082370754839366E-2</v>
      </c>
      <c r="D3390" s="1">
        <v>90349.97423066906</v>
      </c>
      <c r="E3390" s="1">
        <v>3249668</v>
      </c>
      <c r="F3390" s="1">
        <v>12790001</v>
      </c>
      <c r="G3390" s="16">
        <v>16371.374190359527</v>
      </c>
      <c r="H3390">
        <v>90.84</v>
      </c>
      <c r="I3390" s="1">
        <v>313.3</v>
      </c>
      <c r="J3390" s="16">
        <v>106721.34842102858</v>
      </c>
      <c r="K3390" s="5">
        <v>0.17413210743423491</v>
      </c>
      <c r="L3390" s="10">
        <v>223907.08900000001</v>
      </c>
    </row>
    <row r="3391" spans="1:12" x14ac:dyDescent="0.25">
      <c r="A3391">
        <v>3390</v>
      </c>
      <c r="B3391" s="3">
        <v>0.24533141586126336</v>
      </c>
      <c r="C3391" s="3">
        <v>6.7180149889108212E-2</v>
      </c>
      <c r="D3391" s="1">
        <v>79095.076811220759</v>
      </c>
      <c r="E3391" s="1">
        <v>4563807</v>
      </c>
      <c r="F3391" s="1">
        <v>23282582</v>
      </c>
      <c r="G3391" s="16">
        <v>11259.566810973924</v>
      </c>
      <c r="H3391">
        <v>91.73</v>
      </c>
      <c r="I3391" s="1">
        <v>366.51000000000005</v>
      </c>
      <c r="J3391" s="16">
        <v>90354.643622194679</v>
      </c>
      <c r="K3391" s="5">
        <v>0.12753205420235891</v>
      </c>
      <c r="L3391" s="10">
        <v>134386.94870000001</v>
      </c>
    </row>
    <row r="3392" spans="1:12" x14ac:dyDescent="0.25">
      <c r="A3392">
        <v>3391</v>
      </c>
      <c r="B3392" s="3">
        <v>0.15855875092727151</v>
      </c>
      <c r="C3392" s="3">
        <v>5.9939460363368724E-2</v>
      </c>
      <c r="D3392" s="1">
        <v>106666.67781905763</v>
      </c>
      <c r="E3392" s="1">
        <v>3982324</v>
      </c>
      <c r="F3392" s="1">
        <v>23119137</v>
      </c>
      <c r="G3392" s="16">
        <v>14077.916958309432</v>
      </c>
      <c r="H3392">
        <v>59.67</v>
      </c>
      <c r="I3392" s="1">
        <v>223.18</v>
      </c>
      <c r="J3392" s="16">
        <v>120744.59477736706</v>
      </c>
      <c r="K3392" s="5">
        <v>0.17565409687675296</v>
      </c>
      <c r="L3392" s="10">
        <v>282784.40879999998</v>
      </c>
    </row>
    <row r="3393" spans="1:12" x14ac:dyDescent="0.25">
      <c r="A3393">
        <v>3392</v>
      </c>
      <c r="B3393" s="3">
        <v>0.23766366551142082</v>
      </c>
      <c r="C3393" s="3">
        <v>5.5939501114764464E-2</v>
      </c>
      <c r="D3393" s="1">
        <v>120293.35238664763</v>
      </c>
      <c r="E3393" s="1">
        <v>8744021</v>
      </c>
      <c r="F3393" s="1">
        <v>45709735</v>
      </c>
      <c r="G3393" s="16">
        <v>12375.580837969925</v>
      </c>
      <c r="H3393">
        <v>124.69</v>
      </c>
      <c r="I3393" s="1">
        <v>419.4</v>
      </c>
      <c r="J3393" s="16">
        <v>132668.93322461756</v>
      </c>
      <c r="K3393" s="5">
        <v>0.12220924940163214</v>
      </c>
      <c r="L3393" s="10">
        <v>246165.8101</v>
      </c>
    </row>
    <row r="3394" spans="1:12" x14ac:dyDescent="0.25">
      <c r="A3394">
        <v>3393</v>
      </c>
      <c r="B3394" s="3">
        <v>0.18935803792756889</v>
      </c>
      <c r="C3394" s="3">
        <v>6.0730318531304298E-2</v>
      </c>
      <c r="D3394" s="1">
        <v>70680.489377233564</v>
      </c>
      <c r="E3394" s="1">
        <v>2483220</v>
      </c>
      <c r="F3394" s="1">
        <v>14481442</v>
      </c>
      <c r="G3394" s="16">
        <v>18972.893480617364</v>
      </c>
      <c r="H3394">
        <v>124.27</v>
      </c>
      <c r="I3394" s="1">
        <v>420.45</v>
      </c>
      <c r="J3394" s="16">
        <v>89653.382857850927</v>
      </c>
      <c r="K3394" s="5">
        <v>9.0911908646471848E-2</v>
      </c>
      <c r="L3394" s="10">
        <v>96278.955700000006</v>
      </c>
    </row>
    <row r="3395" spans="1:12" x14ac:dyDescent="0.25">
      <c r="A3395">
        <v>3394</v>
      </c>
      <c r="B3395" s="3">
        <v>0.14095313563961717</v>
      </c>
      <c r="C3395" s="3">
        <v>5.6309750969666048E-2</v>
      </c>
      <c r="D3395" s="1">
        <v>207603.14893545266</v>
      </c>
      <c r="E3395" s="1">
        <v>7134597</v>
      </c>
      <c r="F3395" s="1">
        <v>22824131</v>
      </c>
      <c r="G3395" s="16">
        <v>102510.35122867899</v>
      </c>
      <c r="H3395">
        <v>520.1</v>
      </c>
      <c r="I3395" s="1">
        <v>1329.1599999999999</v>
      </c>
      <c r="J3395" s="16">
        <v>310113.50016413163</v>
      </c>
      <c r="K3395" s="5">
        <v>0.12242685791433686</v>
      </c>
      <c r="L3395" s="10">
        <v>468743.79269999999</v>
      </c>
    </row>
    <row r="3396" spans="1:12" x14ac:dyDescent="0.25">
      <c r="A3396">
        <v>3395</v>
      </c>
      <c r="B3396" s="3">
        <v>0.22376884137295919</v>
      </c>
      <c r="C3396" s="3">
        <v>3.8875003209636882E-2</v>
      </c>
      <c r="D3396" s="1">
        <v>489547.77174507501</v>
      </c>
      <c r="E3396" s="1">
        <v>32511923</v>
      </c>
      <c r="F3396" s="1">
        <v>83165942</v>
      </c>
      <c r="G3396" s="16">
        <v>14258.510692061107</v>
      </c>
      <c r="H3396">
        <v>126.44</v>
      </c>
      <c r="I3396" s="1">
        <v>411.74</v>
      </c>
      <c r="J3396" s="16">
        <v>503806.28243713611</v>
      </c>
      <c r="K3396" s="5">
        <v>0.18890939321072461</v>
      </c>
      <c r="L3396" s="10">
        <v>1888085.4672000001</v>
      </c>
    </row>
    <row r="3397" spans="1:12" x14ac:dyDescent="0.25">
      <c r="A3397">
        <v>3396</v>
      </c>
      <c r="B3397" s="3">
        <v>0.24472549393585935</v>
      </c>
      <c r="C3397" s="3">
        <v>3.3261494732421022E-2</v>
      </c>
      <c r="D3397" s="1">
        <v>90908.473905817795</v>
      </c>
      <c r="E3397" s="1">
        <v>5228632</v>
      </c>
      <c r="F3397" s="1">
        <v>22099896</v>
      </c>
      <c r="G3397" s="16">
        <v>22876.779256007907</v>
      </c>
      <c r="H3397">
        <v>245.33</v>
      </c>
      <c r="I3397" s="1">
        <v>589.31000000000006</v>
      </c>
      <c r="J3397" s="16">
        <v>113785.25316182571</v>
      </c>
      <c r="K3397" s="5">
        <v>7.7074044353716925E-2</v>
      </c>
      <c r="L3397" s="10">
        <v>253827.1145</v>
      </c>
    </row>
    <row r="3398" spans="1:12" x14ac:dyDescent="0.25">
      <c r="A3398">
        <v>3397</v>
      </c>
      <c r="B3398" s="3">
        <v>0.10552290371325546</v>
      </c>
      <c r="C3398" s="3">
        <v>6.8501882561777819E-2</v>
      </c>
      <c r="D3398" s="1">
        <v>1378193.297718199</v>
      </c>
      <c r="E3398" s="1">
        <v>50361351</v>
      </c>
      <c r="F3398" s="1">
        <v>140446450</v>
      </c>
      <c r="G3398" s="16">
        <v>77374.343749699561</v>
      </c>
      <c r="H3398">
        <v>284.27999999999997</v>
      </c>
      <c r="I3398" s="1">
        <v>779.17000000000007</v>
      </c>
      <c r="J3398" s="16">
        <v>1455567.6414678986</v>
      </c>
      <c r="K3398" s="5">
        <v>0.16270024749455197</v>
      </c>
      <c r="L3398" s="10">
        <v>2064236.3731</v>
      </c>
    </row>
    <row r="3399" spans="1:12" x14ac:dyDescent="0.25">
      <c r="A3399">
        <v>3398</v>
      </c>
      <c r="B3399" s="3">
        <v>0.22804205938303265</v>
      </c>
      <c r="C3399" s="3">
        <v>6.2896999040950266E-2</v>
      </c>
      <c r="D3399" s="1">
        <v>218164.56384560076</v>
      </c>
      <c r="E3399" s="1">
        <v>11497745</v>
      </c>
      <c r="F3399" s="1">
        <v>39414861</v>
      </c>
      <c r="G3399" s="16">
        <v>49245.206690433537</v>
      </c>
      <c r="H3399">
        <v>587.28</v>
      </c>
      <c r="I3399" s="1">
        <v>1414.34</v>
      </c>
      <c r="J3399" s="16">
        <v>267409.77053603431</v>
      </c>
      <c r="K3399" s="5">
        <v>0.14917190767680455</v>
      </c>
      <c r="L3399" s="10">
        <v>443904.2389</v>
      </c>
    </row>
    <row r="3400" spans="1:12" x14ac:dyDescent="0.25">
      <c r="A3400">
        <v>3399</v>
      </c>
      <c r="B3400" s="3">
        <v>0.14505829912594825</v>
      </c>
      <c r="C3400" s="3">
        <v>7.1594444320401573E-2</v>
      </c>
      <c r="D3400" s="1">
        <v>176304.46105680126</v>
      </c>
      <c r="E3400" s="1">
        <v>6176181</v>
      </c>
      <c r="F3400" s="1">
        <v>23367612</v>
      </c>
      <c r="G3400" s="16">
        <v>30937.870545598806</v>
      </c>
      <c r="H3400">
        <v>119.25</v>
      </c>
      <c r="I3400" s="1">
        <v>380.65</v>
      </c>
      <c r="J3400" s="16">
        <v>207242.33160240005</v>
      </c>
      <c r="K3400" s="5">
        <v>5.0958145547827377E-2</v>
      </c>
      <c r="L3400" s="10">
        <v>108439.2074</v>
      </c>
    </row>
    <row r="3401" spans="1:12" x14ac:dyDescent="0.25">
      <c r="A3401">
        <v>3400</v>
      </c>
      <c r="B3401" s="3">
        <v>0.15132971834480383</v>
      </c>
      <c r="C3401" s="3">
        <v>6.0841499821181144E-2</v>
      </c>
      <c r="D3401" s="1">
        <v>327723.08964950923</v>
      </c>
      <c r="E3401" s="1">
        <v>13932054</v>
      </c>
      <c r="F3401" s="1">
        <v>52685690</v>
      </c>
      <c r="G3401" s="16">
        <v>27720.356961444955</v>
      </c>
      <c r="H3401">
        <v>111.42</v>
      </c>
      <c r="I3401" s="1">
        <v>277.70999999999998</v>
      </c>
      <c r="J3401" s="16">
        <v>355443.44661095418</v>
      </c>
      <c r="K3401" s="5">
        <v>0.1184433209179051</v>
      </c>
      <c r="L3401" s="10">
        <v>511453.34409999999</v>
      </c>
    </row>
    <row r="3402" spans="1:12" x14ac:dyDescent="0.25">
      <c r="A3402">
        <v>3401</v>
      </c>
      <c r="B3402" s="3">
        <v>0.17292185481434907</v>
      </c>
      <c r="C3402" s="3">
        <v>4.8197181361346916E-2</v>
      </c>
      <c r="D3402" s="1">
        <v>154370.03537018169</v>
      </c>
      <c r="E3402" s="1">
        <v>5106527</v>
      </c>
      <c r="F3402" s="1">
        <v>19028740</v>
      </c>
      <c r="G3402" s="16">
        <v>25984.508137167464</v>
      </c>
      <c r="H3402">
        <v>147.65</v>
      </c>
      <c r="I3402" s="1">
        <v>553.24</v>
      </c>
      <c r="J3402" s="16">
        <v>180354.54350734915</v>
      </c>
      <c r="K3402" s="5">
        <v>0.10489939203976265</v>
      </c>
      <c r="L3402" s="10">
        <v>295658.79129999998</v>
      </c>
    </row>
    <row r="3403" spans="1:12" x14ac:dyDescent="0.25">
      <c r="A3403">
        <v>3402</v>
      </c>
      <c r="B3403" s="3">
        <v>0.1515653425279804</v>
      </c>
      <c r="C3403" s="3">
        <v>2.310913853206116E-2</v>
      </c>
      <c r="D3403" s="1">
        <v>71317.93060321435</v>
      </c>
      <c r="E3403" s="1">
        <v>2185476</v>
      </c>
      <c r="F3403" s="1">
        <v>19981069</v>
      </c>
      <c r="G3403" s="16">
        <v>43825.475267406822</v>
      </c>
      <c r="H3403">
        <v>245.79</v>
      </c>
      <c r="I3403" s="1">
        <v>782.78</v>
      </c>
      <c r="J3403" s="16">
        <v>115143.40587062118</v>
      </c>
      <c r="K3403" s="5">
        <v>0.15869192886038161</v>
      </c>
      <c r="L3403" s="10">
        <v>726655.22219999996</v>
      </c>
    </row>
    <row r="3404" spans="1:12" x14ac:dyDescent="0.25">
      <c r="A3404">
        <v>3403</v>
      </c>
      <c r="B3404" s="3">
        <v>0.19793375843436534</v>
      </c>
      <c r="C3404" s="3">
        <v>2.8770383489698383E-2</v>
      </c>
      <c r="D3404" s="1">
        <v>51691.153265421512</v>
      </c>
      <c r="E3404" s="1">
        <v>1503832</v>
      </c>
      <c r="F3404" s="1">
        <v>9219206</v>
      </c>
      <c r="G3404" s="16">
        <v>13204.655064973491</v>
      </c>
      <c r="H3404">
        <v>74.61</v>
      </c>
      <c r="I3404" s="1">
        <v>239.21000000000004</v>
      </c>
      <c r="J3404" s="16">
        <v>64895.808330395004</v>
      </c>
      <c r="K3404" s="5">
        <v>0.22799055727719431</v>
      </c>
      <c r="L3404" s="10">
        <v>436268.51669999998</v>
      </c>
    </row>
    <row r="3405" spans="1:12" x14ac:dyDescent="0.25">
      <c r="A3405">
        <v>3404</v>
      </c>
      <c r="B3405" s="3">
        <v>0.19219610240225488</v>
      </c>
      <c r="C3405" s="3">
        <v>4.6489024768864781E-2</v>
      </c>
      <c r="D3405" s="1">
        <v>47429.969785062582</v>
      </c>
      <c r="E3405" s="1">
        <v>1683985</v>
      </c>
      <c r="F3405" s="1">
        <v>13745710</v>
      </c>
      <c r="G3405" s="16">
        <v>22290.335920221874</v>
      </c>
      <c r="H3405">
        <v>149.33000000000001</v>
      </c>
      <c r="I3405" s="1">
        <v>453.62</v>
      </c>
      <c r="J3405" s="16">
        <v>69720.305705284452</v>
      </c>
      <c r="K3405" s="5">
        <v>0.23706586841302724</v>
      </c>
      <c r="L3405" s="10">
        <v>291916.1214</v>
      </c>
    </row>
    <row r="3406" spans="1:12" x14ac:dyDescent="0.25">
      <c r="A3406">
        <v>3405</v>
      </c>
      <c r="B3406" s="3">
        <v>0.19966070663988572</v>
      </c>
      <c r="C3406" s="3">
        <v>5.1777086309596126E-2</v>
      </c>
      <c r="D3406" s="1">
        <v>378375.29803958564</v>
      </c>
      <c r="E3406" s="1">
        <v>26945147</v>
      </c>
      <c r="F3406" s="1">
        <v>90542227</v>
      </c>
      <c r="G3406" s="16">
        <v>12409.896738245599</v>
      </c>
      <c r="H3406">
        <v>71.010000000000005</v>
      </c>
      <c r="I3406" s="1">
        <v>311.65000000000003</v>
      </c>
      <c r="J3406" s="16">
        <v>390785.19477783126</v>
      </c>
      <c r="K3406" s="5">
        <v>9.0080227882161912E-2</v>
      </c>
      <c r="L3406" s="10">
        <v>587220.70929999999</v>
      </c>
    </row>
    <row r="3407" spans="1:12" x14ac:dyDescent="0.25">
      <c r="A3407">
        <v>3406</v>
      </c>
      <c r="B3407" s="3">
        <v>0.2052936768897376</v>
      </c>
      <c r="C3407" s="3">
        <v>4.7159422321395777E-2</v>
      </c>
      <c r="D3407" s="1">
        <v>274418.93453502411</v>
      </c>
      <c r="E3407" s="1">
        <v>16202579</v>
      </c>
      <c r="F3407" s="1">
        <v>53864912</v>
      </c>
      <c r="G3407" s="16">
        <v>38264.493910499121</v>
      </c>
      <c r="H3407">
        <v>288.08999999999997</v>
      </c>
      <c r="I3407" s="1">
        <v>675.24</v>
      </c>
      <c r="J3407" s="16">
        <v>312683.42844552326</v>
      </c>
      <c r="K3407" s="5">
        <v>4.9252554597068836E-2</v>
      </c>
      <c r="L3407" s="10">
        <v>247938.10190000001</v>
      </c>
    </row>
    <row r="3408" spans="1:12" x14ac:dyDescent="0.25">
      <c r="A3408">
        <v>3407</v>
      </c>
      <c r="B3408" s="3">
        <v>0.21523518445646128</v>
      </c>
      <c r="C3408" s="3">
        <v>2.0447637548277484E-2</v>
      </c>
      <c r="D3408" s="1">
        <v>208538.31734568212</v>
      </c>
      <c r="E3408" s="1">
        <v>10290358</v>
      </c>
      <c r="F3408" s="1">
        <v>32909894</v>
      </c>
      <c r="G3408" s="16">
        <v>10889.802929672231</v>
      </c>
      <c r="H3408">
        <v>55.15</v>
      </c>
      <c r="I3408" s="1">
        <v>179.54</v>
      </c>
      <c r="J3408" s="16">
        <v>219428.12027535436</v>
      </c>
      <c r="K3408" s="5">
        <v>0.16751681315539188</v>
      </c>
      <c r="L3408" s="10">
        <v>1598351.2699</v>
      </c>
    </row>
    <row r="3409" spans="1:12" x14ac:dyDescent="0.25">
      <c r="A3409">
        <v>3408</v>
      </c>
      <c r="B3409" s="3">
        <v>0.1398031671251645</v>
      </c>
      <c r="C3409" s="3">
        <v>6.8415551447784925E-2</v>
      </c>
      <c r="D3409" s="1">
        <v>114186.49224252591</v>
      </c>
      <c r="E3409" s="1">
        <v>3357559</v>
      </c>
      <c r="F3409" s="1">
        <v>16807446</v>
      </c>
      <c r="G3409" s="16">
        <v>72331.631719977289</v>
      </c>
      <c r="H3409">
        <v>363.48</v>
      </c>
      <c r="I3409" s="1">
        <v>982.58</v>
      </c>
      <c r="J3409" s="16">
        <v>186518.12396250322</v>
      </c>
      <c r="K3409" s="5">
        <v>4.8857968490361614E-2</v>
      </c>
      <c r="L3409" s="10">
        <v>100407.5383</v>
      </c>
    </row>
    <row r="3410" spans="1:12" x14ac:dyDescent="0.25">
      <c r="A3410">
        <v>3409</v>
      </c>
      <c r="B3410" s="3">
        <v>0.12364539566351315</v>
      </c>
      <c r="C3410" s="3">
        <v>4.2579353457312841E-2</v>
      </c>
      <c r="D3410" s="1">
        <v>278185.90690577094</v>
      </c>
      <c r="E3410" s="1">
        <v>10072543</v>
      </c>
      <c r="F3410" s="1">
        <v>43481050</v>
      </c>
      <c r="G3410" s="16">
        <v>73800.648008723496</v>
      </c>
      <c r="H3410">
        <v>318.83999999999997</v>
      </c>
      <c r="I3410" s="1">
        <v>853.87999999999988</v>
      </c>
      <c r="J3410" s="16">
        <v>351986.55491449445</v>
      </c>
      <c r="K3410" s="5">
        <v>-4.135345495612789E-3</v>
      </c>
      <c r="L3410" s="10">
        <v>38798.252999999997</v>
      </c>
    </row>
    <row r="3411" spans="1:12" x14ac:dyDescent="0.25">
      <c r="A3411">
        <v>3410</v>
      </c>
      <c r="B3411" s="3">
        <v>0.20547994625673519</v>
      </c>
      <c r="C3411" s="3">
        <v>2.0674044694227758E-2</v>
      </c>
      <c r="D3411" s="1">
        <v>166262.97417086331</v>
      </c>
      <c r="E3411" s="1">
        <v>7808722</v>
      </c>
      <c r="F3411" s="1">
        <v>28704624</v>
      </c>
      <c r="G3411" s="16">
        <v>9423.0189349488955</v>
      </c>
      <c r="H3411">
        <v>56.41</v>
      </c>
      <c r="I3411" s="1">
        <v>269.62</v>
      </c>
      <c r="J3411" s="16">
        <v>175685.9931058122</v>
      </c>
      <c r="K3411" s="5">
        <v>0.13609805369108322</v>
      </c>
      <c r="L3411" s="10">
        <v>1033919.6327</v>
      </c>
    </row>
    <row r="3412" spans="1:12" x14ac:dyDescent="0.25">
      <c r="A3412">
        <v>3411</v>
      </c>
      <c r="B3412" s="3">
        <v>0.1021281405188755</v>
      </c>
      <c r="C3412" s="3">
        <v>2.5027022970311719E-2</v>
      </c>
      <c r="D3412" s="1">
        <v>253329.79172139382</v>
      </c>
      <c r="E3412" s="1">
        <v>7295105</v>
      </c>
      <c r="F3412" s="1">
        <v>30126085</v>
      </c>
      <c r="G3412" s="16">
        <v>49912.497277873961</v>
      </c>
      <c r="H3412">
        <v>159.79</v>
      </c>
      <c r="I3412" s="1">
        <v>476.72</v>
      </c>
      <c r="J3412" s="16">
        <v>303242.2889992678</v>
      </c>
      <c r="K3412" s="5">
        <v>0.14480089353069053</v>
      </c>
      <c r="L3412" s="10">
        <v>1494563.6440999999</v>
      </c>
    </row>
    <row r="3413" spans="1:12" x14ac:dyDescent="0.25">
      <c r="A3413">
        <v>3412</v>
      </c>
      <c r="B3413" s="3">
        <v>0.19539365993690855</v>
      </c>
      <c r="C3413" s="3">
        <v>7.8370687644443923E-2</v>
      </c>
      <c r="D3413" s="1">
        <v>62941.645226634515</v>
      </c>
      <c r="E3413" s="1">
        <v>2261469</v>
      </c>
      <c r="F3413" s="1">
        <v>15987147</v>
      </c>
      <c r="G3413" s="16">
        <v>9640.3348146780518</v>
      </c>
      <c r="H3413">
        <v>53.39</v>
      </c>
      <c r="I3413" s="1">
        <v>218.60000000000002</v>
      </c>
      <c r="J3413" s="16">
        <v>72581.980041312563</v>
      </c>
      <c r="K3413" s="5">
        <v>8.0602444566728854E-2</v>
      </c>
      <c r="L3413" s="10">
        <v>56802.933299999997</v>
      </c>
    </row>
    <row r="3414" spans="1:12" x14ac:dyDescent="0.25">
      <c r="A3414">
        <v>3413</v>
      </c>
      <c r="B3414" s="3">
        <v>0.11733927446596694</v>
      </c>
      <c r="C3414" s="3">
        <v>3.7298176648313683E-2</v>
      </c>
      <c r="D3414" s="1">
        <v>112195.553500813</v>
      </c>
      <c r="E3414" s="1">
        <v>3053494</v>
      </c>
      <c r="F3414" s="1">
        <v>20597930</v>
      </c>
      <c r="G3414" s="16">
        <v>38117.884521336935</v>
      </c>
      <c r="H3414">
        <v>121.22</v>
      </c>
      <c r="I3414" s="1">
        <v>353.57000000000005</v>
      </c>
      <c r="J3414" s="16">
        <v>150313.43802214993</v>
      </c>
      <c r="K3414" s="5">
        <v>4.3051726132487825E-2</v>
      </c>
      <c r="L3414" s="10">
        <v>156607.84779999999</v>
      </c>
    </row>
    <row r="3415" spans="1:12" x14ac:dyDescent="0.25">
      <c r="A3415">
        <v>3414</v>
      </c>
      <c r="B3415" s="3">
        <v>0.18617664363472253</v>
      </c>
      <c r="C3415" s="3">
        <v>7.9468655814663572E-2</v>
      </c>
      <c r="D3415" s="1">
        <v>225369.5057964992</v>
      </c>
      <c r="E3415" s="1">
        <v>9615629</v>
      </c>
      <c r="F3415" s="1">
        <v>32095134</v>
      </c>
      <c r="G3415" s="16">
        <v>32451.81015841314</v>
      </c>
      <c r="H3415">
        <v>206.51</v>
      </c>
      <c r="I3415" s="1">
        <v>503.47</v>
      </c>
      <c r="J3415" s="16">
        <v>257821.31595491234</v>
      </c>
      <c r="K3415" s="5">
        <v>8.5568644591589721E-2</v>
      </c>
      <c r="L3415" s="10">
        <v>167064.87710000001</v>
      </c>
    </row>
    <row r="3416" spans="1:12" x14ac:dyDescent="0.25">
      <c r="A3416">
        <v>3415</v>
      </c>
      <c r="B3416" s="3">
        <v>0.24526721309203037</v>
      </c>
      <c r="C3416" s="3">
        <v>6.9529666576100463E-2</v>
      </c>
      <c r="D3416" s="1">
        <v>79325.701043841123</v>
      </c>
      <c r="E3416" s="1">
        <v>3453316</v>
      </c>
      <c r="F3416" s="1">
        <v>15072700</v>
      </c>
      <c r="G3416" s="16">
        <v>8358.9533651805068</v>
      </c>
      <c r="H3416">
        <v>68.13</v>
      </c>
      <c r="I3416" s="1">
        <v>210.79999999999998</v>
      </c>
      <c r="J3416" s="16">
        <v>87684.654409021634</v>
      </c>
      <c r="K3416" s="5">
        <v>0.17703077250760382</v>
      </c>
      <c r="L3416" s="10">
        <v>150293.21309999999</v>
      </c>
    </row>
    <row r="3417" spans="1:12" x14ac:dyDescent="0.25">
      <c r="A3417">
        <v>3416</v>
      </c>
      <c r="B3417" s="3">
        <v>0.20719366695800451</v>
      </c>
      <c r="C3417" s="3">
        <v>3.6524512772945814E-2</v>
      </c>
      <c r="D3417" s="1">
        <v>49617.58639255957</v>
      </c>
      <c r="E3417" s="1">
        <v>1863532</v>
      </c>
      <c r="F3417" s="1">
        <v>12690417</v>
      </c>
      <c r="G3417" s="16">
        <v>28956.246030797101</v>
      </c>
      <c r="H3417">
        <v>221.19</v>
      </c>
      <c r="I3417" s="1">
        <v>607.78</v>
      </c>
      <c r="J3417" s="16">
        <v>78573.832423356667</v>
      </c>
      <c r="K3417" s="5">
        <v>5.4290973275498249E-2</v>
      </c>
      <c r="L3417" s="10">
        <v>117767.7757</v>
      </c>
    </row>
    <row r="3418" spans="1:12" x14ac:dyDescent="0.25">
      <c r="A3418">
        <v>3417</v>
      </c>
      <c r="B3418" s="3">
        <v>0.19046460386988825</v>
      </c>
      <c r="C3418" s="3">
        <v>3.6308371518314134E-2</v>
      </c>
      <c r="D3418" s="1">
        <v>96739.93119947688</v>
      </c>
      <c r="E3418" s="1">
        <v>4215661</v>
      </c>
      <c r="F3418" s="1">
        <v>23530689</v>
      </c>
      <c r="G3418" s="16">
        <v>44953.61317642904</v>
      </c>
      <c r="H3418">
        <v>297.01</v>
      </c>
      <c r="I3418" s="1">
        <v>763.68000000000006</v>
      </c>
      <c r="J3418" s="16">
        <v>141693.54437590591</v>
      </c>
      <c r="K3418" s="5">
        <v>-5.3828352601188817E-2</v>
      </c>
      <c r="L3418" s="10">
        <v>-147159.4106</v>
      </c>
    </row>
    <row r="3419" spans="1:12" x14ac:dyDescent="0.25">
      <c r="A3419">
        <v>3418</v>
      </c>
      <c r="B3419" s="3">
        <v>0.10810394395915869</v>
      </c>
      <c r="C3419" s="3">
        <v>2.2117331001107039E-2</v>
      </c>
      <c r="D3419" s="1">
        <v>125241.3244855285</v>
      </c>
      <c r="E3419" s="1">
        <v>3303753</v>
      </c>
      <c r="F3419" s="1">
        <v>17080957</v>
      </c>
      <c r="G3419" s="16">
        <v>10714.763992295342</v>
      </c>
      <c r="H3419">
        <v>28.6</v>
      </c>
      <c r="I3419" s="1">
        <v>148.37</v>
      </c>
      <c r="J3419" s="16">
        <v>135956.08847782385</v>
      </c>
      <c r="K3419" s="5">
        <v>4.9104405847550069E-2</v>
      </c>
      <c r="L3419" s="10">
        <v>293045.8922</v>
      </c>
    </row>
    <row r="3420" spans="1:12" x14ac:dyDescent="0.25">
      <c r="A3420">
        <v>3419</v>
      </c>
      <c r="B3420" s="3">
        <v>0.20361570892829917</v>
      </c>
      <c r="C3420" s="3">
        <v>2.2820477527854474E-2</v>
      </c>
      <c r="D3420" s="1">
        <v>96241.679625332938</v>
      </c>
      <c r="E3420" s="1">
        <v>3566136</v>
      </c>
      <c r="F3420" s="1">
        <v>18898229</v>
      </c>
      <c r="G3420" s="16">
        <v>30920.101113820529</v>
      </c>
      <c r="H3420">
        <v>228.93</v>
      </c>
      <c r="I3420" s="1">
        <v>595.94000000000005</v>
      </c>
      <c r="J3420" s="16">
        <v>127161.78073915347</v>
      </c>
      <c r="K3420" s="5">
        <v>0.2210056768511347</v>
      </c>
      <c r="L3420" s="10">
        <v>1107561.2346000001</v>
      </c>
    </row>
    <row r="3421" spans="1:12" x14ac:dyDescent="0.25">
      <c r="A3421">
        <v>3420</v>
      </c>
      <c r="B3421" s="3">
        <v>0.11999504989126895</v>
      </c>
      <c r="C3421" s="3">
        <v>3.5401890014761593E-2</v>
      </c>
      <c r="D3421" s="1">
        <v>251503.54158023398</v>
      </c>
      <c r="E3421" s="1">
        <v>8919099</v>
      </c>
      <c r="F3421" s="1">
        <v>44201863</v>
      </c>
      <c r="G3421" s="16">
        <v>72102.256232262967</v>
      </c>
      <c r="H3421">
        <v>265.55</v>
      </c>
      <c r="I3421" s="1">
        <v>664.58999999999992</v>
      </c>
      <c r="J3421" s="16">
        <v>323605.79781249695</v>
      </c>
      <c r="K3421" s="5">
        <v>7.1671884432948696E-2</v>
      </c>
      <c r="L3421" s="10">
        <v>592877.43669999996</v>
      </c>
    </row>
    <row r="3422" spans="1:12" x14ac:dyDescent="0.25">
      <c r="A3422">
        <v>3421</v>
      </c>
      <c r="B3422" s="3">
        <v>0.12790421629843179</v>
      </c>
      <c r="C3422" s="3">
        <v>6.6618079391204094E-2</v>
      </c>
      <c r="D3422" s="1">
        <v>172983.30372414258</v>
      </c>
      <c r="E3422" s="1">
        <v>5596934</v>
      </c>
      <c r="F3422" s="1">
        <v>31486919</v>
      </c>
      <c r="G3422" s="16">
        <v>110561.43185644632</v>
      </c>
      <c r="H3422">
        <v>497.7</v>
      </c>
      <c r="I3422" s="1">
        <v>1203.8900000000001</v>
      </c>
      <c r="J3422" s="16">
        <v>283544.73558058892</v>
      </c>
      <c r="K3422" s="5">
        <v>5.1943458131918759E-2</v>
      </c>
      <c r="L3422" s="10">
        <v>156471.73939999999</v>
      </c>
    </row>
    <row r="3423" spans="1:12" x14ac:dyDescent="0.25">
      <c r="A3423">
        <v>3422</v>
      </c>
      <c r="B3423" s="3">
        <v>0.10669577503658936</v>
      </c>
      <c r="C3423" s="3">
        <v>5.3456675744314369E-2</v>
      </c>
      <c r="D3423" s="1">
        <v>106424.25625048089</v>
      </c>
      <c r="E3423" s="1">
        <v>2794119</v>
      </c>
      <c r="F3423" s="1">
        <v>13604102</v>
      </c>
      <c r="G3423" s="16">
        <v>31420.099913295406</v>
      </c>
      <c r="H3423">
        <v>93.11</v>
      </c>
      <c r="I3423" s="1">
        <v>255.62</v>
      </c>
      <c r="J3423" s="16">
        <v>137844.35616377631</v>
      </c>
      <c r="K3423" s="5">
        <v>0.37690674488778486</v>
      </c>
      <c r="L3423" s="10">
        <v>703515.36259999999</v>
      </c>
    </row>
    <row r="3424" spans="1:12" x14ac:dyDescent="0.25">
      <c r="A3424">
        <v>3423</v>
      </c>
      <c r="B3424" s="3">
        <v>0.20486055579223716</v>
      </c>
      <c r="C3424" s="3">
        <v>7.0249607631896097E-2</v>
      </c>
      <c r="D3424" s="1">
        <v>64517.906516915871</v>
      </c>
      <c r="E3424" s="1">
        <v>2401893</v>
      </c>
      <c r="F3424" s="1">
        <v>17111572</v>
      </c>
      <c r="G3424" s="16">
        <v>9327.5754879675078</v>
      </c>
      <c r="H3424">
        <v>55.59</v>
      </c>
      <c r="I3424" s="1">
        <v>196.62</v>
      </c>
      <c r="J3424" s="16">
        <v>73845.482004883379</v>
      </c>
      <c r="K3424" s="5">
        <v>9.8603667196605654E-2</v>
      </c>
      <c r="L3424" s="10">
        <v>95172.482699999993</v>
      </c>
    </row>
    <row r="3425" spans="1:12" x14ac:dyDescent="0.25">
      <c r="A3425">
        <v>3424</v>
      </c>
      <c r="B3425" s="3">
        <v>0.24840204681341896</v>
      </c>
      <c r="C3425" s="3">
        <v>3.0827100383461162E-2</v>
      </c>
      <c r="D3425" s="1">
        <v>107296.95473218941</v>
      </c>
      <c r="E3425" s="1">
        <v>6292857</v>
      </c>
      <c r="F3425" s="1">
        <v>33087748</v>
      </c>
      <c r="G3425" s="16">
        <v>9926.3757468632648</v>
      </c>
      <c r="H3425">
        <v>82.97</v>
      </c>
      <c r="I3425" s="1">
        <v>227.38</v>
      </c>
      <c r="J3425" s="16">
        <v>117223.33047905267</v>
      </c>
      <c r="K3425" s="5">
        <v>2.8687812992343392E-2</v>
      </c>
      <c r="L3425" s="10">
        <v>141978.28750000001</v>
      </c>
    </row>
    <row r="3426" spans="1:12" x14ac:dyDescent="0.25">
      <c r="A3426">
        <v>3425</v>
      </c>
      <c r="B3426" s="3">
        <v>0.21635076298076847</v>
      </c>
      <c r="C3426" s="3">
        <v>4.4681577219002538E-2</v>
      </c>
      <c r="D3426" s="1">
        <v>139592.35865555212</v>
      </c>
      <c r="E3426" s="1">
        <v>6927513</v>
      </c>
      <c r="F3426" s="1">
        <v>29262891</v>
      </c>
      <c r="G3426" s="16">
        <v>10569.110527781238</v>
      </c>
      <c r="H3426">
        <v>53.79</v>
      </c>
      <c r="I3426" s="1">
        <v>182.73</v>
      </c>
      <c r="J3426" s="16">
        <v>150161.46918333336</v>
      </c>
      <c r="K3426" s="5">
        <v>0.10946114858364125</v>
      </c>
      <c r="L3426" s="10">
        <v>301617.75349999999</v>
      </c>
    </row>
    <row r="3427" spans="1:12" x14ac:dyDescent="0.25">
      <c r="A3427">
        <v>3426</v>
      </c>
      <c r="B3427" s="3">
        <v>0.22024579098173891</v>
      </c>
      <c r="C3427" s="3">
        <v>4.8794318319351625E-2</v>
      </c>
      <c r="D3427" s="1">
        <v>451133.73955496156</v>
      </c>
      <c r="E3427" s="1">
        <v>29290012</v>
      </c>
      <c r="F3427" s="1">
        <v>82041884</v>
      </c>
      <c r="G3427" s="16">
        <v>22046.348668754646</v>
      </c>
      <c r="H3427">
        <v>188.98</v>
      </c>
      <c r="I3427" s="1">
        <v>538.14</v>
      </c>
      <c r="J3427" s="16">
        <v>473180.08822371619</v>
      </c>
      <c r="K3427" s="5">
        <v>8.6981318324488341E-2</v>
      </c>
      <c r="L3427" s="10">
        <v>657952.57990000001</v>
      </c>
    </row>
    <row r="3428" spans="1:12" x14ac:dyDescent="0.25">
      <c r="A3428">
        <v>3427</v>
      </c>
      <c r="B3428" s="3">
        <v>0.20636804591837349</v>
      </c>
      <c r="C3428" s="3">
        <v>6.8556419744043084E-2</v>
      </c>
      <c r="D3428" s="1">
        <v>84443.458422056166</v>
      </c>
      <c r="E3428" s="1">
        <v>3161631</v>
      </c>
      <c r="F3428" s="1">
        <v>16878956</v>
      </c>
      <c r="G3428" s="16">
        <v>21924.850509373471</v>
      </c>
      <c r="H3428">
        <v>166.47</v>
      </c>
      <c r="I3428" s="1">
        <v>547.6</v>
      </c>
      <c r="J3428" s="16">
        <v>106368.30893142964</v>
      </c>
      <c r="K3428" s="5">
        <v>0.12663450910843976</v>
      </c>
      <c r="L3428" s="10">
        <v>144890.04920000001</v>
      </c>
    </row>
    <row r="3429" spans="1:12" x14ac:dyDescent="0.25">
      <c r="A3429">
        <v>3428</v>
      </c>
      <c r="B3429" s="3">
        <v>0.16951356514748514</v>
      </c>
      <c r="C3429" s="3">
        <v>7.8512785646325842E-2</v>
      </c>
      <c r="D3429" s="1">
        <v>58408.865760693217</v>
      </c>
      <c r="E3429" s="1">
        <v>1584957</v>
      </c>
      <c r="F3429" s="1">
        <v>9921943</v>
      </c>
      <c r="G3429" s="16">
        <v>19514.730602335712</v>
      </c>
      <c r="H3429">
        <v>89.57</v>
      </c>
      <c r="I3429" s="1">
        <v>314.5</v>
      </c>
      <c r="J3429" s="16">
        <v>77923.596363028933</v>
      </c>
      <c r="K3429" s="5">
        <v>0.19216924124767334</v>
      </c>
      <c r="L3429" s="10">
        <v>136463.65650000001</v>
      </c>
    </row>
    <row r="3430" spans="1:12" x14ac:dyDescent="0.25">
      <c r="A3430">
        <v>3429</v>
      </c>
      <c r="B3430" s="3">
        <v>0.16881870601658158</v>
      </c>
      <c r="C3430" s="3">
        <v>4.5290586443225783E-2</v>
      </c>
      <c r="D3430" s="1">
        <v>261028.09186067223</v>
      </c>
      <c r="E3430" s="1">
        <v>12314346</v>
      </c>
      <c r="F3430" s="1">
        <v>54487739</v>
      </c>
      <c r="G3430" s="16">
        <v>48223.836647398857</v>
      </c>
      <c r="H3430">
        <v>318.60000000000002</v>
      </c>
      <c r="I3430" s="1">
        <v>785.49</v>
      </c>
      <c r="J3430" s="16">
        <v>309251.92850807111</v>
      </c>
      <c r="K3430" s="5">
        <v>0.22129968773431782</v>
      </c>
      <c r="L3430" s="10">
        <v>1190170.7674</v>
      </c>
    </row>
    <row r="3431" spans="1:12" x14ac:dyDescent="0.25">
      <c r="A3431">
        <v>3430</v>
      </c>
      <c r="B3431" s="3">
        <v>0.15588890510288056</v>
      </c>
      <c r="C3431" s="3">
        <v>4.3263637444835544E-2</v>
      </c>
      <c r="D3431" s="1">
        <v>220353.76055108686</v>
      </c>
      <c r="E3431" s="1">
        <v>8123154</v>
      </c>
      <c r="F3431" s="1">
        <v>32186299</v>
      </c>
      <c r="G3431" s="16">
        <v>31829.848143309155</v>
      </c>
      <c r="H3431">
        <v>156.81</v>
      </c>
      <c r="I3431" s="1">
        <v>470.8</v>
      </c>
      <c r="J3431" s="16">
        <v>252183.60869439601</v>
      </c>
      <c r="K3431" s="5">
        <v>0.13115570720030834</v>
      </c>
      <c r="L3431" s="10">
        <v>608253.52339999995</v>
      </c>
    </row>
    <row r="3432" spans="1:12" x14ac:dyDescent="0.25">
      <c r="A3432">
        <v>3431</v>
      </c>
      <c r="B3432" s="3">
        <v>0.120330316641554</v>
      </c>
      <c r="C3432" s="3">
        <v>2.2731948382206008E-2</v>
      </c>
      <c r="D3432" s="1">
        <v>213466.06180773317</v>
      </c>
      <c r="E3432" s="1">
        <v>6671961</v>
      </c>
      <c r="F3432" s="1">
        <v>23600331</v>
      </c>
      <c r="G3432" s="16">
        <v>74392.31125983638</v>
      </c>
      <c r="H3432">
        <v>312.18</v>
      </c>
      <c r="I3432" s="1">
        <v>909.37000000000012</v>
      </c>
      <c r="J3432" s="16">
        <v>287858.37306756957</v>
      </c>
      <c r="K3432" s="5">
        <v>0.11127730409681613</v>
      </c>
      <c r="L3432" s="10">
        <v>1239554.0729</v>
      </c>
    </row>
    <row r="3433" spans="1:12" x14ac:dyDescent="0.25">
      <c r="A3433">
        <v>3432</v>
      </c>
      <c r="B3433" s="3">
        <v>0.12740941362329841</v>
      </c>
      <c r="C3433" s="3">
        <v>4.4281016146218669E-2</v>
      </c>
      <c r="D3433" s="1">
        <v>191571.84235927375</v>
      </c>
      <c r="E3433" s="1">
        <v>5396382</v>
      </c>
      <c r="F3433" s="1">
        <v>19960718</v>
      </c>
      <c r="G3433" s="16">
        <v>34707.736756148232</v>
      </c>
      <c r="H3433">
        <v>118.36</v>
      </c>
      <c r="I3433" s="1">
        <v>357</v>
      </c>
      <c r="J3433" s="16">
        <v>226279.57911542198</v>
      </c>
      <c r="K3433" s="5">
        <v>0.15549904950269319</v>
      </c>
      <c r="L3433" s="10">
        <v>590186.26020000002</v>
      </c>
    </row>
    <row r="3434" spans="1:12" x14ac:dyDescent="0.25">
      <c r="A3434">
        <v>3433</v>
      </c>
      <c r="B3434" s="3">
        <v>0.15372068603871591</v>
      </c>
      <c r="C3434" s="3">
        <v>7.2457294032380853E-2</v>
      </c>
      <c r="D3434" s="1">
        <v>179282.09414165269</v>
      </c>
      <c r="E3434" s="1">
        <v>6541616</v>
      </c>
      <c r="F3434" s="1">
        <v>38067835</v>
      </c>
      <c r="G3434" s="16">
        <v>42971.180426151484</v>
      </c>
      <c r="H3434">
        <v>245.77</v>
      </c>
      <c r="I3434" s="1">
        <v>806.09</v>
      </c>
      <c r="J3434" s="16">
        <v>222253.27456780418</v>
      </c>
      <c r="K3434" s="5">
        <v>0.30504226889930297</v>
      </c>
      <c r="L3434" s="10">
        <v>653483.38840000005</v>
      </c>
    </row>
    <row r="3435" spans="1:12" x14ac:dyDescent="0.25">
      <c r="A3435">
        <v>3434</v>
      </c>
      <c r="B3435" s="3">
        <v>0.18100234320999559</v>
      </c>
      <c r="C3435" s="3">
        <v>6.6565314379266258E-2</v>
      </c>
      <c r="D3435" s="1">
        <v>452912.47568389378</v>
      </c>
      <c r="E3435" s="1">
        <v>28088007</v>
      </c>
      <c r="F3435" s="1">
        <v>95083021</v>
      </c>
      <c r="G3435" s="16">
        <v>14452.146604562597</v>
      </c>
      <c r="H3435">
        <v>72.13</v>
      </c>
      <c r="I3435" s="1">
        <v>273.27999999999997</v>
      </c>
      <c r="J3435" s="16">
        <v>467364.62228845636</v>
      </c>
      <c r="K3435" s="5">
        <v>-4.8944294347318076E-2</v>
      </c>
      <c r="L3435" s="10">
        <v>-153083.3351</v>
      </c>
    </row>
    <row r="3436" spans="1:12" x14ac:dyDescent="0.25">
      <c r="A3436">
        <v>3435</v>
      </c>
      <c r="B3436" s="3">
        <v>0.19799439971764726</v>
      </c>
      <c r="C3436" s="3">
        <v>7.1636378094674186E-2</v>
      </c>
      <c r="D3436" s="1">
        <v>109029.63701933887</v>
      </c>
      <c r="E3436" s="1">
        <v>3955624</v>
      </c>
      <c r="F3436" s="1">
        <v>20813987</v>
      </c>
      <c r="G3436" s="16">
        <v>16227.594689223317</v>
      </c>
      <c r="H3436">
        <v>114.42</v>
      </c>
      <c r="I3436" s="1">
        <v>387.93</v>
      </c>
      <c r="J3436" s="16">
        <v>125257.23170856219</v>
      </c>
      <c r="K3436" s="5">
        <v>0.17740988533406379</v>
      </c>
      <c r="L3436" s="10">
        <v>218634.1458</v>
      </c>
    </row>
    <row r="3437" spans="1:12" x14ac:dyDescent="0.25">
      <c r="A3437">
        <v>3436</v>
      </c>
      <c r="B3437" s="3">
        <v>0.16649804948106442</v>
      </c>
      <c r="C3437" s="3">
        <v>4.3827578601722234E-2</v>
      </c>
      <c r="D3437" s="1">
        <v>51489.418984723576</v>
      </c>
      <c r="E3437" s="1">
        <v>1664184</v>
      </c>
      <c r="F3437" s="1">
        <v>15462199</v>
      </c>
      <c r="G3437" s="16">
        <v>48349.304814726544</v>
      </c>
      <c r="H3437">
        <v>312.3</v>
      </c>
      <c r="I3437" s="1">
        <v>877.06999999999994</v>
      </c>
      <c r="J3437" s="16">
        <v>99838.723799450119</v>
      </c>
      <c r="K3437" s="5">
        <v>5.4836048512618668E-2</v>
      </c>
      <c r="L3437" s="10">
        <v>131624.92610000001</v>
      </c>
    </row>
    <row r="3438" spans="1:12" x14ac:dyDescent="0.25">
      <c r="A3438">
        <v>3437</v>
      </c>
      <c r="B3438" s="3">
        <v>0.20167225122913446</v>
      </c>
      <c r="C3438" s="3">
        <v>6.1650371646716079E-2</v>
      </c>
      <c r="D3438" s="1">
        <v>149153.19445101341</v>
      </c>
      <c r="E3438" s="1">
        <v>6872434</v>
      </c>
      <c r="F3438" s="1">
        <v>35637640</v>
      </c>
      <c r="G3438" s="16">
        <v>21437.08522566644</v>
      </c>
      <c r="H3438">
        <v>124.41</v>
      </c>
      <c r="I3438" s="1">
        <v>294.52</v>
      </c>
      <c r="J3438" s="16">
        <v>170590.27967667984</v>
      </c>
      <c r="K3438" s="5">
        <v>0.11447027728479676</v>
      </c>
      <c r="L3438" s="10">
        <v>216152.4497</v>
      </c>
    </row>
    <row r="3439" spans="1:12" x14ac:dyDescent="0.25">
      <c r="A3439">
        <v>3438</v>
      </c>
      <c r="B3439" s="3">
        <v>0.11040209862307919</v>
      </c>
      <c r="C3439" s="3">
        <v>7.3312198629083045E-2</v>
      </c>
      <c r="D3439" s="1">
        <v>414328.93915902165</v>
      </c>
      <c r="E3439" s="1">
        <v>13918081</v>
      </c>
      <c r="F3439" s="1">
        <v>50874605</v>
      </c>
      <c r="G3439" s="16">
        <v>62406.208353079623</v>
      </c>
      <c r="H3439">
        <v>212.99</v>
      </c>
      <c r="I3439" s="1">
        <v>642.90000000000009</v>
      </c>
      <c r="J3439" s="16">
        <v>476735.14751210128</v>
      </c>
      <c r="K3439" s="5">
        <v>0.1838662134605481</v>
      </c>
      <c r="L3439" s="10">
        <v>757704.59129999997</v>
      </c>
    </row>
    <row r="3440" spans="1:12" x14ac:dyDescent="0.25">
      <c r="A3440">
        <v>3439</v>
      </c>
      <c r="B3440" s="3">
        <v>0.13032221017200873</v>
      </c>
      <c r="C3440" s="3">
        <v>5.3052809911380491E-2</v>
      </c>
      <c r="D3440" s="1">
        <v>635720.4641546146</v>
      </c>
      <c r="E3440" s="1">
        <v>23915363</v>
      </c>
      <c r="F3440" s="1">
        <v>83313969</v>
      </c>
      <c r="G3440" s="16">
        <v>78377.818066066873</v>
      </c>
      <c r="H3440">
        <v>360.03</v>
      </c>
      <c r="I3440" s="1">
        <v>825.74</v>
      </c>
      <c r="J3440" s="16">
        <v>714098.28222068143</v>
      </c>
      <c r="K3440" s="5">
        <v>0.10048924969675757</v>
      </c>
      <c r="L3440" s="10">
        <v>1003392.8392</v>
      </c>
    </row>
    <row r="3441" spans="1:12" x14ac:dyDescent="0.25">
      <c r="A3441">
        <v>3440</v>
      </c>
      <c r="B3441" s="3">
        <v>0.14342183003635944</v>
      </c>
      <c r="C3441" s="3">
        <v>2.5619122143247377E-2</v>
      </c>
      <c r="D3441" s="1">
        <v>174359.93803490628</v>
      </c>
      <c r="E3441" s="1">
        <v>6061522</v>
      </c>
      <c r="F3441" s="1">
        <v>35764515</v>
      </c>
      <c r="G3441" s="16">
        <v>48285.919871946382</v>
      </c>
      <c r="H3441">
        <v>214.73</v>
      </c>
      <c r="I3441" s="1">
        <v>611.79999999999995</v>
      </c>
      <c r="J3441" s="16">
        <v>222645.85790685267</v>
      </c>
      <c r="K3441" s="5">
        <v>0.12429647188411752</v>
      </c>
      <c r="L3441" s="10">
        <v>951572.71869999997</v>
      </c>
    </row>
    <row r="3442" spans="1:12" x14ac:dyDescent="0.25">
      <c r="A3442">
        <v>3441</v>
      </c>
      <c r="B3442" s="3">
        <v>0.11455700099625876</v>
      </c>
      <c r="C3442" s="3">
        <v>6.2150363081428406E-2</v>
      </c>
      <c r="D3442" s="1">
        <v>90572.557327834045</v>
      </c>
      <c r="E3442" s="1">
        <v>2441842</v>
      </c>
      <c r="F3442" s="1">
        <v>13687886</v>
      </c>
      <c r="G3442" s="16">
        <v>70068.89723840126</v>
      </c>
      <c r="H3442">
        <v>279.07</v>
      </c>
      <c r="I3442" s="1">
        <v>768.11</v>
      </c>
      <c r="J3442" s="16">
        <v>160641.4545662353</v>
      </c>
      <c r="K3442" s="5">
        <v>0.25083266507779911</v>
      </c>
      <c r="L3442" s="10">
        <v>454829.03259999998</v>
      </c>
    </row>
    <row r="3443" spans="1:12" x14ac:dyDescent="0.25">
      <c r="A3443">
        <v>3442</v>
      </c>
      <c r="B3443" s="3">
        <v>0.23338254373668318</v>
      </c>
      <c r="C3443" s="3">
        <v>7.9709688271269799E-2</v>
      </c>
      <c r="D3443" s="1">
        <v>117994.06648676597</v>
      </c>
      <c r="E3443" s="1">
        <v>6393634</v>
      </c>
      <c r="F3443" s="1">
        <v>31063943</v>
      </c>
      <c r="G3443" s="16">
        <v>15060.668974799248</v>
      </c>
      <c r="H3443">
        <v>111.4</v>
      </c>
      <c r="I3443" s="1">
        <v>299.60000000000002</v>
      </c>
      <c r="J3443" s="16">
        <v>133054.7354615652</v>
      </c>
      <c r="K3443" s="5">
        <v>0.11002941031838984</v>
      </c>
      <c r="L3443" s="10">
        <v>141232.23050000001</v>
      </c>
    </row>
    <row r="3444" spans="1:12" x14ac:dyDescent="0.25">
      <c r="A3444">
        <v>3443</v>
      </c>
      <c r="B3444" s="3">
        <v>0.10871004600287178</v>
      </c>
      <c r="C3444" s="3">
        <v>3.4159919214070973E-2</v>
      </c>
      <c r="D3444" s="1">
        <v>374451.4577371843</v>
      </c>
      <c r="E3444" s="1">
        <v>12459578</v>
      </c>
      <c r="F3444" s="1">
        <v>44571272</v>
      </c>
      <c r="G3444" s="16">
        <v>102659.19935670731</v>
      </c>
      <c r="H3444">
        <v>388.04</v>
      </c>
      <c r="I3444" s="1">
        <v>1065.04</v>
      </c>
      <c r="J3444" s="16">
        <v>477110.65709389164</v>
      </c>
      <c r="K3444" s="5">
        <v>0.29581036498054081</v>
      </c>
      <c r="L3444" s="10">
        <v>3332457.4885999998</v>
      </c>
    </row>
    <row r="3445" spans="1:12" x14ac:dyDescent="0.25">
      <c r="A3445">
        <v>3444</v>
      </c>
      <c r="B3445" s="3">
        <v>0.20670092215837577</v>
      </c>
      <c r="C3445" s="3">
        <v>6.8744728897645588E-2</v>
      </c>
      <c r="D3445" s="1">
        <v>159838.96822620489</v>
      </c>
      <c r="E3445" s="1">
        <v>7553314</v>
      </c>
      <c r="F3445" s="1">
        <v>25585017</v>
      </c>
      <c r="G3445" s="16">
        <v>13047.765970512914</v>
      </c>
      <c r="H3445">
        <v>78.680000000000007</v>
      </c>
      <c r="I3445" s="1">
        <v>247.33</v>
      </c>
      <c r="J3445" s="16">
        <v>172886.73419671779</v>
      </c>
      <c r="K3445" s="5">
        <v>1.649518158111711E-2</v>
      </c>
      <c r="L3445" s="10">
        <v>35903.07</v>
      </c>
    </row>
    <row r="3446" spans="1:12" x14ac:dyDescent="0.25">
      <c r="A3446">
        <v>3445</v>
      </c>
      <c r="B3446" s="3">
        <v>0.22766404231149473</v>
      </c>
      <c r="C3446" s="3">
        <v>7.1012785617730598E-2</v>
      </c>
      <c r="D3446" s="1">
        <v>56684.434920348933</v>
      </c>
      <c r="E3446" s="1">
        <v>2302756</v>
      </c>
      <c r="F3446" s="1">
        <v>18657085</v>
      </c>
      <c r="G3446" s="16">
        <v>25757.325666349829</v>
      </c>
      <c r="H3446">
        <v>236.32</v>
      </c>
      <c r="I3446" s="1">
        <v>650.05999999999995</v>
      </c>
      <c r="J3446" s="16">
        <v>82441.760586698758</v>
      </c>
      <c r="K3446" s="5">
        <v>0.1681048230554899</v>
      </c>
      <c r="L3446" s="10">
        <v>142443.14739999999</v>
      </c>
    </row>
    <row r="3447" spans="1:12" x14ac:dyDescent="0.25">
      <c r="A3447">
        <v>3446</v>
      </c>
      <c r="B3447" s="3">
        <v>0.17321677222792525</v>
      </c>
      <c r="C3447" s="3">
        <v>6.8076835042724201E-2</v>
      </c>
      <c r="D3447" s="1">
        <v>105068.40890467813</v>
      </c>
      <c r="E3447" s="1">
        <v>4208318</v>
      </c>
      <c r="F3447" s="1">
        <v>24313294</v>
      </c>
      <c r="G3447" s="16">
        <v>24242.865494136371</v>
      </c>
      <c r="H3447">
        <v>114.11</v>
      </c>
      <c r="I3447" s="1">
        <v>312.06</v>
      </c>
      <c r="J3447" s="16">
        <v>129311.27439881451</v>
      </c>
      <c r="K3447" s="5">
        <v>0.21577514630676689</v>
      </c>
      <c r="L3447" s="10">
        <v>274789.36540000001</v>
      </c>
    </row>
    <row r="3448" spans="1:12" x14ac:dyDescent="0.25">
      <c r="A3448">
        <v>3447</v>
      </c>
      <c r="B3448" s="3">
        <v>0.1978957567501714</v>
      </c>
      <c r="C3448" s="3">
        <v>7.54407816708655E-2</v>
      </c>
      <c r="D3448" s="1">
        <v>144166.15599672406</v>
      </c>
      <c r="E3448" s="1">
        <v>6518433</v>
      </c>
      <c r="F3448" s="1">
        <v>41714001</v>
      </c>
      <c r="G3448" s="16">
        <v>38815.826606462571</v>
      </c>
      <c r="H3448">
        <v>273.89</v>
      </c>
      <c r="I3448" s="1">
        <v>638.21</v>
      </c>
      <c r="J3448" s="16">
        <v>182981.98260318663</v>
      </c>
      <c r="K3448" s="5">
        <v>0.11971685314279806</v>
      </c>
      <c r="L3448" s="10">
        <v>215390.3787</v>
      </c>
    </row>
    <row r="3449" spans="1:12" x14ac:dyDescent="0.25">
      <c r="A3449">
        <v>3448</v>
      </c>
      <c r="B3449" s="3">
        <v>0.1609626285340694</v>
      </c>
      <c r="C3449" s="3">
        <v>5.8651508253228651E-2</v>
      </c>
      <c r="D3449" s="1">
        <v>77547.302277865179</v>
      </c>
      <c r="E3449" s="1">
        <v>2457112</v>
      </c>
      <c r="F3449" s="1">
        <v>16513684</v>
      </c>
      <c r="G3449" s="16">
        <v>19460.843948298145</v>
      </c>
      <c r="H3449">
        <v>83.89</v>
      </c>
      <c r="I3449" s="1">
        <v>371.53</v>
      </c>
      <c r="J3449" s="16">
        <v>97008.146226163328</v>
      </c>
      <c r="K3449" s="5">
        <v>0.12700144087930809</v>
      </c>
      <c r="L3449" s="10">
        <v>178625.73319999999</v>
      </c>
    </row>
    <row r="3450" spans="1:12" x14ac:dyDescent="0.25">
      <c r="A3450">
        <v>3449</v>
      </c>
      <c r="B3450" s="3">
        <v>0.24644176283587951</v>
      </c>
      <c r="C3450" s="3">
        <v>3.1300026547989586E-2</v>
      </c>
      <c r="D3450" s="1">
        <v>201546.04253477039</v>
      </c>
      <c r="E3450" s="1">
        <v>15523625</v>
      </c>
      <c r="F3450" s="1">
        <v>69431199</v>
      </c>
      <c r="G3450" s="16">
        <v>10937.204524969131</v>
      </c>
      <c r="H3450">
        <v>89.8</v>
      </c>
      <c r="I3450" s="1">
        <v>324.43</v>
      </c>
      <c r="J3450" s="16">
        <v>212483.24705973951</v>
      </c>
      <c r="K3450" s="5">
        <v>0.14181531543636774</v>
      </c>
      <c r="L3450" s="10">
        <v>830447.94909999997</v>
      </c>
    </row>
    <row r="3451" spans="1:12" x14ac:dyDescent="0.25">
      <c r="A3451">
        <v>3450</v>
      </c>
      <c r="B3451" s="3">
        <v>0.15394023745658644</v>
      </c>
      <c r="C3451" s="3">
        <v>4.0239291829138366E-2</v>
      </c>
      <c r="D3451" s="1">
        <v>101409.05053411616</v>
      </c>
      <c r="E3451" s="1">
        <v>3704034</v>
      </c>
      <c r="F3451" s="1">
        <v>25099265</v>
      </c>
      <c r="G3451" s="16">
        <v>15823.529575569293</v>
      </c>
      <c r="H3451">
        <v>64.88</v>
      </c>
      <c r="I3451" s="1">
        <v>336.63</v>
      </c>
      <c r="J3451" s="16">
        <v>117232.58010968546</v>
      </c>
      <c r="K3451" s="5">
        <v>0.12376148869369699</v>
      </c>
      <c r="L3451" s="10">
        <v>315014.98680000001</v>
      </c>
    </row>
    <row r="3452" spans="1:12" x14ac:dyDescent="0.25">
      <c r="A3452">
        <v>3451</v>
      </c>
      <c r="B3452" s="3">
        <v>0.18033086573570917</v>
      </c>
      <c r="C3452" s="3">
        <v>2.5480450732187465E-2</v>
      </c>
      <c r="D3452" s="1">
        <v>80583.243581112198</v>
      </c>
      <c r="E3452" s="1">
        <v>2738621</v>
      </c>
      <c r="F3452" s="1">
        <v>13714527</v>
      </c>
      <c r="G3452" s="16">
        <v>57035.448376778586</v>
      </c>
      <c r="H3452">
        <v>420.76</v>
      </c>
      <c r="I3452" s="1">
        <v>1189.08</v>
      </c>
      <c r="J3452" s="16">
        <v>137618.69195789078</v>
      </c>
      <c r="K3452" s="5">
        <v>5.3543242802199534E-2</v>
      </c>
      <c r="L3452" s="10">
        <v>271263.7634</v>
      </c>
    </row>
    <row r="3453" spans="1:12" x14ac:dyDescent="0.25">
      <c r="A3453">
        <v>3452</v>
      </c>
      <c r="B3453" s="3">
        <v>0.13134847098741359</v>
      </c>
      <c r="C3453" s="3">
        <v>7.0226672152926106E-2</v>
      </c>
      <c r="D3453" s="1">
        <v>143181.7160947868</v>
      </c>
      <c r="E3453" s="1">
        <v>4088401</v>
      </c>
      <c r="F3453" s="1">
        <v>16916537</v>
      </c>
      <c r="G3453" s="16">
        <v>53668.993692794727</v>
      </c>
      <c r="H3453">
        <v>216.14</v>
      </c>
      <c r="I3453" s="1">
        <v>613.57999999999993</v>
      </c>
      <c r="J3453" s="16">
        <v>196850.70978758152</v>
      </c>
      <c r="K3453" s="5">
        <v>4.9029314090423742E-2</v>
      </c>
      <c r="L3453" s="10">
        <v>98763.509000000005</v>
      </c>
    </row>
    <row r="3454" spans="1:12" x14ac:dyDescent="0.25">
      <c r="A3454">
        <v>3453</v>
      </c>
      <c r="B3454" s="3">
        <v>0.21768220072577962</v>
      </c>
      <c r="C3454" s="3">
        <v>6.0765788225372541E-2</v>
      </c>
      <c r="D3454" s="1">
        <v>140676.55894499508</v>
      </c>
      <c r="E3454" s="1">
        <v>7028972</v>
      </c>
      <c r="F3454" s="1">
        <v>33632757</v>
      </c>
      <c r="G3454" s="16">
        <v>10193.561631867658</v>
      </c>
      <c r="H3454">
        <v>52.27</v>
      </c>
      <c r="I3454" s="1">
        <v>189.84</v>
      </c>
      <c r="J3454" s="16">
        <v>150870.12057686274</v>
      </c>
      <c r="K3454" s="5">
        <v>0.23923548313356185</v>
      </c>
      <c r="L3454" s="10">
        <v>443803.70779999997</v>
      </c>
    </row>
    <row r="3455" spans="1:12" x14ac:dyDescent="0.25">
      <c r="A3455">
        <v>3454</v>
      </c>
      <c r="B3455" s="3">
        <v>0.15626140428426896</v>
      </c>
      <c r="C3455" s="3">
        <v>6.8743928567335175E-2</v>
      </c>
      <c r="D3455" s="1">
        <v>75026.341946686473</v>
      </c>
      <c r="E3455" s="1">
        <v>2337722</v>
      </c>
      <c r="F3455" s="1">
        <v>11448092</v>
      </c>
      <c r="G3455" s="16">
        <v>36142.271092408802</v>
      </c>
      <c r="H3455">
        <v>178.92</v>
      </c>
      <c r="I3455" s="1">
        <v>468.67999999999995</v>
      </c>
      <c r="J3455" s="16">
        <v>111168.61303909527</v>
      </c>
      <c r="K3455" s="5">
        <v>4.655770374474219E-2</v>
      </c>
      <c r="L3455" s="10">
        <v>54225.716099999998</v>
      </c>
    </row>
    <row r="3456" spans="1:12" x14ac:dyDescent="0.25">
      <c r="A3456">
        <v>3455</v>
      </c>
      <c r="B3456" s="3">
        <v>0.24851510758367526</v>
      </c>
      <c r="C3456" s="3">
        <v>4.261613376134521E-2</v>
      </c>
      <c r="D3456" s="1">
        <v>117276.27977082723</v>
      </c>
      <c r="E3456" s="1">
        <v>6882274</v>
      </c>
      <c r="F3456" s="1">
        <v>25372172</v>
      </c>
      <c r="G3456" s="16">
        <v>30811.156088212672</v>
      </c>
      <c r="H3456">
        <v>456.39</v>
      </c>
      <c r="I3456" s="1">
        <v>1082.76</v>
      </c>
      <c r="J3456" s="16">
        <v>148087.43585903989</v>
      </c>
      <c r="K3456" s="5">
        <v>0.23401471861071355</v>
      </c>
      <c r="L3456" s="10">
        <v>641945.43830000004</v>
      </c>
    </row>
    <row r="3457" spans="1:12" x14ac:dyDescent="0.25">
      <c r="A3457">
        <v>3456</v>
      </c>
      <c r="B3457" s="3">
        <v>0.11299199597723952</v>
      </c>
      <c r="C3457" s="3">
        <v>2.7063273590591949E-2</v>
      </c>
      <c r="D3457" s="1">
        <v>452134.92867154902</v>
      </c>
      <c r="E3457" s="1">
        <v>13669771</v>
      </c>
      <c r="F3457" s="1">
        <v>40039472</v>
      </c>
      <c r="G3457" s="16">
        <v>81152.034340874874</v>
      </c>
      <c r="H3457">
        <v>282.27999999999997</v>
      </c>
      <c r="I3457" s="1">
        <v>741.19999999999993</v>
      </c>
      <c r="J3457" s="16">
        <v>533286.96301242383</v>
      </c>
      <c r="K3457" s="5">
        <v>0.23496803563646329</v>
      </c>
      <c r="L3457" s="10">
        <v>3820350.3752000001</v>
      </c>
    </row>
    <row r="3458" spans="1:12" x14ac:dyDescent="0.25">
      <c r="A3458">
        <v>3457</v>
      </c>
      <c r="B3458" s="3">
        <v>0.16627086586908174</v>
      </c>
      <c r="C3458" s="3">
        <v>4.5538070327935214E-2</v>
      </c>
      <c r="D3458" s="1">
        <v>200673.73210766548</v>
      </c>
      <c r="E3458" s="1">
        <v>7773083</v>
      </c>
      <c r="F3458" s="1">
        <v>26165680</v>
      </c>
      <c r="G3458" s="16">
        <v>22562.013172063893</v>
      </c>
      <c r="H3458">
        <v>121.21</v>
      </c>
      <c r="I3458" s="1">
        <v>401.17</v>
      </c>
      <c r="J3458" s="16">
        <v>223235.74527972937</v>
      </c>
      <c r="K3458" s="5">
        <v>8.1030601571215E-2</v>
      </c>
      <c r="L3458" s="10">
        <v>304571.57150000002</v>
      </c>
    </row>
    <row r="3459" spans="1:12" x14ac:dyDescent="0.25">
      <c r="A3459">
        <v>3458</v>
      </c>
      <c r="B3459" s="3">
        <v>0.13030042299769701</v>
      </c>
      <c r="C3459" s="3">
        <v>3.7951743295580764E-2</v>
      </c>
      <c r="D3459" s="1">
        <v>105379.90092137788</v>
      </c>
      <c r="E3459" s="1">
        <v>2998151</v>
      </c>
      <c r="F3459" s="1">
        <v>15024442</v>
      </c>
      <c r="G3459" s="16">
        <v>29155.082181453243</v>
      </c>
      <c r="H3459">
        <v>101.31</v>
      </c>
      <c r="I3459" s="1">
        <v>327.37</v>
      </c>
      <c r="J3459" s="16">
        <v>134534.98310283112</v>
      </c>
      <c r="K3459" s="5">
        <v>0.14169413516079607</v>
      </c>
      <c r="L3459" s="10">
        <v>410668.52100000001</v>
      </c>
    </row>
    <row r="3460" spans="1:12" x14ac:dyDescent="0.25">
      <c r="A3460">
        <v>3459</v>
      </c>
      <c r="B3460" s="3">
        <v>0.17130763842192978</v>
      </c>
      <c r="C3460" s="3">
        <v>7.5559602049990765E-2</v>
      </c>
      <c r="D3460" s="1">
        <v>169768.27779526019</v>
      </c>
      <c r="E3460" s="1">
        <v>6737302</v>
      </c>
      <c r="F3460" s="1">
        <v>33735130</v>
      </c>
      <c r="G3460" s="16">
        <v>29380.487656347166</v>
      </c>
      <c r="H3460">
        <v>136.43</v>
      </c>
      <c r="I3460" s="1">
        <v>377.2</v>
      </c>
      <c r="J3460" s="16">
        <v>199148.76545160735</v>
      </c>
      <c r="K3460" s="5">
        <v>0.22087259681381341</v>
      </c>
      <c r="L3460" s="10">
        <v>414054.6531</v>
      </c>
    </row>
    <row r="3461" spans="1:12" x14ac:dyDescent="0.25">
      <c r="A3461">
        <v>3460</v>
      </c>
      <c r="B3461" s="3">
        <v>0.20950927685341209</v>
      </c>
      <c r="C3461" s="3">
        <v>7.5316254444914688E-2</v>
      </c>
      <c r="D3461" s="1">
        <v>208317.21084460572</v>
      </c>
      <c r="E3461" s="1">
        <v>9984828</v>
      </c>
      <c r="F3461" s="1">
        <v>39517528</v>
      </c>
      <c r="G3461" s="16">
        <v>16124.255371194171</v>
      </c>
      <c r="H3461">
        <v>99.38</v>
      </c>
      <c r="I3461" s="1">
        <v>267.39999999999998</v>
      </c>
      <c r="J3461" s="16">
        <v>224441.46621579988</v>
      </c>
      <c r="K3461" s="5">
        <v>0.23701285441454667</v>
      </c>
      <c r="L3461" s="10">
        <v>447518.85369999998</v>
      </c>
    </row>
    <row r="3462" spans="1:12" x14ac:dyDescent="0.25">
      <c r="A3462">
        <v>3461</v>
      </c>
      <c r="B3462" s="3">
        <v>0.10834249452367448</v>
      </c>
      <c r="C3462" s="3">
        <v>6.3115019180280479E-2</v>
      </c>
      <c r="D3462" s="1">
        <v>199548.01799765936</v>
      </c>
      <c r="E3462" s="1">
        <v>5908234</v>
      </c>
      <c r="F3462" s="1">
        <v>28922288</v>
      </c>
      <c r="G3462" s="16">
        <v>24988.295324076709</v>
      </c>
      <c r="H3462">
        <v>74.680000000000007</v>
      </c>
      <c r="I3462" s="1">
        <v>212.7</v>
      </c>
      <c r="J3462" s="16">
        <v>224536.31332173606</v>
      </c>
      <c r="K3462" s="5">
        <v>0.1355890539311469</v>
      </c>
      <c r="L3462" s="10">
        <v>341813.61820000003</v>
      </c>
    </row>
    <row r="3463" spans="1:12" x14ac:dyDescent="0.25">
      <c r="A3463">
        <v>3462</v>
      </c>
      <c r="B3463" s="3">
        <v>0.16173708204426185</v>
      </c>
      <c r="C3463" s="3">
        <v>5.2122879476619671E-2</v>
      </c>
      <c r="D3463" s="1">
        <v>153949.63100294673</v>
      </c>
      <c r="E3463" s="1">
        <v>5835270</v>
      </c>
      <c r="F3463" s="1">
        <v>23300436</v>
      </c>
      <c r="G3463" s="16">
        <v>20673.689211835863</v>
      </c>
      <c r="H3463">
        <v>89.64</v>
      </c>
      <c r="I3463" s="1">
        <v>306.95999999999998</v>
      </c>
      <c r="J3463" s="16">
        <v>174623.32021478258</v>
      </c>
      <c r="K3463" s="5">
        <v>0.20119544305011475</v>
      </c>
      <c r="L3463" s="10">
        <v>497939.91609999997</v>
      </c>
    </row>
    <row r="3464" spans="1:12" x14ac:dyDescent="0.25">
      <c r="A3464">
        <v>3463</v>
      </c>
      <c r="B3464" s="3">
        <v>0.21316581045858665</v>
      </c>
      <c r="C3464" s="3">
        <v>4.0779575986722202E-2</v>
      </c>
      <c r="D3464" s="1">
        <v>88770.246832610588</v>
      </c>
      <c r="E3464" s="1">
        <v>3410517</v>
      </c>
      <c r="F3464" s="1">
        <v>17602916</v>
      </c>
      <c r="G3464" s="16">
        <v>23520.97577470446</v>
      </c>
      <c r="H3464">
        <v>189.65</v>
      </c>
      <c r="I3464" s="1">
        <v>484.96000000000004</v>
      </c>
      <c r="J3464" s="16">
        <v>112291.22260731505</v>
      </c>
      <c r="K3464" s="5">
        <v>0.14628762700003042</v>
      </c>
      <c r="L3464" s="10">
        <v>333744.12319999997</v>
      </c>
    </row>
    <row r="3465" spans="1:12" x14ac:dyDescent="0.25">
      <c r="A3465">
        <v>3464</v>
      </c>
      <c r="B3465" s="3">
        <v>0.14070215926699844</v>
      </c>
      <c r="C3465" s="3">
        <v>3.3594520403857131E-2</v>
      </c>
      <c r="D3465" s="1">
        <v>594666.2324884116</v>
      </c>
      <c r="E3465" s="1">
        <v>23755121</v>
      </c>
      <c r="F3465" s="1">
        <v>64264985</v>
      </c>
      <c r="G3465" s="16">
        <v>57398.693289092196</v>
      </c>
      <c r="H3465">
        <v>249.7</v>
      </c>
      <c r="I3465" s="1">
        <v>641.98</v>
      </c>
      <c r="J3465" s="16">
        <v>652064.92577750375</v>
      </c>
      <c r="K3465" s="5">
        <v>4.2831673756091468E-2</v>
      </c>
      <c r="L3465" s="10">
        <v>702552.78570000001</v>
      </c>
    </row>
    <row r="3466" spans="1:12" x14ac:dyDescent="0.25">
      <c r="A3466">
        <v>3465</v>
      </c>
      <c r="B3466" s="3">
        <v>0.23301730826868103</v>
      </c>
      <c r="C3466" s="3">
        <v>6.8031090198532193E-2</v>
      </c>
      <c r="D3466" s="1">
        <v>137806.37098742204</v>
      </c>
      <c r="E3466" s="1">
        <v>7452980</v>
      </c>
      <c r="F3466" s="1">
        <v>27655800</v>
      </c>
      <c r="G3466" s="16">
        <v>42198.078522551375</v>
      </c>
      <c r="H3466">
        <v>690.28</v>
      </c>
      <c r="I3466" s="1">
        <v>1599.48</v>
      </c>
      <c r="J3466" s="16">
        <v>180004.4495099734</v>
      </c>
      <c r="K3466" s="5">
        <v>0.16741069637053022</v>
      </c>
      <c r="L3466" s="10">
        <v>308469.87190000003</v>
      </c>
    </row>
    <row r="3467" spans="1:12" x14ac:dyDescent="0.25">
      <c r="A3467">
        <v>3466</v>
      </c>
      <c r="B3467" s="3">
        <v>0.15199509258842028</v>
      </c>
      <c r="C3467" s="3">
        <v>6.673432539583149E-2</v>
      </c>
      <c r="D3467" s="1">
        <v>71316.25918852532</v>
      </c>
      <c r="E3467" s="1">
        <v>2188748</v>
      </c>
      <c r="F3467" s="1">
        <v>15233208</v>
      </c>
      <c r="G3467" s="16">
        <v>17388.83987330785</v>
      </c>
      <c r="H3467">
        <v>70.459999999999994</v>
      </c>
      <c r="I3467" s="1">
        <v>221.97999999999996</v>
      </c>
      <c r="J3467" s="16">
        <v>88705.099061833171</v>
      </c>
      <c r="K3467" s="5">
        <v>0.18849310427641175</v>
      </c>
      <c r="L3467" s="10">
        <v>197939.17290000001</v>
      </c>
    </row>
    <row r="3468" spans="1:12" x14ac:dyDescent="0.25">
      <c r="A3468">
        <v>3467</v>
      </c>
      <c r="B3468" s="3">
        <v>0.13555737103718984</v>
      </c>
      <c r="C3468" s="3">
        <v>6.9853375133530238E-2</v>
      </c>
      <c r="D3468" s="1">
        <v>202473.33495586884</v>
      </c>
      <c r="E3468" s="1">
        <v>6786190</v>
      </c>
      <c r="F3468" s="1">
        <v>37886342</v>
      </c>
      <c r="G3468" s="16">
        <v>35296.210591834621</v>
      </c>
      <c r="H3468">
        <v>147.26</v>
      </c>
      <c r="I3468" s="1">
        <v>492.35999999999996</v>
      </c>
      <c r="J3468" s="16">
        <v>237769.54554770346</v>
      </c>
      <c r="K3468" s="5">
        <v>0.25199730564205375</v>
      </c>
      <c r="L3468" s="10">
        <v>601939.32070000004</v>
      </c>
    </row>
    <row r="3469" spans="1:12" x14ac:dyDescent="0.25">
      <c r="A3469">
        <v>3468</v>
      </c>
      <c r="B3469" s="3">
        <v>0.12657009002916447</v>
      </c>
      <c r="C3469" s="3">
        <v>3.3347115003277153E-2</v>
      </c>
      <c r="D3469" s="1">
        <v>367922.68000800838</v>
      </c>
      <c r="E3469" s="1">
        <v>11831699</v>
      </c>
      <c r="F3469" s="1">
        <v>40922699</v>
      </c>
      <c r="G3469" s="16">
        <v>81834.435269970374</v>
      </c>
      <c r="H3469">
        <v>363.76</v>
      </c>
      <c r="I3469" s="1">
        <v>872.35</v>
      </c>
      <c r="J3469" s="16">
        <v>449757.11527797877</v>
      </c>
      <c r="K3469" s="5">
        <v>0.1095439471323064</v>
      </c>
      <c r="L3469" s="10">
        <v>1213343.7549999999</v>
      </c>
    </row>
    <row r="3470" spans="1:12" x14ac:dyDescent="0.25">
      <c r="A3470">
        <v>3469</v>
      </c>
      <c r="B3470" s="3">
        <v>0.14805533086250725</v>
      </c>
      <c r="C3470" s="3">
        <v>3.3933352624290043E-2</v>
      </c>
      <c r="D3470" s="1">
        <v>303601.57752008713</v>
      </c>
      <c r="E3470" s="1">
        <v>12660475</v>
      </c>
      <c r="F3470" s="1">
        <v>61211602</v>
      </c>
      <c r="G3470" s="16">
        <v>28461.472674424924</v>
      </c>
      <c r="H3470">
        <v>111.88</v>
      </c>
      <c r="I3470" s="1">
        <v>365.68</v>
      </c>
      <c r="J3470" s="16">
        <v>332063.05019451206</v>
      </c>
      <c r="K3470" s="5">
        <v>8.1449900179896131E-2</v>
      </c>
      <c r="L3470" s="10">
        <v>727897.95660000003</v>
      </c>
    </row>
    <row r="3471" spans="1:12" x14ac:dyDescent="0.25">
      <c r="A3471">
        <v>3470</v>
      </c>
      <c r="B3471" s="3">
        <v>0.20515143272665284</v>
      </c>
      <c r="C3471" s="3">
        <v>3.9052238191604506E-2</v>
      </c>
      <c r="D3471" s="1">
        <v>128309.47789992076</v>
      </c>
      <c r="E3471" s="1">
        <v>6016227</v>
      </c>
      <c r="F3471" s="1">
        <v>24872792</v>
      </c>
      <c r="G3471" s="16">
        <v>31217.111642621447</v>
      </c>
      <c r="H3471">
        <v>294.79000000000002</v>
      </c>
      <c r="I3471" s="1">
        <v>957.43000000000006</v>
      </c>
      <c r="J3471" s="16">
        <v>159526.58954254221</v>
      </c>
      <c r="K3471" s="5">
        <v>5.0017576368502639E-2</v>
      </c>
      <c r="L3471" s="10">
        <v>169808.35920000001</v>
      </c>
    </row>
    <row r="3472" spans="1:12" x14ac:dyDescent="0.25">
      <c r="A3472">
        <v>3471</v>
      </c>
      <c r="B3472" s="3">
        <v>0.21443790164121551</v>
      </c>
      <c r="C3472" s="3">
        <v>5.4667548601669891E-2</v>
      </c>
      <c r="D3472" s="1">
        <v>46144.50214947162</v>
      </c>
      <c r="E3472" s="1">
        <v>1399464</v>
      </c>
      <c r="F3472" s="1">
        <v>8715591</v>
      </c>
      <c r="G3472" s="16">
        <v>11892.366887302816</v>
      </c>
      <c r="H3472">
        <v>76.19</v>
      </c>
      <c r="I3472" s="1">
        <v>247.22</v>
      </c>
      <c r="J3472" s="16">
        <v>58036.869036774435</v>
      </c>
      <c r="K3472" s="5">
        <v>0.23497270706874016</v>
      </c>
      <c r="L3472" s="10">
        <v>186952.522</v>
      </c>
    </row>
    <row r="3473" spans="1:12" x14ac:dyDescent="0.25">
      <c r="A3473">
        <v>3472</v>
      </c>
      <c r="B3473" s="3">
        <v>0.193755701691224</v>
      </c>
      <c r="C3473" s="3">
        <v>3.3714243448680729E-2</v>
      </c>
      <c r="D3473" s="1">
        <v>80126.774615614835</v>
      </c>
      <c r="E3473" s="1">
        <v>2307001</v>
      </c>
      <c r="F3473" s="1">
        <v>10435408</v>
      </c>
      <c r="G3473" s="16">
        <v>24961.515218028471</v>
      </c>
      <c r="H3473">
        <v>169.7</v>
      </c>
      <c r="I3473" s="1">
        <v>563.81999999999994</v>
      </c>
      <c r="J3473" s="16">
        <v>105088.2898336433</v>
      </c>
      <c r="K3473" s="5">
        <v>0.14512409073663193</v>
      </c>
      <c r="L3473" s="10">
        <v>379139.3688</v>
      </c>
    </row>
    <row r="3474" spans="1:12" x14ac:dyDescent="0.25">
      <c r="A3474">
        <v>3473</v>
      </c>
      <c r="B3474" s="3">
        <v>0.21096876609829773</v>
      </c>
      <c r="C3474" s="3">
        <v>2.4826926049347713E-2</v>
      </c>
      <c r="D3474" s="1">
        <v>66748.4275611622</v>
      </c>
      <c r="E3474" s="1">
        <v>2543086</v>
      </c>
      <c r="F3474" s="1">
        <v>19933054</v>
      </c>
      <c r="G3474" s="16">
        <v>30755.259022014419</v>
      </c>
      <c r="H3474">
        <v>242.7</v>
      </c>
      <c r="I3474" s="1">
        <v>636.79999999999995</v>
      </c>
      <c r="J3474" s="16">
        <v>97503.686583176619</v>
      </c>
      <c r="K3474" s="5">
        <v>0.1662351580298784</v>
      </c>
      <c r="L3474" s="10">
        <v>618083.07709999999</v>
      </c>
    </row>
    <row r="3475" spans="1:12" x14ac:dyDescent="0.25">
      <c r="A3475">
        <v>3474</v>
      </c>
      <c r="B3475" s="3">
        <v>0.14633466321689026</v>
      </c>
      <c r="C3475" s="3">
        <v>7.4722331223901151E-2</v>
      </c>
      <c r="D3475" s="1">
        <v>126854.62749969853</v>
      </c>
      <c r="E3475" s="1">
        <v>3816333</v>
      </c>
      <c r="F3475" s="1">
        <v>19128928</v>
      </c>
      <c r="G3475" s="16">
        <v>49259.921919432622</v>
      </c>
      <c r="H3475">
        <v>224.13</v>
      </c>
      <c r="I3475" s="1">
        <v>545.63</v>
      </c>
      <c r="J3475" s="16">
        <v>176114.54941913116</v>
      </c>
      <c r="K3475" s="5">
        <v>0.12799105100326955</v>
      </c>
      <c r="L3475" s="10">
        <v>223985.57949999999</v>
      </c>
    </row>
    <row r="3476" spans="1:12" x14ac:dyDescent="0.25">
      <c r="A3476">
        <v>3475</v>
      </c>
      <c r="B3476" s="3">
        <v>0.15502005255936366</v>
      </c>
      <c r="C3476" s="3">
        <v>3.2541732795287465E-2</v>
      </c>
      <c r="D3476" s="1">
        <v>161171.85441711074</v>
      </c>
      <c r="E3476" s="1">
        <v>5917066</v>
      </c>
      <c r="F3476" s="1">
        <v>36028000</v>
      </c>
      <c r="G3476" s="16">
        <v>25105.014681714947</v>
      </c>
      <c r="H3476">
        <v>103.97</v>
      </c>
      <c r="I3476" s="1">
        <v>358.15999999999997</v>
      </c>
      <c r="J3476" s="16">
        <v>186276.86909882567</v>
      </c>
      <c r="K3476" s="5">
        <v>0.10896973081074954</v>
      </c>
      <c r="L3476" s="10">
        <v>548056.95279999997</v>
      </c>
    </row>
    <row r="3477" spans="1:12" x14ac:dyDescent="0.25">
      <c r="A3477">
        <v>3476</v>
      </c>
      <c r="B3477" s="3">
        <v>0.21341890406066211</v>
      </c>
      <c r="C3477" s="3">
        <v>4.6755082287101526E-2</v>
      </c>
      <c r="D3477" s="1">
        <v>27610.134132171868</v>
      </c>
      <c r="E3477" s="1">
        <v>835187</v>
      </c>
      <c r="F3477" s="1">
        <v>9607247</v>
      </c>
      <c r="G3477" s="16">
        <v>26004.707227497602</v>
      </c>
      <c r="H3477">
        <v>209.95</v>
      </c>
      <c r="I3477" s="1">
        <v>586.73</v>
      </c>
      <c r="J3477" s="16">
        <v>53614.841359669474</v>
      </c>
      <c r="K3477" s="5">
        <v>0.15405227303124922</v>
      </c>
      <c r="L3477" s="10">
        <v>151706.9178</v>
      </c>
    </row>
    <row r="3478" spans="1:12" x14ac:dyDescent="0.25">
      <c r="A3478">
        <v>3477</v>
      </c>
      <c r="B3478" s="3">
        <v>0.14975223262490969</v>
      </c>
      <c r="C3478" s="3">
        <v>6.0231999934538108E-2</v>
      </c>
      <c r="D3478" s="1">
        <v>69464.915708220462</v>
      </c>
      <c r="E3478" s="1">
        <v>2115104</v>
      </c>
      <c r="F3478" s="1">
        <v>12791925</v>
      </c>
      <c r="G3478" s="16">
        <v>17785.918184506394</v>
      </c>
      <c r="H3478">
        <v>70.83</v>
      </c>
      <c r="I3478" s="1">
        <v>230.82</v>
      </c>
      <c r="J3478" s="16">
        <v>87250.833892726863</v>
      </c>
      <c r="K3478" s="5">
        <v>7.7516793821249194E-3</v>
      </c>
      <c r="L3478" s="10">
        <v>21012.2163</v>
      </c>
    </row>
    <row r="3479" spans="1:12" x14ac:dyDescent="0.25">
      <c r="A3479">
        <v>3478</v>
      </c>
      <c r="B3479" s="3">
        <v>0.20700925330150388</v>
      </c>
      <c r="C3479" s="3">
        <v>5.2526107660692392E-2</v>
      </c>
      <c r="D3479" s="1">
        <v>122513.87523031885</v>
      </c>
      <c r="E3479" s="1">
        <v>5798505</v>
      </c>
      <c r="F3479" s="1">
        <v>22375763</v>
      </c>
      <c r="G3479" s="16">
        <v>16646.469269505786</v>
      </c>
      <c r="H3479">
        <v>100.65</v>
      </c>
      <c r="I3479" s="1">
        <v>304.41999999999996</v>
      </c>
      <c r="J3479" s="16">
        <v>139160.34449982463</v>
      </c>
      <c r="K3479" s="5">
        <v>-6.4063695443803054E-2</v>
      </c>
      <c r="L3479" s="10">
        <v>-104902.5159</v>
      </c>
    </row>
    <row r="3480" spans="1:12" x14ac:dyDescent="0.25">
      <c r="A3480">
        <v>3479</v>
      </c>
      <c r="B3480" s="3">
        <v>0.16518854859878385</v>
      </c>
      <c r="C3480" s="3">
        <v>7.7402756061980119E-2</v>
      </c>
      <c r="D3480" s="1">
        <v>145427.62653353377</v>
      </c>
      <c r="E3480" s="1">
        <v>5603971</v>
      </c>
      <c r="F3480" s="1">
        <v>27266083</v>
      </c>
      <c r="G3480" s="16">
        <v>20067.542313064525</v>
      </c>
      <c r="H3480">
        <v>89.08</v>
      </c>
      <c r="I3480" s="1">
        <v>292.67</v>
      </c>
      <c r="J3480" s="16">
        <v>165495.1688465983</v>
      </c>
      <c r="K3480" s="5">
        <v>0.14927926594564644</v>
      </c>
      <c r="L3480" s="10">
        <v>216036.3193</v>
      </c>
    </row>
    <row r="3481" spans="1:12" x14ac:dyDescent="0.25">
      <c r="A3481">
        <v>3480</v>
      </c>
      <c r="B3481" s="3">
        <v>0.16005457933193898</v>
      </c>
      <c r="C3481" s="3">
        <v>3.8372433755201697E-2</v>
      </c>
      <c r="D3481" s="1">
        <v>71030.363769813746</v>
      </c>
      <c r="E3481" s="1">
        <v>2243331</v>
      </c>
      <c r="F3481" s="1">
        <v>13853318</v>
      </c>
      <c r="G3481" s="16">
        <v>20473.22576938292</v>
      </c>
      <c r="H3481">
        <v>87.64</v>
      </c>
      <c r="I3481" s="1">
        <v>347.53999999999996</v>
      </c>
      <c r="J3481" s="16">
        <v>91503.589539196662</v>
      </c>
      <c r="K3481" s="5">
        <v>0.23605505539699453</v>
      </c>
      <c r="L3481" s="10">
        <v>455625.33250000002</v>
      </c>
    </row>
    <row r="3482" spans="1:12" x14ac:dyDescent="0.25">
      <c r="A3482">
        <v>3481</v>
      </c>
      <c r="B3482" s="3">
        <v>0.12108870607434268</v>
      </c>
      <c r="C3482" s="3">
        <v>6.8812068337822066E-2</v>
      </c>
      <c r="D3482" s="1">
        <v>186246.27137003906</v>
      </c>
      <c r="E3482" s="1">
        <v>5841309</v>
      </c>
      <c r="F3482" s="1">
        <v>37899159</v>
      </c>
      <c r="G3482" s="16">
        <v>37095.943901430066</v>
      </c>
      <c r="H3482">
        <v>137.88</v>
      </c>
      <c r="I3482" s="1">
        <v>481.14</v>
      </c>
      <c r="J3482" s="16">
        <v>223342.21527146912</v>
      </c>
      <c r="K3482" s="5">
        <v>3.8727435691146804E-2</v>
      </c>
      <c r="L3482" s="10">
        <v>91570.951799999995</v>
      </c>
    </row>
    <row r="3483" spans="1:12" x14ac:dyDescent="0.25">
      <c r="A3483">
        <v>3482</v>
      </c>
      <c r="B3483" s="3">
        <v>0.11091130798611261</v>
      </c>
      <c r="C3483" s="3">
        <v>3.3211381406122273E-2</v>
      </c>
      <c r="D3483" s="1">
        <v>94529.061647697657</v>
      </c>
      <c r="E3483" s="1">
        <v>2517283</v>
      </c>
      <c r="F3483" s="1">
        <v>12491403</v>
      </c>
      <c r="G3483" s="16">
        <v>86798.454418381996</v>
      </c>
      <c r="H3483">
        <v>334.7</v>
      </c>
      <c r="I3483" s="1">
        <v>827.13999999999987</v>
      </c>
      <c r="J3483" s="16">
        <v>181327.51606607967</v>
      </c>
      <c r="K3483" s="5">
        <v>0.1314660071560694</v>
      </c>
      <c r="L3483" s="10">
        <v>592965.09840000002</v>
      </c>
    </row>
    <row r="3484" spans="1:12" x14ac:dyDescent="0.25">
      <c r="A3484">
        <v>3483</v>
      </c>
      <c r="B3484" s="3">
        <v>0.23725361145082632</v>
      </c>
      <c r="C3484" s="3">
        <v>6.2154093061320609E-2</v>
      </c>
      <c r="D3484" s="1">
        <v>95041.500608353294</v>
      </c>
      <c r="E3484" s="1">
        <v>5255282</v>
      </c>
      <c r="F3484" s="1">
        <v>30457348</v>
      </c>
      <c r="G3484" s="16">
        <v>9813.1680774552005</v>
      </c>
      <c r="H3484">
        <v>75.099999999999994</v>
      </c>
      <c r="I3484" s="1">
        <v>311.18</v>
      </c>
      <c r="J3484" s="16">
        <v>104854.66868580849</v>
      </c>
      <c r="K3484" s="5">
        <v>0.16959521083056622</v>
      </c>
      <c r="L3484" s="10">
        <v>222153.3401</v>
      </c>
    </row>
    <row r="3485" spans="1:12" x14ac:dyDescent="0.25">
      <c r="A3485">
        <v>3484</v>
      </c>
      <c r="B3485" s="3">
        <v>0.12237691242463714</v>
      </c>
      <c r="C3485" s="3">
        <v>3.6669179549796052E-2</v>
      </c>
      <c r="D3485" s="1">
        <v>303760.8987193525</v>
      </c>
      <c r="E3485" s="1">
        <v>10919291</v>
      </c>
      <c r="F3485" s="1">
        <v>45920708</v>
      </c>
      <c r="G3485" s="16">
        <v>36295.330837624206</v>
      </c>
      <c r="H3485">
        <v>119.72</v>
      </c>
      <c r="I3485" s="1">
        <v>383.22</v>
      </c>
      <c r="J3485" s="16">
        <v>340056.2295569767</v>
      </c>
      <c r="K3485" s="5">
        <v>5.3038395878095557E-3</v>
      </c>
      <c r="L3485" s="10">
        <v>26531.380499999999</v>
      </c>
    </row>
    <row r="3486" spans="1:12" x14ac:dyDescent="0.25">
      <c r="A3486">
        <v>3485</v>
      </c>
      <c r="B3486" s="3">
        <v>0.16543733382202214</v>
      </c>
      <c r="C3486" s="3">
        <v>7.9246525001344645E-2</v>
      </c>
      <c r="D3486" s="1">
        <v>26979.22702165099</v>
      </c>
      <c r="E3486" s="1">
        <v>724959</v>
      </c>
      <c r="F3486" s="1">
        <v>6096000</v>
      </c>
      <c r="G3486" s="16">
        <v>41189.458621818405</v>
      </c>
      <c r="H3486">
        <v>263.5</v>
      </c>
      <c r="I3486" s="1">
        <v>815.94999999999993</v>
      </c>
      <c r="J3486" s="16">
        <v>68168.685643469391</v>
      </c>
      <c r="K3486" s="5">
        <v>0.11477875491465411</v>
      </c>
      <c r="L3486" s="10">
        <v>68360.021099999998</v>
      </c>
    </row>
    <row r="3487" spans="1:12" x14ac:dyDescent="0.25">
      <c r="A3487">
        <v>3486</v>
      </c>
      <c r="B3487" s="3">
        <v>0.12612737868762611</v>
      </c>
      <c r="C3487" s="3">
        <v>5.6488206684413372E-2</v>
      </c>
      <c r="D3487" s="1">
        <v>158757.2734454126</v>
      </c>
      <c r="E3487" s="1">
        <v>5094998</v>
      </c>
      <c r="F3487" s="1">
        <v>28752667</v>
      </c>
      <c r="G3487" s="16">
        <v>25137.025194451329</v>
      </c>
      <c r="H3487">
        <v>84.81</v>
      </c>
      <c r="I3487" s="1">
        <v>266.38</v>
      </c>
      <c r="J3487" s="16">
        <v>183894.29863986393</v>
      </c>
      <c r="K3487" s="5">
        <v>3.1069239596184801E-2</v>
      </c>
      <c r="L3487" s="10">
        <v>101985.9605</v>
      </c>
    </row>
    <row r="3488" spans="1:12" x14ac:dyDescent="0.25">
      <c r="A3488">
        <v>3487</v>
      </c>
      <c r="B3488" s="3">
        <v>0.1588869285255608</v>
      </c>
      <c r="C3488" s="3">
        <v>6.6602682656302536E-2</v>
      </c>
      <c r="D3488" s="1">
        <v>127958.18668634452</v>
      </c>
      <c r="E3488" s="1">
        <v>4784683</v>
      </c>
      <c r="F3488" s="1">
        <v>28931415</v>
      </c>
      <c r="G3488" s="16">
        <v>14005.292633804636</v>
      </c>
      <c r="H3488">
        <v>59.53</v>
      </c>
      <c r="I3488" s="1">
        <v>213.13</v>
      </c>
      <c r="J3488" s="16">
        <v>141963.47932014914</v>
      </c>
      <c r="K3488" s="5">
        <v>8.5310909719107389E-2</v>
      </c>
      <c r="L3488" s="10">
        <v>149584.98009999999</v>
      </c>
    </row>
    <row r="3489" spans="1:12" x14ac:dyDescent="0.25">
      <c r="A3489">
        <v>3488</v>
      </c>
      <c r="B3489" s="3">
        <v>0.14527774359135856</v>
      </c>
      <c r="C3489" s="3">
        <v>3.7588260308439314E-2</v>
      </c>
      <c r="D3489" s="1">
        <v>515254.71887512167</v>
      </c>
      <c r="E3489" s="1">
        <v>21139756</v>
      </c>
      <c r="F3489" s="1">
        <v>62977911</v>
      </c>
      <c r="G3489" s="16">
        <v>37911.051001254251</v>
      </c>
      <c r="H3489">
        <v>171.34</v>
      </c>
      <c r="I3489" s="1">
        <v>449.34000000000003</v>
      </c>
      <c r="J3489" s="16">
        <v>553165.76987637591</v>
      </c>
      <c r="K3489" s="5">
        <v>0.21332339432892999</v>
      </c>
      <c r="L3489" s="10">
        <v>2521198.1126999999</v>
      </c>
    </row>
    <row r="3490" spans="1:12" x14ac:dyDescent="0.25">
      <c r="A3490">
        <v>3489</v>
      </c>
      <c r="B3490" s="3">
        <v>0.14593240323881712</v>
      </c>
      <c r="C3490" s="3">
        <v>6.7722889245767984E-2</v>
      </c>
      <c r="D3490" s="1">
        <v>138929.22432074</v>
      </c>
      <c r="E3490" s="1">
        <v>4173687</v>
      </c>
      <c r="F3490" s="1">
        <v>15337891</v>
      </c>
      <c r="G3490" s="16">
        <v>26073.526824267145</v>
      </c>
      <c r="H3490">
        <v>101.14</v>
      </c>
      <c r="I3490" s="1">
        <v>301.64999999999998</v>
      </c>
      <c r="J3490" s="16">
        <v>165002.75114500715</v>
      </c>
      <c r="K3490" s="5">
        <v>0.32559732589222257</v>
      </c>
      <c r="L3490" s="10">
        <v>514562.19170000002</v>
      </c>
    </row>
    <row r="3491" spans="1:12" x14ac:dyDescent="0.25">
      <c r="A3491">
        <v>3490</v>
      </c>
      <c r="B3491" s="3">
        <v>0.16861571919343321</v>
      </c>
      <c r="C3491" s="3">
        <v>2.8600316282792995E-2</v>
      </c>
      <c r="D3491" s="1">
        <v>396700.78088057309</v>
      </c>
      <c r="E3491" s="1">
        <v>18692067</v>
      </c>
      <c r="F3491" s="1">
        <v>57344273</v>
      </c>
      <c r="G3491" s="16">
        <v>15761.597807751312</v>
      </c>
      <c r="H3491">
        <v>86.3</v>
      </c>
      <c r="I3491" s="1">
        <v>408.68</v>
      </c>
      <c r="J3491" s="16">
        <v>412462.37868832442</v>
      </c>
      <c r="K3491" s="5">
        <v>0.2032789365685167</v>
      </c>
      <c r="L3491" s="10">
        <v>2418121.6277000001</v>
      </c>
    </row>
    <row r="3492" spans="1:12" x14ac:dyDescent="0.25">
      <c r="A3492">
        <v>3491</v>
      </c>
      <c r="B3492" s="3">
        <v>0.15849182399955969</v>
      </c>
      <c r="C3492" s="3">
        <v>3.8349787131488774E-2</v>
      </c>
      <c r="D3492" s="1">
        <v>289595.83640560968</v>
      </c>
      <c r="E3492" s="1">
        <v>12844103</v>
      </c>
      <c r="F3492" s="1">
        <v>43205302</v>
      </c>
      <c r="G3492" s="16">
        <v>19200.67274804374</v>
      </c>
      <c r="H3492">
        <v>81.430000000000007</v>
      </c>
      <c r="I3492" s="1">
        <v>299.78000000000003</v>
      </c>
      <c r="J3492" s="16">
        <v>308796.5091536534</v>
      </c>
      <c r="K3492" s="5">
        <v>0.12397845404654692</v>
      </c>
      <c r="L3492" s="10">
        <v>800782.41630000004</v>
      </c>
    </row>
    <row r="3493" spans="1:12" x14ac:dyDescent="0.25">
      <c r="A3493">
        <v>3492</v>
      </c>
      <c r="B3493" s="3">
        <v>0.14101682029649376</v>
      </c>
      <c r="C3493" s="3">
        <v>3.9889686106656962E-2</v>
      </c>
      <c r="D3493" s="1">
        <v>109904.85583837936</v>
      </c>
      <c r="E3493" s="1">
        <v>3778168</v>
      </c>
      <c r="F3493" s="1">
        <v>23230532</v>
      </c>
      <c r="G3493" s="16">
        <v>48617.399205789246</v>
      </c>
      <c r="H3493">
        <v>247.1</v>
      </c>
      <c r="I3493" s="1">
        <v>866.30000000000007</v>
      </c>
      <c r="J3493" s="16">
        <v>158522.25504416862</v>
      </c>
      <c r="K3493" s="5">
        <v>0.18546985677424344</v>
      </c>
      <c r="L3493" s="10">
        <v>634987.88600000006</v>
      </c>
    </row>
    <row r="3494" spans="1:12" x14ac:dyDescent="0.25">
      <c r="A3494">
        <v>3493</v>
      </c>
      <c r="B3494" s="3">
        <v>0.1037690920254572</v>
      </c>
      <c r="C3494" s="3">
        <v>7.8998256916161927E-2</v>
      </c>
      <c r="D3494" s="1">
        <v>110535.29569285973</v>
      </c>
      <c r="E3494" s="1">
        <v>2873718</v>
      </c>
      <c r="F3494" s="1">
        <v>14586484</v>
      </c>
      <c r="G3494" s="16">
        <v>73385.731529284603</v>
      </c>
      <c r="H3494">
        <v>237.64</v>
      </c>
      <c r="I3494" s="1">
        <v>545.27</v>
      </c>
      <c r="J3494" s="16">
        <v>183921.02722214433</v>
      </c>
      <c r="K3494" s="5">
        <v>0.14422095920394812</v>
      </c>
      <c r="L3494" s="10">
        <v>208798.1735</v>
      </c>
    </row>
    <row r="3495" spans="1:12" x14ac:dyDescent="0.25">
      <c r="A3495">
        <v>3494</v>
      </c>
      <c r="B3495" s="3">
        <v>0.11123386893906624</v>
      </c>
      <c r="C3495" s="3">
        <v>4.068451899773709E-2</v>
      </c>
      <c r="D3495" s="1">
        <v>112888.93432790889</v>
      </c>
      <c r="E3495" s="1">
        <v>3009482</v>
      </c>
      <c r="F3495" s="1">
        <v>20194364</v>
      </c>
      <c r="G3495" s="16">
        <v>71441.512448367022</v>
      </c>
      <c r="H3495">
        <v>275.87</v>
      </c>
      <c r="I3495" s="1">
        <v>815.62</v>
      </c>
      <c r="J3495" s="16">
        <v>184330.44677627593</v>
      </c>
      <c r="K3495" s="5">
        <v>-8.4760153200679797E-2</v>
      </c>
      <c r="L3495" s="10">
        <v>-270684.81040000002</v>
      </c>
    </row>
    <row r="3496" spans="1:12" x14ac:dyDescent="0.25">
      <c r="A3496">
        <v>3495</v>
      </c>
      <c r="B3496" s="3">
        <v>0.22474278164767525</v>
      </c>
      <c r="C3496" s="3">
        <v>2.9295461693674842E-2</v>
      </c>
      <c r="D3496" s="1">
        <v>66956.436821824274</v>
      </c>
      <c r="E3496" s="1">
        <v>2084988</v>
      </c>
      <c r="F3496" s="1">
        <v>9720746</v>
      </c>
      <c r="G3496" s="16">
        <v>24946.80800323002</v>
      </c>
      <c r="H3496">
        <v>222.8</v>
      </c>
      <c r="I3496" s="1">
        <v>549.97</v>
      </c>
      <c r="J3496" s="16">
        <v>91903.244825054295</v>
      </c>
      <c r="K3496" s="5">
        <v>0.26464007703249454</v>
      </c>
      <c r="L3496" s="10">
        <v>685422.22739999997</v>
      </c>
    </row>
    <row r="3497" spans="1:12" x14ac:dyDescent="0.25">
      <c r="A3497">
        <v>3496</v>
      </c>
      <c r="B3497" s="3">
        <v>0.13286953430270101</v>
      </c>
      <c r="C3497" s="3">
        <v>6.5162706542675544E-2</v>
      </c>
      <c r="D3497" s="1">
        <v>383280.30107287772</v>
      </c>
      <c r="E3497" s="1">
        <v>14631772</v>
      </c>
      <c r="F3497" s="1">
        <v>53949424</v>
      </c>
      <c r="G3497" s="16">
        <v>43565.621186389835</v>
      </c>
      <c r="H3497">
        <v>177.92</v>
      </c>
      <c r="I3497" s="1">
        <v>534.62</v>
      </c>
      <c r="J3497" s="16">
        <v>426845.92225926754</v>
      </c>
      <c r="K3497" s="5">
        <v>0.16050845960415228</v>
      </c>
      <c r="L3497" s="10">
        <v>691029.57759999996</v>
      </c>
    </row>
    <row r="3498" spans="1:12" x14ac:dyDescent="0.25">
      <c r="A3498">
        <v>3497</v>
      </c>
      <c r="B3498" s="3">
        <v>0.1764876866275224</v>
      </c>
      <c r="C3498" s="3">
        <v>7.1356549310603506E-2</v>
      </c>
      <c r="D3498" s="1">
        <v>223365.95196528349</v>
      </c>
      <c r="E3498" s="1">
        <v>9089496</v>
      </c>
      <c r="F3498" s="1">
        <v>31390795</v>
      </c>
      <c r="G3498" s="16">
        <v>13360.088733127404</v>
      </c>
      <c r="H3498">
        <v>64.400000000000006</v>
      </c>
      <c r="I3498" s="1">
        <v>237.81</v>
      </c>
      <c r="J3498" s="16">
        <v>236726.04069841088</v>
      </c>
      <c r="K3498" s="5">
        <v>2.9834616066043054E-2</v>
      </c>
      <c r="L3498" s="10">
        <v>81665.845400000006</v>
      </c>
    </row>
    <row r="3499" spans="1:12" x14ac:dyDescent="0.25">
      <c r="A3499">
        <v>3498</v>
      </c>
      <c r="B3499" s="3">
        <v>0.17012397684264957</v>
      </c>
      <c r="C3499" s="3">
        <v>6.4129175153673224E-2</v>
      </c>
      <c r="D3499" s="1">
        <v>205105.53528161941</v>
      </c>
      <c r="E3499" s="1">
        <v>8093340</v>
      </c>
      <c r="F3499" s="1">
        <v>37536940</v>
      </c>
      <c r="G3499" s="16">
        <v>32258.017954868144</v>
      </c>
      <c r="H3499">
        <v>178.9</v>
      </c>
      <c r="I3499" s="1">
        <v>507.99</v>
      </c>
      <c r="J3499" s="16">
        <v>237363.55323648755</v>
      </c>
      <c r="K3499" s="5">
        <v>7.6694220130585661E-2</v>
      </c>
      <c r="L3499" s="10">
        <v>227021.9093</v>
      </c>
    </row>
    <row r="3500" spans="1:12" x14ac:dyDescent="0.25">
      <c r="A3500">
        <v>3499</v>
      </c>
      <c r="B3500" s="3">
        <v>0.12303944979813515</v>
      </c>
      <c r="C3500" s="3">
        <v>4.6908118580577446E-2</v>
      </c>
      <c r="D3500" s="1">
        <v>223683.15772270216</v>
      </c>
      <c r="E3500" s="1">
        <v>7078075</v>
      </c>
      <c r="F3500" s="1">
        <v>23510202</v>
      </c>
      <c r="G3500" s="16">
        <v>32262.644378315352</v>
      </c>
      <c r="H3500">
        <v>106.63</v>
      </c>
      <c r="I3500" s="1">
        <v>342</v>
      </c>
      <c r="J3500" s="16">
        <v>255945.8021010175</v>
      </c>
      <c r="K3500" s="5">
        <v>0.18893576365635789</v>
      </c>
      <c r="L3500" s="10">
        <v>767959.28339999996</v>
      </c>
    </row>
    <row r="3501" spans="1:12" x14ac:dyDescent="0.25">
      <c r="A3501">
        <v>3500</v>
      </c>
      <c r="B3501" s="3">
        <v>0.14314419068976875</v>
      </c>
      <c r="C3501" s="3">
        <v>5.6861594236620225E-2</v>
      </c>
      <c r="D3501" s="1">
        <v>95314.942345830306</v>
      </c>
      <c r="E3501" s="1">
        <v>2835576</v>
      </c>
      <c r="F3501" s="1">
        <v>15001721</v>
      </c>
      <c r="G3501" s="16">
        <v>52724.083898240562</v>
      </c>
      <c r="H3501">
        <v>234.42</v>
      </c>
      <c r="I3501" s="1">
        <v>592.66999999999996</v>
      </c>
      <c r="J3501" s="16">
        <v>148039.02624407088</v>
      </c>
      <c r="K3501" s="5">
        <v>1.9278537148493299E-2</v>
      </c>
      <c r="L3501" s="10">
        <v>60160.734199999999</v>
      </c>
    </row>
    <row r="3502" spans="1:12" x14ac:dyDescent="0.25">
      <c r="A3502">
        <v>3501</v>
      </c>
      <c r="B3502" s="3">
        <v>0.16475762774354066</v>
      </c>
      <c r="C3502" s="3">
        <v>7.2456852495480284E-2</v>
      </c>
      <c r="D3502" s="1">
        <v>60577.905557523998</v>
      </c>
      <c r="E3502" s="1">
        <v>1945715</v>
      </c>
      <c r="F3502" s="1">
        <v>12883434</v>
      </c>
      <c r="G3502" s="16">
        <v>9785.2470768918374</v>
      </c>
      <c r="H3502">
        <v>36.229999999999997</v>
      </c>
      <c r="I3502" s="1">
        <v>153.74999999999997</v>
      </c>
      <c r="J3502" s="16">
        <v>70363.152634415834</v>
      </c>
      <c r="K3502" s="5">
        <v>0.15212495211286212</v>
      </c>
      <c r="L3502" s="10">
        <v>107596.76240000001</v>
      </c>
    </row>
    <row r="3503" spans="1:12" x14ac:dyDescent="0.25">
      <c r="A3503">
        <v>3502</v>
      </c>
      <c r="B3503" s="3">
        <v>0.23636117799883544</v>
      </c>
      <c r="C3503" s="3">
        <v>2.6467202793997363E-2</v>
      </c>
      <c r="D3503" s="1">
        <v>137512.09865886424</v>
      </c>
      <c r="E3503" s="1">
        <v>7568185</v>
      </c>
      <c r="F3503" s="1">
        <v>31323000</v>
      </c>
      <c r="G3503" s="16">
        <v>15496.402991751973</v>
      </c>
      <c r="H3503">
        <v>117.53</v>
      </c>
      <c r="I3503" s="1">
        <v>358.65999999999997</v>
      </c>
      <c r="J3503" s="16">
        <v>153008.50165061621</v>
      </c>
      <c r="K3503" s="5">
        <v>0.1314564401902755</v>
      </c>
      <c r="L3503" s="10">
        <v>644157.02269999997</v>
      </c>
    </row>
    <row r="3504" spans="1:12" x14ac:dyDescent="0.25">
      <c r="A3504">
        <v>3503</v>
      </c>
      <c r="B3504" s="3">
        <v>0.14249731574614322</v>
      </c>
      <c r="C3504" s="3">
        <v>3.2963931112162947E-2</v>
      </c>
      <c r="D3504" s="1">
        <v>415056.95699548797</v>
      </c>
      <c r="E3504" s="1">
        <v>16754565</v>
      </c>
      <c r="F3504" s="1">
        <v>60074836</v>
      </c>
      <c r="G3504" s="16">
        <v>16446.251646576184</v>
      </c>
      <c r="H3504">
        <v>62.22</v>
      </c>
      <c r="I3504" s="1">
        <v>269.10000000000002</v>
      </c>
      <c r="J3504" s="16">
        <v>431503.20864206413</v>
      </c>
      <c r="K3504" s="5">
        <v>2.2984722823918995E-2</v>
      </c>
      <c r="L3504" s="10">
        <v>281594.03860000003</v>
      </c>
    </row>
    <row r="3505" spans="1:12" x14ac:dyDescent="0.25">
      <c r="A3505">
        <v>3504</v>
      </c>
      <c r="B3505" s="3">
        <v>0.177194127860411</v>
      </c>
      <c r="C3505" s="3">
        <v>6.6166976750339765E-2</v>
      </c>
      <c r="D3505" s="1">
        <v>72167.721002711827</v>
      </c>
      <c r="E3505" s="1">
        <v>2424676</v>
      </c>
      <c r="F3505" s="1">
        <v>18379914</v>
      </c>
      <c r="G3505" s="16">
        <v>22619.111240962615</v>
      </c>
      <c r="H3505">
        <v>133.29</v>
      </c>
      <c r="I3505" s="1">
        <v>443.07000000000005</v>
      </c>
      <c r="J3505" s="16">
        <v>94786.832243674435</v>
      </c>
      <c r="K3505" s="5">
        <v>0.24387742924213177</v>
      </c>
      <c r="L3505" s="10">
        <v>264794.94059999997</v>
      </c>
    </row>
    <row r="3506" spans="1:12" x14ac:dyDescent="0.25">
      <c r="A3506">
        <v>3505</v>
      </c>
      <c r="B3506" s="3">
        <v>0.18921451553689722</v>
      </c>
      <c r="C3506" s="3">
        <v>2.3819948597276042E-2</v>
      </c>
      <c r="D3506" s="1">
        <v>130602.45080402507</v>
      </c>
      <c r="E3506" s="1">
        <v>4586028</v>
      </c>
      <c r="F3506" s="1">
        <v>21460737</v>
      </c>
      <c r="G3506" s="16">
        <v>18205.493394858702</v>
      </c>
      <c r="H3506">
        <v>96.57</v>
      </c>
      <c r="I3506" s="1">
        <v>267.71000000000004</v>
      </c>
      <c r="J3506" s="16">
        <v>148807.94419888378</v>
      </c>
      <c r="K3506" s="5">
        <v>0.20179192489454509</v>
      </c>
      <c r="L3506" s="10">
        <v>1112768.7243999999</v>
      </c>
    </row>
    <row r="3507" spans="1:12" x14ac:dyDescent="0.25">
      <c r="A3507">
        <v>3506</v>
      </c>
      <c r="B3507" s="3">
        <v>0.17550171614004517</v>
      </c>
      <c r="C3507" s="3">
        <v>5.8408434552296884E-2</v>
      </c>
      <c r="D3507" s="1">
        <v>281630.28890081419</v>
      </c>
      <c r="E3507" s="1">
        <v>13833552</v>
      </c>
      <c r="F3507" s="1">
        <v>45151325</v>
      </c>
      <c r="G3507" s="16">
        <v>47212.756153641647</v>
      </c>
      <c r="H3507">
        <v>332.64</v>
      </c>
      <c r="I3507" s="1">
        <v>966.37</v>
      </c>
      <c r="J3507" s="16">
        <v>328843.04505445587</v>
      </c>
      <c r="K3507" s="5">
        <v>9.9971733344378338E-2</v>
      </c>
      <c r="L3507" s="10">
        <v>418905.8714</v>
      </c>
    </row>
    <row r="3508" spans="1:12" x14ac:dyDescent="0.25">
      <c r="A3508">
        <v>3507</v>
      </c>
      <c r="B3508" s="3">
        <v>0.22152155815745411</v>
      </c>
      <c r="C3508" s="3">
        <v>5.5788106378168639E-2</v>
      </c>
      <c r="D3508" s="1">
        <v>125133.44299447314</v>
      </c>
      <c r="E3508" s="1">
        <v>8191117</v>
      </c>
      <c r="F3508" s="1">
        <v>45467249</v>
      </c>
      <c r="G3508" s="16">
        <v>8647.1931707662843</v>
      </c>
      <c r="H3508">
        <v>45.52</v>
      </c>
      <c r="I3508" s="1">
        <v>163.72</v>
      </c>
      <c r="J3508" s="16">
        <v>133780.63616523941</v>
      </c>
      <c r="K3508" s="5">
        <v>0.20815747071378177</v>
      </c>
      <c r="L3508" s="10">
        <v>428903.4228</v>
      </c>
    </row>
    <row r="3509" spans="1:12" x14ac:dyDescent="0.25">
      <c r="A3509">
        <v>3508</v>
      </c>
      <c r="B3509" s="3">
        <v>0.21821813042202021</v>
      </c>
      <c r="C3509" s="3">
        <v>2.1708301184688736E-2</v>
      </c>
      <c r="D3509" s="1">
        <v>315586.04936610674</v>
      </c>
      <c r="E3509" s="1">
        <v>20225192</v>
      </c>
      <c r="F3509" s="1">
        <v>63683858</v>
      </c>
      <c r="G3509" s="16">
        <v>10138.21923599026</v>
      </c>
      <c r="H3509">
        <v>52.1</v>
      </c>
      <c r="I3509" s="1">
        <v>177.64000000000001</v>
      </c>
      <c r="J3509" s="16">
        <v>325724.268602097</v>
      </c>
      <c r="K3509" s="5">
        <v>0.23342455057695341</v>
      </c>
      <c r="L3509" s="10">
        <v>3032676.5205000001</v>
      </c>
    </row>
    <row r="3510" spans="1:12" x14ac:dyDescent="0.25">
      <c r="A3510">
        <v>3509</v>
      </c>
      <c r="B3510" s="3">
        <v>0.12620054832174293</v>
      </c>
      <c r="C3510" s="3">
        <v>3.4370386880619878E-2</v>
      </c>
      <c r="D3510" s="1">
        <v>88032.785376230517</v>
      </c>
      <c r="E3510" s="1">
        <v>2469516</v>
      </c>
      <c r="F3510" s="1">
        <v>16478268</v>
      </c>
      <c r="G3510" s="16">
        <v>60395.043691254927</v>
      </c>
      <c r="H3510">
        <v>233.75</v>
      </c>
      <c r="I3510" s="1">
        <v>753.14</v>
      </c>
      <c r="J3510" s="16">
        <v>148427.82906748544</v>
      </c>
      <c r="K3510" s="5">
        <v>-7.2754505277436238E-2</v>
      </c>
      <c r="L3510" s="10">
        <v>-216845.3475</v>
      </c>
    </row>
    <row r="3511" spans="1:12" x14ac:dyDescent="0.25">
      <c r="A3511">
        <v>3510</v>
      </c>
      <c r="B3511" s="3">
        <v>0.14120919603195561</v>
      </c>
      <c r="C3511" s="3">
        <v>4.2166948336737814E-2</v>
      </c>
      <c r="D3511" s="1">
        <v>66074.216365497821</v>
      </c>
      <c r="E3511" s="1">
        <v>1676715</v>
      </c>
      <c r="F3511" s="1">
        <v>10404172</v>
      </c>
      <c r="G3511" s="16">
        <v>40251.019093836308</v>
      </c>
      <c r="H3511">
        <v>175.52</v>
      </c>
      <c r="I3511" s="1">
        <v>506.69999999999993</v>
      </c>
      <c r="J3511" s="16">
        <v>106325.23545933413</v>
      </c>
      <c r="K3511" s="5">
        <v>0.23190959708679881</v>
      </c>
      <c r="L3511" s="10">
        <v>470482.82709999999</v>
      </c>
    </row>
    <row r="3512" spans="1:12" x14ac:dyDescent="0.25">
      <c r="A3512">
        <v>3511</v>
      </c>
      <c r="B3512" s="3">
        <v>0.21820118219039608</v>
      </c>
      <c r="C3512" s="3">
        <v>5.5431450819733025E-2</v>
      </c>
      <c r="D3512" s="1">
        <v>106265.99928103738</v>
      </c>
      <c r="E3512" s="1">
        <v>4162098</v>
      </c>
      <c r="F3512" s="1">
        <v>20231389</v>
      </c>
      <c r="G3512" s="16">
        <v>17817.954275657597</v>
      </c>
      <c r="H3512">
        <v>150.28</v>
      </c>
      <c r="I3512" s="1">
        <v>529.42999999999995</v>
      </c>
      <c r="J3512" s="16">
        <v>124083.95355669498</v>
      </c>
      <c r="K3512" s="5">
        <v>8.2838276269274536E-2</v>
      </c>
      <c r="L3512" s="10">
        <v>140524.12059999999</v>
      </c>
    </row>
    <row r="3513" spans="1:12" x14ac:dyDescent="0.25">
      <c r="A3513">
        <v>3512</v>
      </c>
      <c r="B3513" s="3">
        <v>0.15905392597991455</v>
      </c>
      <c r="C3513" s="3">
        <v>6.3525412701323808E-2</v>
      </c>
      <c r="D3513" s="1">
        <v>109011.67056106489</v>
      </c>
      <c r="E3513" s="1">
        <v>4079467</v>
      </c>
      <c r="F3513" s="1">
        <v>27050378</v>
      </c>
      <c r="G3513" s="16">
        <v>19417.612270323349</v>
      </c>
      <c r="H3513">
        <v>82.76</v>
      </c>
      <c r="I3513" s="1">
        <v>308.2</v>
      </c>
      <c r="J3513" s="16">
        <v>128429.28283138823</v>
      </c>
      <c r="K3513" s="5">
        <v>8.0694196963667614E-2</v>
      </c>
      <c r="L3513" s="10">
        <v>137833.9908</v>
      </c>
    </row>
    <row r="3514" spans="1:12" x14ac:dyDescent="0.25">
      <c r="A3514">
        <v>3513</v>
      </c>
      <c r="B3514" s="3">
        <v>0.21788478969128061</v>
      </c>
      <c r="C3514" s="3">
        <v>7.7399257871058585E-2</v>
      </c>
      <c r="D3514" s="1">
        <v>158478.7533776887</v>
      </c>
      <c r="E3514" s="1">
        <v>10134930</v>
      </c>
      <c r="F3514" s="1">
        <v>48838044</v>
      </c>
      <c r="G3514" s="16">
        <v>25107.464143682268</v>
      </c>
      <c r="H3514">
        <v>210.98</v>
      </c>
      <c r="I3514" s="1">
        <v>678.11</v>
      </c>
      <c r="J3514" s="16">
        <v>183586.21752137097</v>
      </c>
      <c r="K3514" s="5">
        <v>4.2382395130343017E-2</v>
      </c>
      <c r="L3514" s="10">
        <v>83590.339600000007</v>
      </c>
    </row>
    <row r="3515" spans="1:12" x14ac:dyDescent="0.25">
      <c r="A3515">
        <v>3514</v>
      </c>
      <c r="B3515" s="3">
        <v>0.20033540142403833</v>
      </c>
      <c r="C3515" s="3">
        <v>5.9934939706761808E-2</v>
      </c>
      <c r="D3515" s="1">
        <v>132885.71330455516</v>
      </c>
      <c r="E3515" s="1">
        <v>4863591</v>
      </c>
      <c r="F3515" s="1">
        <v>18870923</v>
      </c>
      <c r="G3515" s="16">
        <v>11732.880548836301</v>
      </c>
      <c r="H3515">
        <v>54.05</v>
      </c>
      <c r="I3515" s="1">
        <v>178.03</v>
      </c>
      <c r="J3515" s="16">
        <v>144618.59385339147</v>
      </c>
      <c r="K3515" s="5">
        <v>0.1196592407435689</v>
      </c>
      <c r="L3515" s="10">
        <v>212236.02160000001</v>
      </c>
    </row>
    <row r="3516" spans="1:12" x14ac:dyDescent="0.25">
      <c r="A3516">
        <v>3515</v>
      </c>
      <c r="B3516" s="3">
        <v>0.22564953725118772</v>
      </c>
      <c r="C3516" s="3">
        <v>5.1218778785130877E-2</v>
      </c>
      <c r="D3516" s="1">
        <v>88195.265185578653</v>
      </c>
      <c r="E3516" s="1">
        <v>3554961</v>
      </c>
      <c r="F3516" s="1">
        <v>15118843</v>
      </c>
      <c r="G3516" s="16">
        <v>10825.759565929176</v>
      </c>
      <c r="H3516">
        <v>97.54</v>
      </c>
      <c r="I3516" s="1">
        <v>448.5</v>
      </c>
      <c r="J3516" s="16">
        <v>99021.024751507823</v>
      </c>
      <c r="K3516" s="5">
        <v>9.7227934297044766E-2</v>
      </c>
      <c r="L3516" s="10">
        <v>151837.3708</v>
      </c>
    </row>
    <row r="3517" spans="1:12" x14ac:dyDescent="0.25">
      <c r="A3517">
        <v>3516</v>
      </c>
      <c r="B3517" s="3">
        <v>0.18303632994521563</v>
      </c>
      <c r="C3517" s="3">
        <v>2.4010375768732582E-2</v>
      </c>
      <c r="D3517" s="1">
        <v>285294.25448385917</v>
      </c>
      <c r="E3517" s="1">
        <v>11986284</v>
      </c>
      <c r="F3517" s="1">
        <v>42157145</v>
      </c>
      <c r="G3517" s="16">
        <v>42089.898375765952</v>
      </c>
      <c r="H3517">
        <v>260.39999999999998</v>
      </c>
      <c r="I3517" s="1">
        <v>620.21</v>
      </c>
      <c r="J3517" s="16">
        <v>327384.15285962512</v>
      </c>
      <c r="K3517" s="5">
        <v>0.10885046720690331</v>
      </c>
      <c r="L3517" s="10">
        <v>1283938.9553</v>
      </c>
    </row>
    <row r="3518" spans="1:12" x14ac:dyDescent="0.25">
      <c r="A3518">
        <v>3517</v>
      </c>
      <c r="B3518" s="3">
        <v>0.13568302779614719</v>
      </c>
      <c r="C3518" s="3">
        <v>3.5153589642614905E-2</v>
      </c>
      <c r="D3518" s="1">
        <v>125395.53971028533</v>
      </c>
      <c r="E3518" s="1">
        <v>4205263</v>
      </c>
      <c r="F3518" s="1">
        <v>23468890</v>
      </c>
      <c r="G3518" s="16">
        <v>67569.950301726538</v>
      </c>
      <c r="H3518">
        <v>325.99</v>
      </c>
      <c r="I3518" s="1">
        <v>962.74</v>
      </c>
      <c r="J3518" s="16">
        <v>192965.49001201187</v>
      </c>
      <c r="K3518" s="5">
        <v>0.11494425073654316</v>
      </c>
      <c r="L3518" s="10">
        <v>543810.94620000001</v>
      </c>
    </row>
    <row r="3519" spans="1:12" x14ac:dyDescent="0.25">
      <c r="A3519">
        <v>3518</v>
      </c>
      <c r="B3519" s="3">
        <v>0.20644574637848337</v>
      </c>
      <c r="C3519" s="3">
        <v>4.910945047475701E-2</v>
      </c>
      <c r="D3519" s="1">
        <v>72724.585175248212</v>
      </c>
      <c r="E3519" s="1">
        <v>2723669</v>
      </c>
      <c r="F3519" s="1">
        <v>16181635</v>
      </c>
      <c r="G3519" s="16">
        <v>11247.33481704889</v>
      </c>
      <c r="H3519">
        <v>67.849999999999994</v>
      </c>
      <c r="I3519" s="1">
        <v>274.88</v>
      </c>
      <c r="J3519" s="16">
        <v>83971.919992297102</v>
      </c>
      <c r="K3519" s="5">
        <v>0.19225097003755837</v>
      </c>
      <c r="L3519" s="10">
        <v>256593.6251</v>
      </c>
    </row>
    <row r="3520" spans="1:12" x14ac:dyDescent="0.25">
      <c r="A3520">
        <v>3519</v>
      </c>
      <c r="B3520" s="3">
        <v>0.21614269756141091</v>
      </c>
      <c r="C3520" s="3">
        <v>5.9571903724511169E-2</v>
      </c>
      <c r="D3520" s="1">
        <v>147176.28389012459</v>
      </c>
      <c r="E3520" s="1">
        <v>7296131</v>
      </c>
      <c r="F3520" s="1">
        <v>24767097</v>
      </c>
      <c r="G3520" s="16">
        <v>20755.262816960832</v>
      </c>
      <c r="H3520">
        <v>171.97</v>
      </c>
      <c r="I3520" s="1">
        <v>451.33000000000004</v>
      </c>
      <c r="J3520" s="16">
        <v>167931.54670708542</v>
      </c>
      <c r="K3520" s="5">
        <v>-1.3997695416212534E-2</v>
      </c>
      <c r="L3520" s="10">
        <v>-6217.9450999999999</v>
      </c>
    </row>
    <row r="3521" spans="1:12" x14ac:dyDescent="0.25">
      <c r="A3521">
        <v>3520</v>
      </c>
      <c r="B3521" s="3">
        <v>0.21615938955389102</v>
      </c>
      <c r="C3521" s="3">
        <v>2.6610520085122939E-2</v>
      </c>
      <c r="D3521" s="1">
        <v>191827.67684007832</v>
      </c>
      <c r="E3521" s="1">
        <v>9510500</v>
      </c>
      <c r="F3521" s="1">
        <v>36780103</v>
      </c>
      <c r="G3521" s="16">
        <v>15835.15710503682</v>
      </c>
      <c r="H3521">
        <v>102.52</v>
      </c>
      <c r="I3521" s="1">
        <v>315.45999999999998</v>
      </c>
      <c r="J3521" s="16">
        <v>207662.83394511513</v>
      </c>
      <c r="K3521" s="5">
        <v>2.7625858250836827E-2</v>
      </c>
      <c r="L3521" s="10">
        <v>194210.7304</v>
      </c>
    </row>
    <row r="3522" spans="1:12" x14ac:dyDescent="0.25">
      <c r="A3522">
        <v>3521</v>
      </c>
      <c r="B3522" s="3">
        <v>0.19136633254342611</v>
      </c>
      <c r="C3522" s="3">
        <v>5.9364650968250998E-2</v>
      </c>
      <c r="D3522" s="1">
        <v>61171.320605654393</v>
      </c>
      <c r="E3522" s="1">
        <v>2165185</v>
      </c>
      <c r="F3522" s="1">
        <v>17367717</v>
      </c>
      <c r="G3522" s="16">
        <v>13009.485074456918</v>
      </c>
      <c r="H3522">
        <v>70.239999999999995</v>
      </c>
      <c r="I3522" s="1">
        <v>238.32</v>
      </c>
      <c r="J3522" s="16">
        <v>74180.805680111313</v>
      </c>
      <c r="K3522" s="5">
        <v>-3.3456876731482538E-2</v>
      </c>
      <c r="L3522" s="10">
        <v>-4096.2223000000004</v>
      </c>
    </row>
    <row r="3523" spans="1:12" x14ac:dyDescent="0.25">
      <c r="A3523">
        <v>3522</v>
      </c>
      <c r="B3523" s="3">
        <v>0.23729971033501049</v>
      </c>
      <c r="C3523" s="3">
        <v>7.6233164541131146E-2</v>
      </c>
      <c r="D3523" s="1">
        <v>146120.52082554396</v>
      </c>
      <c r="E3523" s="1">
        <v>10596047</v>
      </c>
      <c r="F3523" s="1">
        <v>43012234</v>
      </c>
      <c r="G3523" s="16">
        <v>18019.189925338815</v>
      </c>
      <c r="H3523">
        <v>180.6</v>
      </c>
      <c r="I3523" s="1">
        <v>545.86</v>
      </c>
      <c r="J3523" s="16">
        <v>164139.71075088278</v>
      </c>
      <c r="K3523" s="5">
        <v>0.13454126634078079</v>
      </c>
      <c r="L3523" s="10">
        <v>205940.84570000001</v>
      </c>
    </row>
    <row r="3524" spans="1:12" x14ac:dyDescent="0.25">
      <c r="A3524">
        <v>3523</v>
      </c>
      <c r="B3524" s="3">
        <v>0.13617824127592154</v>
      </c>
      <c r="C3524" s="3">
        <v>5.0556396535242229E-2</v>
      </c>
      <c r="D3524" s="1">
        <v>156159.35321518756</v>
      </c>
      <c r="E3524" s="1">
        <v>5248972</v>
      </c>
      <c r="F3524" s="1">
        <v>35995760</v>
      </c>
      <c r="G3524" s="16">
        <v>39968.954447466793</v>
      </c>
      <c r="H3524">
        <v>167.27</v>
      </c>
      <c r="I3524" s="1">
        <v>471.44999999999993</v>
      </c>
      <c r="J3524" s="16">
        <v>196128.30766265435</v>
      </c>
      <c r="K3524" s="5">
        <v>0.20716600822021131</v>
      </c>
      <c r="L3524" s="10">
        <v>625723.24380000005</v>
      </c>
    </row>
    <row r="3525" spans="1:12" x14ac:dyDescent="0.25">
      <c r="A3525">
        <v>3524</v>
      </c>
      <c r="B3525" s="3">
        <v>0.16276019291365423</v>
      </c>
      <c r="C3525" s="3">
        <v>6.7926658175985671E-2</v>
      </c>
      <c r="D3525" s="1">
        <v>147948.61917100006</v>
      </c>
      <c r="E3525" s="1">
        <v>5635269</v>
      </c>
      <c r="F3525" s="1">
        <v>26217682</v>
      </c>
      <c r="G3525" s="16">
        <v>14163.132667487598</v>
      </c>
      <c r="H3525">
        <v>61.86</v>
      </c>
      <c r="I3525" s="1">
        <v>207.61</v>
      </c>
      <c r="J3525" s="16">
        <v>162111.75183848766</v>
      </c>
      <c r="K3525" s="5">
        <v>9.5305393444272773E-2</v>
      </c>
      <c r="L3525" s="10">
        <v>166482.8812</v>
      </c>
    </row>
    <row r="3526" spans="1:12" x14ac:dyDescent="0.25">
      <c r="A3526">
        <v>3525</v>
      </c>
      <c r="B3526" s="3">
        <v>0.21569727673714817</v>
      </c>
      <c r="C3526" s="3">
        <v>5.1345322390496675E-2</v>
      </c>
      <c r="D3526" s="1">
        <v>79422.959182851249</v>
      </c>
      <c r="E3526" s="1">
        <v>3081039</v>
      </c>
      <c r="F3526" s="1">
        <v>16966912</v>
      </c>
      <c r="G3526" s="16">
        <v>11961.712093568145</v>
      </c>
      <c r="H3526">
        <v>98.56</v>
      </c>
      <c r="I3526" s="1">
        <v>401.62999999999994</v>
      </c>
      <c r="J3526" s="16">
        <v>91384.671276419394</v>
      </c>
      <c r="K3526" s="5">
        <v>2.5446959389505544E-2</v>
      </c>
      <c r="L3526" s="10">
        <v>59409.243199999997</v>
      </c>
    </row>
    <row r="3527" spans="1:12" x14ac:dyDescent="0.25">
      <c r="A3527">
        <v>3526</v>
      </c>
      <c r="B3527" s="3">
        <v>0.10884250460402409</v>
      </c>
      <c r="C3527" s="3">
        <v>4.8982962023100672E-2</v>
      </c>
      <c r="D3527" s="1">
        <v>137730.11079529583</v>
      </c>
      <c r="E3527" s="1">
        <v>3642237</v>
      </c>
      <c r="F3527" s="1">
        <v>20573496</v>
      </c>
      <c r="G3527" s="16">
        <v>35533.236506737929</v>
      </c>
      <c r="H3527">
        <v>106.74</v>
      </c>
      <c r="I3527" s="1">
        <v>365.72999999999996</v>
      </c>
      <c r="J3527" s="16">
        <v>173263.34730203374</v>
      </c>
      <c r="K3527" s="5">
        <v>7.873521007858128E-2</v>
      </c>
      <c r="L3527" s="10">
        <v>251065.9601</v>
      </c>
    </row>
    <row r="3528" spans="1:12" x14ac:dyDescent="0.25">
      <c r="A3528">
        <v>3527</v>
      </c>
      <c r="B3528" s="3">
        <v>0.23799607291546165</v>
      </c>
      <c r="C3528" s="3">
        <v>6.3961685271176058E-2</v>
      </c>
      <c r="D3528" s="1">
        <v>89964.474979208855</v>
      </c>
      <c r="E3528" s="1">
        <v>3805417</v>
      </c>
      <c r="F3528" s="1">
        <v>14681948</v>
      </c>
      <c r="G3528" s="16">
        <v>10693.884766458466</v>
      </c>
      <c r="H3528">
        <v>108.05</v>
      </c>
      <c r="I3528" s="1">
        <v>410.93</v>
      </c>
      <c r="J3528" s="16">
        <v>100658.35974566732</v>
      </c>
      <c r="K3528" s="5">
        <v>7.5215913559822142E-2</v>
      </c>
      <c r="L3528" s="10">
        <v>95293.385999999999</v>
      </c>
    </row>
    <row r="3529" spans="1:12" x14ac:dyDescent="0.25">
      <c r="A3529">
        <v>3528</v>
      </c>
      <c r="B3529" s="3">
        <v>0.18235264657025901</v>
      </c>
      <c r="C3529" s="3">
        <v>3.6486369987551337E-2</v>
      </c>
      <c r="D3529" s="1">
        <v>152735.75613317455</v>
      </c>
      <c r="E3529" s="1">
        <v>6395574</v>
      </c>
      <c r="F3529" s="1">
        <v>27919705</v>
      </c>
      <c r="G3529" s="16">
        <v>25421.049475849595</v>
      </c>
      <c r="H3529">
        <v>128.12</v>
      </c>
      <c r="I3529" s="1">
        <v>337.66</v>
      </c>
      <c r="J3529" s="16">
        <v>178156.80560902416</v>
      </c>
      <c r="K3529" s="5">
        <v>0.12537209843337449</v>
      </c>
      <c r="L3529" s="10">
        <v>526604.55390000006</v>
      </c>
    </row>
    <row r="3530" spans="1:12" x14ac:dyDescent="0.25">
      <c r="A3530">
        <v>3529</v>
      </c>
      <c r="B3530" s="3">
        <v>0.10346814905798996</v>
      </c>
      <c r="C3530" s="3">
        <v>2.0005812772085955E-2</v>
      </c>
      <c r="D3530" s="1">
        <v>109620.08836940044</v>
      </c>
      <c r="E3530" s="1">
        <v>2552477</v>
      </c>
      <c r="F3530" s="1">
        <v>10509451</v>
      </c>
      <c r="G3530" s="16">
        <v>52608.330647830844</v>
      </c>
      <c r="H3530">
        <v>169.86</v>
      </c>
      <c r="I3530" s="1">
        <v>507.17</v>
      </c>
      <c r="J3530" s="16">
        <v>162228.4190172313</v>
      </c>
      <c r="K3530" s="5">
        <v>0.13227217280055587</v>
      </c>
      <c r="L3530" s="10">
        <v>955274.43519999995</v>
      </c>
    </row>
    <row r="3531" spans="1:12" x14ac:dyDescent="0.25">
      <c r="A3531">
        <v>3530</v>
      </c>
      <c r="B3531" s="3">
        <v>0.19878150899571162</v>
      </c>
      <c r="C3531" s="3">
        <v>2.1585298861148655E-2</v>
      </c>
      <c r="D3531" s="1">
        <v>261396.75863609542</v>
      </c>
      <c r="E3531" s="1">
        <v>14816603</v>
      </c>
      <c r="F3531" s="1">
        <v>55377888</v>
      </c>
      <c r="G3531" s="16">
        <v>30192.560331189838</v>
      </c>
      <c r="H3531">
        <v>214.27</v>
      </c>
      <c r="I3531" s="1">
        <v>537.06999999999994</v>
      </c>
      <c r="J3531" s="16">
        <v>291589.31896728527</v>
      </c>
      <c r="K3531" s="5">
        <v>6.2623345720842535E-2</v>
      </c>
      <c r="L3531" s="10">
        <v>786127.8395</v>
      </c>
    </row>
    <row r="3532" spans="1:12" x14ac:dyDescent="0.25">
      <c r="A3532">
        <v>3531</v>
      </c>
      <c r="B3532" s="3">
        <v>0.20309584683059823</v>
      </c>
      <c r="C3532" s="3">
        <v>3.1626452737264707E-2</v>
      </c>
      <c r="D3532" s="1">
        <v>22306.655380043227</v>
      </c>
      <c r="E3532" s="1">
        <v>657393</v>
      </c>
      <c r="F3532" s="1">
        <v>6731016</v>
      </c>
      <c r="G3532" s="16">
        <v>11560.657387571329</v>
      </c>
      <c r="H3532">
        <v>54.03</v>
      </c>
      <c r="I3532" s="1">
        <v>177.53</v>
      </c>
      <c r="J3532" s="16">
        <v>33867.312767614552</v>
      </c>
      <c r="K3532" s="5">
        <v>-5.0230630831159168E-2</v>
      </c>
      <c r="L3532" s="10">
        <v>-48804.721400000002</v>
      </c>
    </row>
    <row r="3533" spans="1:12" x14ac:dyDescent="0.25">
      <c r="A3533">
        <v>3532</v>
      </c>
      <c r="B3533" s="3">
        <v>0.15651924709909129</v>
      </c>
      <c r="C3533" s="3">
        <v>7.3399300730565664E-2</v>
      </c>
      <c r="D3533" s="1">
        <v>234553.82431784438</v>
      </c>
      <c r="E3533" s="1">
        <v>8672513</v>
      </c>
      <c r="F3533" s="1">
        <v>32933014</v>
      </c>
      <c r="G3533" s="16">
        <v>29632.709765214182</v>
      </c>
      <c r="H3533">
        <v>146.79</v>
      </c>
      <c r="I3533" s="1">
        <v>462.07000000000005</v>
      </c>
      <c r="J3533" s="16">
        <v>264186.53408305859</v>
      </c>
      <c r="K3533" s="5">
        <v>0.11219695338284141</v>
      </c>
      <c r="L3533" s="10">
        <v>263803.05009999999</v>
      </c>
    </row>
    <row r="3534" spans="1:12" x14ac:dyDescent="0.25">
      <c r="A3534">
        <v>3533</v>
      </c>
      <c r="B3534" s="3">
        <v>0.19951644182066697</v>
      </c>
      <c r="C3534" s="3">
        <v>3.5912980185195821E-2</v>
      </c>
      <c r="D3534" s="1">
        <v>342782.23272046162</v>
      </c>
      <c r="E3534" s="1">
        <v>19519071</v>
      </c>
      <c r="F3534" s="1">
        <v>63952001</v>
      </c>
      <c r="G3534" s="16">
        <v>19599.023319591728</v>
      </c>
      <c r="H3534">
        <v>112.17</v>
      </c>
      <c r="I3534" s="1">
        <v>368.56</v>
      </c>
      <c r="J3534" s="16">
        <v>362381.25604005333</v>
      </c>
      <c r="K3534" s="5">
        <v>-6.0842579816830417E-2</v>
      </c>
      <c r="L3534" s="10">
        <v>-430371.35960000003</v>
      </c>
    </row>
    <row r="3535" spans="1:12" x14ac:dyDescent="0.25">
      <c r="A3535">
        <v>3534</v>
      </c>
      <c r="B3535" s="3">
        <v>0.17931571728637594</v>
      </c>
      <c r="C3535" s="3">
        <v>7.8605726717032851E-2</v>
      </c>
      <c r="D3535" s="1">
        <v>148236.33528698172</v>
      </c>
      <c r="E3535" s="1">
        <v>6115797</v>
      </c>
      <c r="F3535" s="1">
        <v>23339931</v>
      </c>
      <c r="G3535" s="16">
        <v>27271.081348202439</v>
      </c>
      <c r="H3535">
        <v>163.52000000000001</v>
      </c>
      <c r="I3535" s="1">
        <v>533.98</v>
      </c>
      <c r="J3535" s="16">
        <v>175507.41663518414</v>
      </c>
      <c r="K3535" s="5">
        <v>0.16495112684707286</v>
      </c>
      <c r="L3535" s="10">
        <v>248770.6973</v>
      </c>
    </row>
    <row r="3536" spans="1:12" x14ac:dyDescent="0.25">
      <c r="A3536">
        <v>3535</v>
      </c>
      <c r="B3536" s="3">
        <v>0.15152382702594813</v>
      </c>
      <c r="C3536" s="3">
        <v>2.5176038438340459E-2</v>
      </c>
      <c r="D3536" s="1">
        <v>213444.20899503268</v>
      </c>
      <c r="E3536" s="1">
        <v>7707764</v>
      </c>
      <c r="F3536" s="1">
        <v>35992164</v>
      </c>
      <c r="G3536" s="16">
        <v>88423.679079988826</v>
      </c>
      <c r="H3536">
        <v>495.24</v>
      </c>
      <c r="I3536" s="1">
        <v>1331.67</v>
      </c>
      <c r="J3536" s="16">
        <v>301867.8880750215</v>
      </c>
      <c r="K3536" s="5">
        <v>-3.485784648003401E-2</v>
      </c>
      <c r="L3536" s="10">
        <v>-375108.15139999997</v>
      </c>
    </row>
    <row r="3537" spans="1:12" x14ac:dyDescent="0.25">
      <c r="A3537">
        <v>3536</v>
      </c>
      <c r="B3537" s="3">
        <v>0.12868646534800676</v>
      </c>
      <c r="C3537" s="3">
        <v>2.030199848079867E-2</v>
      </c>
      <c r="D3537" s="1">
        <v>160289.39553372827</v>
      </c>
      <c r="E3537" s="1">
        <v>4535079</v>
      </c>
      <c r="F3537" s="1">
        <v>20067402</v>
      </c>
      <c r="G3537" s="16">
        <v>32435.181937378129</v>
      </c>
      <c r="H3537">
        <v>127.76</v>
      </c>
      <c r="I3537" s="1">
        <v>432.79999999999995</v>
      </c>
      <c r="J3537" s="16">
        <v>192724.5774711064</v>
      </c>
      <c r="K3537" s="5">
        <v>0.17598474339042194</v>
      </c>
      <c r="L3537" s="10">
        <v>1472371.5948999999</v>
      </c>
    </row>
    <row r="3538" spans="1:12" x14ac:dyDescent="0.25">
      <c r="A3538">
        <v>3537</v>
      </c>
      <c r="B3538" s="3">
        <v>0.10206076482806065</v>
      </c>
      <c r="C3538" s="3">
        <v>6.3884909133325438E-2</v>
      </c>
      <c r="D3538" s="1">
        <v>225982.72463319366</v>
      </c>
      <c r="E3538" s="1">
        <v>5841679</v>
      </c>
      <c r="F3538" s="1">
        <v>21037967</v>
      </c>
      <c r="G3538" s="16">
        <v>24175.663015785776</v>
      </c>
      <c r="H3538">
        <v>69.31</v>
      </c>
      <c r="I3538" s="1">
        <v>280.57</v>
      </c>
      <c r="J3538" s="16">
        <v>250158.38764897943</v>
      </c>
      <c r="K3538" s="5">
        <v>0.16366418692799195</v>
      </c>
      <c r="L3538" s="10">
        <v>428178.81410000002</v>
      </c>
    </row>
    <row r="3539" spans="1:12" x14ac:dyDescent="0.25">
      <c r="A3539">
        <v>3538</v>
      </c>
      <c r="B3539" s="3">
        <v>0.24192892580280076</v>
      </c>
      <c r="C3539" s="3">
        <v>6.660232520744476E-2</v>
      </c>
      <c r="D3539" s="1">
        <v>138287.5362247366</v>
      </c>
      <c r="E3539" s="1">
        <v>10337995</v>
      </c>
      <c r="F3539" s="1">
        <v>53871423</v>
      </c>
      <c r="G3539" s="16">
        <v>24334.034757084984</v>
      </c>
      <c r="H3539">
        <v>254.38</v>
      </c>
      <c r="I3539" s="1">
        <v>616.89</v>
      </c>
      <c r="J3539" s="16">
        <v>162621.57098182157</v>
      </c>
      <c r="K3539" s="5">
        <v>0.22775594344138067</v>
      </c>
      <c r="L3539" s="10">
        <v>453842.63630000001</v>
      </c>
    </row>
    <row r="3540" spans="1:12" x14ac:dyDescent="0.25">
      <c r="A3540">
        <v>3539</v>
      </c>
      <c r="B3540" s="3">
        <v>0.1214253045405404</v>
      </c>
      <c r="C3540" s="3">
        <v>7.3944513083926924E-2</v>
      </c>
      <c r="D3540" s="1">
        <v>194990.2630311258</v>
      </c>
      <c r="E3540" s="1">
        <v>6124931</v>
      </c>
      <c r="F3540" s="1">
        <v>32249716</v>
      </c>
      <c r="G3540" s="16">
        <v>9946.2661682923481</v>
      </c>
      <c r="H3540">
        <v>32.5</v>
      </c>
      <c r="I3540" s="1">
        <v>194.79999999999998</v>
      </c>
      <c r="J3540" s="16">
        <v>204936.52919941815</v>
      </c>
      <c r="K3540" s="5">
        <v>2.9606232622979834E-2</v>
      </c>
      <c r="L3540" s="10">
        <v>72664.684399999998</v>
      </c>
    </row>
    <row r="3541" spans="1:12" x14ac:dyDescent="0.25">
      <c r="A3541">
        <v>3540</v>
      </c>
      <c r="B3541" s="3">
        <v>0.13103816032066734</v>
      </c>
      <c r="C3541" s="3">
        <v>2.7610947507687778E-2</v>
      </c>
      <c r="D3541" s="1">
        <v>46499.657484691728</v>
      </c>
      <c r="E3541" s="1">
        <v>1326327</v>
      </c>
      <c r="F3541" s="1">
        <v>11293851</v>
      </c>
      <c r="G3541" s="16">
        <v>31904.953706696411</v>
      </c>
      <c r="H3541">
        <v>111.56</v>
      </c>
      <c r="I3541" s="1">
        <v>379.98</v>
      </c>
      <c r="J3541" s="16">
        <v>78404.611191388132</v>
      </c>
      <c r="K3541" s="5">
        <v>0.22527729534692442</v>
      </c>
      <c r="L3541" s="10">
        <v>539570.76459999999</v>
      </c>
    </row>
    <row r="3542" spans="1:12" x14ac:dyDescent="0.25">
      <c r="A3542">
        <v>3541</v>
      </c>
      <c r="B3542" s="3">
        <v>0.24686408762855053</v>
      </c>
      <c r="C3542" s="3">
        <v>5.8289147865616037E-2</v>
      </c>
      <c r="D3542" s="1">
        <v>67420.001445813497</v>
      </c>
      <c r="E3542" s="1">
        <v>2953742</v>
      </c>
      <c r="F3542" s="1">
        <v>16419884</v>
      </c>
      <c r="G3542" s="16">
        <v>17158.787507962461</v>
      </c>
      <c r="H3542">
        <v>187.97</v>
      </c>
      <c r="I3542" s="1">
        <v>617.06000000000006</v>
      </c>
      <c r="J3542" s="16">
        <v>84578.788953775962</v>
      </c>
      <c r="K3542" s="5">
        <v>0.20071740476863342</v>
      </c>
      <c r="L3542" s="10">
        <v>209534.65719999999</v>
      </c>
    </row>
    <row r="3543" spans="1:12" x14ac:dyDescent="0.25">
      <c r="A3543">
        <v>3542</v>
      </c>
      <c r="B3543" s="3">
        <v>0.11537829863985177</v>
      </c>
      <c r="C3543" s="3">
        <v>6.6086168792834479E-2</v>
      </c>
      <c r="D3543" s="1">
        <v>290324.60774490546</v>
      </c>
      <c r="E3543" s="1">
        <v>8872709</v>
      </c>
      <c r="F3543" s="1">
        <v>26370519</v>
      </c>
      <c r="G3543" s="16">
        <v>60468.698989416043</v>
      </c>
      <c r="H3543">
        <v>214.97</v>
      </c>
      <c r="I3543" s="1">
        <v>690.27</v>
      </c>
      <c r="J3543" s="16">
        <v>350793.30673432152</v>
      </c>
      <c r="K3543" s="5">
        <v>8.2385914396605892E-2</v>
      </c>
      <c r="L3543" s="10">
        <v>262194.92849999998</v>
      </c>
    </row>
    <row r="3544" spans="1:12" x14ac:dyDescent="0.25">
      <c r="A3544">
        <v>3543</v>
      </c>
      <c r="B3544" s="3">
        <v>0.12272417639911011</v>
      </c>
      <c r="C3544" s="3">
        <v>7.3448324172913512E-2</v>
      </c>
      <c r="D3544" s="1">
        <v>149852.50047560612</v>
      </c>
      <c r="E3544" s="1">
        <v>4153921</v>
      </c>
      <c r="F3544" s="1">
        <v>16773632</v>
      </c>
      <c r="G3544" s="16">
        <v>34891.302352770224</v>
      </c>
      <c r="H3544">
        <v>131.15</v>
      </c>
      <c r="I3544" s="1">
        <v>558.98</v>
      </c>
      <c r="J3544" s="16">
        <v>184743.80282837636</v>
      </c>
      <c r="K3544" s="5">
        <v>0.12535920487669283</v>
      </c>
      <c r="L3544" s="10">
        <v>192271.20559999999</v>
      </c>
    </row>
    <row r="3545" spans="1:12" x14ac:dyDescent="0.25">
      <c r="A3545">
        <v>3544</v>
      </c>
      <c r="B3545" s="3">
        <v>0.24856683649508465</v>
      </c>
      <c r="C3545" s="3">
        <v>2.0796067265950076E-2</v>
      </c>
      <c r="D3545" s="1">
        <v>132381.63700822316</v>
      </c>
      <c r="E3545" s="1">
        <v>7770863</v>
      </c>
      <c r="F3545" s="1">
        <v>42402842</v>
      </c>
      <c r="G3545" s="16">
        <v>13786.833337465558</v>
      </c>
      <c r="H3545">
        <v>153.06</v>
      </c>
      <c r="I3545" s="1">
        <v>493.23999999999995</v>
      </c>
      <c r="J3545" s="16">
        <v>146168.47034568872</v>
      </c>
      <c r="K3545" s="5">
        <v>8.5039775715150853E-2</v>
      </c>
      <c r="L3545" s="10">
        <v>536949.2574</v>
      </c>
    </row>
    <row r="3546" spans="1:12" x14ac:dyDescent="0.25">
      <c r="A3546">
        <v>3545</v>
      </c>
      <c r="B3546" s="3">
        <v>0.24739765764357621</v>
      </c>
      <c r="C3546" s="3">
        <v>2.2218618290585534E-2</v>
      </c>
      <c r="D3546" s="1">
        <v>112162.61783966294</v>
      </c>
      <c r="E3546" s="1">
        <v>6543171</v>
      </c>
      <c r="F3546" s="1">
        <v>23265231</v>
      </c>
      <c r="G3546" s="16">
        <v>13798.006019432452</v>
      </c>
      <c r="H3546">
        <v>151.71</v>
      </c>
      <c r="I3546" s="1">
        <v>521.90000000000009</v>
      </c>
      <c r="J3546" s="16">
        <v>125960.62385909539</v>
      </c>
      <c r="K3546" s="5">
        <v>0.10915079883374189</v>
      </c>
      <c r="L3546" s="10">
        <v>559767.56140000001</v>
      </c>
    </row>
    <row r="3547" spans="1:12" x14ac:dyDescent="0.25">
      <c r="A3547">
        <v>3546</v>
      </c>
      <c r="B3547" s="3">
        <v>0.20066685764846037</v>
      </c>
      <c r="C3547" s="3">
        <v>4.427948621749199E-2</v>
      </c>
      <c r="D3547" s="1">
        <v>146681.38600602877</v>
      </c>
      <c r="E3547" s="1">
        <v>6724601</v>
      </c>
      <c r="F3547" s="1">
        <v>25950879</v>
      </c>
      <c r="G3547" s="16">
        <v>35259.82961163664</v>
      </c>
      <c r="H3547">
        <v>254.67</v>
      </c>
      <c r="I3547" s="1">
        <v>749.9899999999999</v>
      </c>
      <c r="J3547" s="16">
        <v>181941.21561766541</v>
      </c>
      <c r="K3547" s="5">
        <v>-6.1841597583363925E-2</v>
      </c>
      <c r="L3547" s="10">
        <v>-181401.2237</v>
      </c>
    </row>
    <row r="3548" spans="1:12" x14ac:dyDescent="0.25">
      <c r="A3548">
        <v>3547</v>
      </c>
      <c r="B3548" s="3">
        <v>0.1435345408031819</v>
      </c>
      <c r="C3548" s="3">
        <v>6.4600584978477316E-2</v>
      </c>
      <c r="D3548" s="1">
        <v>204258.68057631294</v>
      </c>
      <c r="E3548" s="1">
        <v>7104677</v>
      </c>
      <c r="F3548" s="1">
        <v>24778850</v>
      </c>
      <c r="G3548" s="16">
        <v>8099.0690680972957</v>
      </c>
      <c r="H3548">
        <v>26.46</v>
      </c>
      <c r="I3548" s="1">
        <v>145.68</v>
      </c>
      <c r="J3548" s="16">
        <v>212357.74964441024</v>
      </c>
      <c r="K3548" s="5">
        <v>6.9811244823782509E-2</v>
      </c>
      <c r="L3548" s="10">
        <v>166111.2801</v>
      </c>
    </row>
    <row r="3549" spans="1:12" x14ac:dyDescent="0.25">
      <c r="A3549">
        <v>3548</v>
      </c>
      <c r="B3549" s="3">
        <v>0.11586138513255659</v>
      </c>
      <c r="C3549" s="3">
        <v>7.60172646942716E-2</v>
      </c>
      <c r="D3549" s="1">
        <v>52328.179119354521</v>
      </c>
      <c r="E3549" s="1">
        <v>1252848</v>
      </c>
      <c r="F3549" s="1">
        <v>10732720</v>
      </c>
      <c r="G3549" s="16">
        <v>26912.470966320667</v>
      </c>
      <c r="H3549">
        <v>95.89</v>
      </c>
      <c r="I3549" s="1">
        <v>409.19</v>
      </c>
      <c r="J3549" s="16">
        <v>79240.650085675181</v>
      </c>
      <c r="K3549" s="5">
        <v>0.2574628472078947</v>
      </c>
      <c r="L3549" s="10">
        <v>174364.47089999999</v>
      </c>
    </row>
    <row r="3550" spans="1:12" x14ac:dyDescent="0.25">
      <c r="A3550">
        <v>3549</v>
      </c>
      <c r="B3550" s="3">
        <v>0.1795093066850717</v>
      </c>
      <c r="C3550" s="3">
        <v>5.052221664243986E-2</v>
      </c>
      <c r="D3550" s="1">
        <v>54590.602427235557</v>
      </c>
      <c r="E3550" s="1">
        <v>1517655</v>
      </c>
      <c r="F3550" s="1">
        <v>9840379</v>
      </c>
      <c r="G3550" s="16">
        <v>43460.668174256891</v>
      </c>
      <c r="H3550">
        <v>261.27999999999997</v>
      </c>
      <c r="I3550" s="1">
        <v>646.94999999999993</v>
      </c>
      <c r="J3550" s="16">
        <v>98051.270601492448</v>
      </c>
      <c r="K3550" s="5">
        <v>0.12146811803575969</v>
      </c>
      <c r="L3550" s="10">
        <v>175724.1324</v>
      </c>
    </row>
    <row r="3551" spans="1:12" x14ac:dyDescent="0.25">
      <c r="A3551">
        <v>3550</v>
      </c>
      <c r="B3551" s="3">
        <v>0.10282707347249351</v>
      </c>
      <c r="C3551" s="3">
        <v>7.3312635455668226E-2</v>
      </c>
      <c r="D3551" s="1">
        <v>284473.23803503002</v>
      </c>
      <c r="E3551" s="1">
        <v>8217495</v>
      </c>
      <c r="F3551" s="1">
        <v>35273889</v>
      </c>
      <c r="G3551" s="16">
        <v>43165.306907813159</v>
      </c>
      <c r="H3551">
        <v>124.57</v>
      </c>
      <c r="I3551" s="1">
        <v>375.66999999999996</v>
      </c>
      <c r="J3551" s="16">
        <v>327638.5449428432</v>
      </c>
      <c r="K3551" s="5">
        <v>0.13469716468750922</v>
      </c>
      <c r="L3551" s="10">
        <v>384440.83620000002</v>
      </c>
    </row>
    <row r="3552" spans="1:12" x14ac:dyDescent="0.25">
      <c r="A3552">
        <v>3551</v>
      </c>
      <c r="B3552" s="3">
        <v>0.1956206982921177</v>
      </c>
      <c r="C3552" s="3">
        <v>7.5574757708508147E-2</v>
      </c>
      <c r="D3552" s="1">
        <v>65902.143982986279</v>
      </c>
      <c r="E3552" s="1">
        <v>2369845</v>
      </c>
      <c r="F3552" s="1">
        <v>20565596</v>
      </c>
      <c r="G3552" s="16">
        <v>14646.586814301172</v>
      </c>
      <c r="H3552">
        <v>81.27</v>
      </c>
      <c r="I3552" s="1">
        <v>264.66000000000003</v>
      </c>
      <c r="J3552" s="16">
        <v>80548.730797287455</v>
      </c>
      <c r="K3552" s="5">
        <v>0.12871322330791662</v>
      </c>
      <c r="L3552" s="10">
        <v>121309.7957</v>
      </c>
    </row>
    <row r="3553" spans="1:12" x14ac:dyDescent="0.25">
      <c r="A3553">
        <v>3552</v>
      </c>
      <c r="B3553" s="3">
        <v>0.1129908853473022</v>
      </c>
      <c r="C3553" s="3">
        <v>3.796641047170253E-2</v>
      </c>
      <c r="D3553" s="1">
        <v>41778.322394136361</v>
      </c>
      <c r="E3553" s="1">
        <v>993797</v>
      </c>
      <c r="F3553" s="1">
        <v>8701291</v>
      </c>
      <c r="G3553" s="16">
        <v>61207.059380495615</v>
      </c>
      <c r="H3553">
        <v>212.98</v>
      </c>
      <c r="I3553" s="1">
        <v>519.56000000000006</v>
      </c>
      <c r="J3553" s="16">
        <v>102985.38177463197</v>
      </c>
      <c r="K3553" s="5">
        <v>2.9232507097447277E-2</v>
      </c>
      <c r="L3553" s="10">
        <v>77321.723899999997</v>
      </c>
    </row>
    <row r="3554" spans="1:12" x14ac:dyDescent="0.25">
      <c r="A3554">
        <v>3553</v>
      </c>
      <c r="B3554" s="3">
        <v>0.15776335253696511</v>
      </c>
      <c r="C3554" s="3">
        <v>4.0788720212306069E-2</v>
      </c>
      <c r="D3554" s="1">
        <v>200794.17507053257</v>
      </c>
      <c r="E3554" s="1">
        <v>7468225</v>
      </c>
      <c r="F3554" s="1">
        <v>28841158</v>
      </c>
      <c r="G3554" s="16">
        <v>16111.189017298411</v>
      </c>
      <c r="H3554">
        <v>67.97</v>
      </c>
      <c r="I3554" s="1">
        <v>295.49</v>
      </c>
      <c r="J3554" s="16">
        <v>216905.36408783097</v>
      </c>
      <c r="K3554" s="5">
        <v>0.13232989253731198</v>
      </c>
      <c r="L3554" s="10">
        <v>592925.2916</v>
      </c>
    </row>
    <row r="3555" spans="1:12" x14ac:dyDescent="0.25">
      <c r="A3555">
        <v>3554</v>
      </c>
      <c r="B3555" s="3">
        <v>0.11942604776082882</v>
      </c>
      <c r="C3555" s="3">
        <v>6.2989655146328691E-2</v>
      </c>
      <c r="D3555" s="1">
        <v>59666.522162258552</v>
      </c>
      <c r="E3555" s="1">
        <v>1440134</v>
      </c>
      <c r="F3555" s="1">
        <v>9218952</v>
      </c>
      <c r="G3555" s="16">
        <v>39559.067709050745</v>
      </c>
      <c r="H3555">
        <v>144.91999999999999</v>
      </c>
      <c r="I3555" s="1">
        <v>440.19999999999993</v>
      </c>
      <c r="J3555" s="16">
        <v>99225.58987130929</v>
      </c>
      <c r="K3555" s="5">
        <v>0.20294511122726505</v>
      </c>
      <c r="L3555" s="10">
        <v>228942.47510000001</v>
      </c>
    </row>
    <row r="3556" spans="1:12" x14ac:dyDescent="0.25">
      <c r="A3556">
        <v>3555</v>
      </c>
      <c r="B3556" s="3">
        <v>0.14303416306101888</v>
      </c>
      <c r="C3556" s="3">
        <v>4.6233073482061668E-2</v>
      </c>
      <c r="D3556" s="1">
        <v>238557.17346335741</v>
      </c>
      <c r="E3556" s="1">
        <v>8278318</v>
      </c>
      <c r="F3556" s="1">
        <v>31783508</v>
      </c>
      <c r="G3556" s="16">
        <v>6544.4044083661865</v>
      </c>
      <c r="H3556">
        <v>21.26</v>
      </c>
      <c r="I3556" s="1">
        <v>101.54</v>
      </c>
      <c r="J3556" s="16">
        <v>245101.5778717236</v>
      </c>
      <c r="K3556" s="5">
        <v>6.3419676972535477E-2</v>
      </c>
      <c r="L3556" s="10">
        <v>268686.40059999999</v>
      </c>
    </row>
    <row r="3557" spans="1:12" x14ac:dyDescent="0.25">
      <c r="A3557">
        <v>3556</v>
      </c>
      <c r="B3557" s="3">
        <v>0.23077410918335461</v>
      </c>
      <c r="C3557" s="3">
        <v>7.0951850435829383E-2</v>
      </c>
      <c r="D3557" s="1">
        <v>118366.06062254347</v>
      </c>
      <c r="E3557" s="1">
        <v>6327242</v>
      </c>
      <c r="F3557" s="1">
        <v>33870255</v>
      </c>
      <c r="G3557" s="16">
        <v>16603.51989759655</v>
      </c>
      <c r="H3557">
        <v>120.6</v>
      </c>
      <c r="I3557" s="1">
        <v>310.47000000000003</v>
      </c>
      <c r="J3557" s="16">
        <v>134969.58052014004</v>
      </c>
      <c r="K3557" s="5">
        <v>0.19131895348109618</v>
      </c>
      <c r="L3557" s="10">
        <v>281506.7696</v>
      </c>
    </row>
    <row r="3558" spans="1:12" x14ac:dyDescent="0.25">
      <c r="A3558">
        <v>3557</v>
      </c>
      <c r="B3558" s="3">
        <v>0.20813878524159257</v>
      </c>
      <c r="C3558" s="3">
        <v>7.6102064592475274E-2</v>
      </c>
      <c r="D3558" s="1">
        <v>204658.94008282345</v>
      </c>
      <c r="E3558" s="1">
        <v>9741745</v>
      </c>
      <c r="F3558" s="1">
        <v>28989285</v>
      </c>
      <c r="G3558" s="16">
        <v>12770.829999712374</v>
      </c>
      <c r="H3558">
        <v>77.930000000000007</v>
      </c>
      <c r="I3558" s="1">
        <v>235.56</v>
      </c>
      <c r="J3558" s="16">
        <v>217429.77008253583</v>
      </c>
      <c r="K3558" s="5">
        <v>0.22697524252444728</v>
      </c>
      <c r="L3558" s="10">
        <v>404608.88150000002</v>
      </c>
    </row>
    <row r="3559" spans="1:12" x14ac:dyDescent="0.25">
      <c r="A3559">
        <v>3558</v>
      </c>
      <c r="B3559" s="3">
        <v>0.24728004734193071</v>
      </c>
      <c r="C3559" s="3">
        <v>7.2135142964137061E-2</v>
      </c>
      <c r="D3559" s="1">
        <v>46293.663279118286</v>
      </c>
      <c r="E3559" s="1">
        <v>2031535</v>
      </c>
      <c r="F3559" s="1">
        <v>15536937</v>
      </c>
      <c r="G3559" s="16">
        <v>7105.8612807480195</v>
      </c>
      <c r="H3559">
        <v>58.79</v>
      </c>
      <c r="I3559" s="1">
        <v>218.73999999999998</v>
      </c>
      <c r="J3559" s="16">
        <v>53399.524559866302</v>
      </c>
      <c r="K3559" s="5">
        <v>0.10142209042631731</v>
      </c>
      <c r="L3559" s="10">
        <v>65197.924200000001</v>
      </c>
    </row>
    <row r="3560" spans="1:12" x14ac:dyDescent="0.25">
      <c r="A3560">
        <v>3559</v>
      </c>
      <c r="B3560" s="3">
        <v>0.19471590245787568</v>
      </c>
      <c r="C3560" s="3">
        <v>7.3582038647491868E-2</v>
      </c>
      <c r="D3560" s="1">
        <v>92131.919901788147</v>
      </c>
      <c r="E3560" s="1">
        <v>3301915</v>
      </c>
      <c r="F3560" s="1">
        <v>15361485</v>
      </c>
      <c r="G3560" s="16">
        <v>22720.416829735725</v>
      </c>
      <c r="H3560">
        <v>155.68</v>
      </c>
      <c r="I3560" s="1">
        <v>413.42</v>
      </c>
      <c r="J3560" s="16">
        <v>114852.33673152387</v>
      </c>
      <c r="K3560" s="5">
        <v>2.5077836280999681E-2</v>
      </c>
      <c r="L3560" s="10">
        <v>41320.861100000002</v>
      </c>
    </row>
    <row r="3561" spans="1:12" x14ac:dyDescent="0.25">
      <c r="A3561">
        <v>3560</v>
      </c>
      <c r="B3561" s="3">
        <v>0.13867828268471441</v>
      </c>
      <c r="C3561" s="3">
        <v>3.8499039015196752E-2</v>
      </c>
      <c r="D3561" s="1">
        <v>258988.19209610557</v>
      </c>
      <c r="E3561" s="1">
        <v>10224825</v>
      </c>
      <c r="F3561" s="1">
        <v>49508210</v>
      </c>
      <c r="G3561" s="16">
        <v>76776.007229868323</v>
      </c>
      <c r="H3561">
        <v>381.56</v>
      </c>
      <c r="I3561" s="1">
        <v>1113.48</v>
      </c>
      <c r="J3561" s="16">
        <v>335764.19932597387</v>
      </c>
      <c r="K3561" s="5">
        <v>0.18195151338399349</v>
      </c>
      <c r="L3561" s="10">
        <v>1317005.6336999999</v>
      </c>
    </row>
    <row r="3562" spans="1:12" x14ac:dyDescent="0.25">
      <c r="A3562">
        <v>3561</v>
      </c>
      <c r="B3562" s="3">
        <v>0.24470536854016856</v>
      </c>
      <c r="C3562" s="3">
        <v>6.873440716920734E-2</v>
      </c>
      <c r="D3562" s="1">
        <v>67794.384158275061</v>
      </c>
      <c r="E3562" s="1">
        <v>2944744</v>
      </c>
      <c r="F3562" s="1">
        <v>18745848</v>
      </c>
      <c r="G3562" s="16">
        <v>13581.032846627311</v>
      </c>
      <c r="H3562">
        <v>110.05</v>
      </c>
      <c r="I3562" s="1">
        <v>372.05</v>
      </c>
      <c r="J3562" s="16">
        <v>81375.417004902367</v>
      </c>
      <c r="K3562" s="5">
        <v>0.17213667336855387</v>
      </c>
      <c r="L3562" s="10">
        <v>135961.27439999999</v>
      </c>
    </row>
    <row r="3563" spans="1:12" x14ac:dyDescent="0.25">
      <c r="A3563">
        <v>3562</v>
      </c>
      <c r="B3563" s="3">
        <v>0.18349698955134414</v>
      </c>
      <c r="C3563" s="3">
        <v>6.1782522388533115E-2</v>
      </c>
      <c r="D3563" s="1">
        <v>91357.677329162107</v>
      </c>
      <c r="E3563" s="1">
        <v>3141048</v>
      </c>
      <c r="F3563" s="1">
        <v>15953025</v>
      </c>
      <c r="G3563" s="16">
        <v>16594.052978876043</v>
      </c>
      <c r="H3563">
        <v>84.34</v>
      </c>
      <c r="I3563" s="1">
        <v>315.34000000000003</v>
      </c>
      <c r="J3563" s="16">
        <v>107951.73030803815</v>
      </c>
      <c r="K3563" s="5">
        <v>0.19798442075058481</v>
      </c>
      <c r="L3563" s="10">
        <v>243149.1048</v>
      </c>
    </row>
    <row r="3564" spans="1:12" x14ac:dyDescent="0.25">
      <c r="A3564">
        <v>3563</v>
      </c>
      <c r="B3564" s="3">
        <v>0.21413778667707137</v>
      </c>
      <c r="C3564" s="3">
        <v>2.4529548467173437E-2</v>
      </c>
      <c r="D3564" s="1">
        <v>136410.63904599386</v>
      </c>
      <c r="E3564" s="1">
        <v>6693687</v>
      </c>
      <c r="F3564" s="1">
        <v>25873768</v>
      </c>
      <c r="G3564" s="16">
        <v>8290.3531390124972</v>
      </c>
      <c r="H3564">
        <v>52.92</v>
      </c>
      <c r="I3564" s="1">
        <v>197.95999999999998</v>
      </c>
      <c r="J3564" s="16">
        <v>144700.99218500635</v>
      </c>
      <c r="K3564" s="5">
        <v>0.21942635215832512</v>
      </c>
      <c r="L3564" s="10">
        <v>1122315.1861</v>
      </c>
    </row>
    <row r="3565" spans="1:12" x14ac:dyDescent="0.25">
      <c r="A3565">
        <v>3564</v>
      </c>
      <c r="B3565" s="3">
        <v>0.17561459521394124</v>
      </c>
      <c r="C3565" s="3">
        <v>6.4030721045270841E-2</v>
      </c>
      <c r="D3565" s="1">
        <v>216237.49903973212</v>
      </c>
      <c r="E3565" s="1">
        <v>10628759</v>
      </c>
      <c r="F3565" s="1">
        <v>44743562</v>
      </c>
      <c r="G3565" s="16">
        <v>27961.183478514879</v>
      </c>
      <c r="H3565">
        <v>162.37</v>
      </c>
      <c r="I3565" s="1">
        <v>527.45000000000005</v>
      </c>
      <c r="J3565" s="16">
        <v>244198.68251824699</v>
      </c>
      <c r="K3565" s="5">
        <v>0.19264076027268123</v>
      </c>
      <c r="L3565" s="10">
        <v>497150.41090000002</v>
      </c>
    </row>
    <row r="3566" spans="1:12" x14ac:dyDescent="0.25">
      <c r="A3566">
        <v>3565</v>
      </c>
      <c r="B3566" s="3">
        <v>0.103718528876759</v>
      </c>
      <c r="C3566" s="3">
        <v>6.721274351077397E-2</v>
      </c>
      <c r="D3566" s="1">
        <v>380731.52823884739</v>
      </c>
      <c r="E3566" s="1">
        <v>11041903</v>
      </c>
      <c r="F3566" s="1">
        <v>38632438</v>
      </c>
      <c r="G3566" s="16">
        <v>26615.800642354443</v>
      </c>
      <c r="H3566">
        <v>77.11</v>
      </c>
      <c r="I3566" s="1">
        <v>243.97000000000003</v>
      </c>
      <c r="J3566" s="16">
        <v>407347.3288812018</v>
      </c>
      <c r="K3566" s="5">
        <v>0.17353887999745765</v>
      </c>
      <c r="L3566" s="10">
        <v>700962.50309999997</v>
      </c>
    </row>
    <row r="3567" spans="1:12" x14ac:dyDescent="0.25">
      <c r="A3567">
        <v>3566</v>
      </c>
      <c r="B3567" s="3">
        <v>0.16948456740186746</v>
      </c>
      <c r="C3567" s="3">
        <v>4.625797925776854E-2</v>
      </c>
      <c r="D3567" s="1">
        <v>141550.24774543132</v>
      </c>
      <c r="E3567" s="1">
        <v>5568305</v>
      </c>
      <c r="F3567" s="1">
        <v>33586482</v>
      </c>
      <c r="G3567" s="16">
        <v>60425.680190839092</v>
      </c>
      <c r="H3567">
        <v>483.42</v>
      </c>
      <c r="I3567" s="1">
        <v>1555.77</v>
      </c>
      <c r="J3567" s="16">
        <v>201975.92793627043</v>
      </c>
      <c r="K3567" s="5">
        <v>8.5300228824289503E-2</v>
      </c>
      <c r="L3567" s="10">
        <v>329718.02610000002</v>
      </c>
    </row>
    <row r="3568" spans="1:12" x14ac:dyDescent="0.25">
      <c r="A3568">
        <v>3567</v>
      </c>
      <c r="B3568" s="3">
        <v>0.14805104267930602</v>
      </c>
      <c r="C3568" s="3">
        <v>6.1183728160399853E-2</v>
      </c>
      <c r="D3568" s="1">
        <v>255746.60751817373</v>
      </c>
      <c r="E3568" s="1">
        <v>9085694</v>
      </c>
      <c r="F3568" s="1">
        <v>34263128</v>
      </c>
      <c r="G3568" s="16">
        <v>31971.244896204938</v>
      </c>
      <c r="H3568">
        <v>125.64</v>
      </c>
      <c r="I3568" s="1">
        <v>374.83000000000004</v>
      </c>
      <c r="J3568" s="16">
        <v>287717.85241437866</v>
      </c>
      <c r="K3568" s="5">
        <v>0.10754861451287095</v>
      </c>
      <c r="L3568" s="10">
        <v>341018.43699999998</v>
      </c>
    </row>
    <row r="3569" spans="1:12" x14ac:dyDescent="0.25">
      <c r="A3569">
        <v>3568</v>
      </c>
      <c r="B3569" s="3">
        <v>0.10904622439048091</v>
      </c>
      <c r="C3569" s="3">
        <v>5.1238900319470801E-2</v>
      </c>
      <c r="D3569" s="1">
        <v>406233.57251195505</v>
      </c>
      <c r="E3569" s="1">
        <v>13542619</v>
      </c>
      <c r="F3569" s="1">
        <v>51112486</v>
      </c>
      <c r="G3569" s="16">
        <v>36340.89852874913</v>
      </c>
      <c r="H3569">
        <v>109.37</v>
      </c>
      <c r="I3569" s="1">
        <v>380.90999999999997</v>
      </c>
      <c r="J3569" s="16">
        <v>442574.47104070417</v>
      </c>
      <c r="K3569" s="5">
        <v>0.11765957852509662</v>
      </c>
      <c r="L3569" s="10">
        <v>783088.96039999998</v>
      </c>
    </row>
    <row r="3570" spans="1:12" x14ac:dyDescent="0.25">
      <c r="A3570">
        <v>3569</v>
      </c>
      <c r="B3570" s="3">
        <v>0.11302699279730456</v>
      </c>
      <c r="C3570" s="3">
        <v>7.5970749456914247E-2</v>
      </c>
      <c r="D3570" s="1">
        <v>83092.924504808805</v>
      </c>
      <c r="E3570" s="1">
        <v>2512610</v>
      </c>
      <c r="F3570" s="1">
        <v>23593400</v>
      </c>
      <c r="G3570" s="16">
        <v>54217.468533000545</v>
      </c>
      <c r="H3570">
        <v>189</v>
      </c>
      <c r="I3570" s="1">
        <v>528.56999999999994</v>
      </c>
      <c r="J3570" s="16">
        <v>137310.39303780935</v>
      </c>
      <c r="K3570" s="5">
        <v>0.14093062189308966</v>
      </c>
      <c r="L3570" s="10">
        <v>231269.35949999999</v>
      </c>
    </row>
    <row r="3571" spans="1:12" x14ac:dyDescent="0.25">
      <c r="A3571">
        <v>3570</v>
      </c>
      <c r="B3571" s="3">
        <v>0.12509232536841886</v>
      </c>
      <c r="C3571" s="3">
        <v>2.5917442306088841E-2</v>
      </c>
      <c r="D3571" s="1">
        <v>279781.26802019699</v>
      </c>
      <c r="E3571" s="1">
        <v>8936607</v>
      </c>
      <c r="F3571" s="1">
        <v>28528403</v>
      </c>
      <c r="G3571" s="16">
        <v>38731.40150451949</v>
      </c>
      <c r="H3571">
        <v>148.56</v>
      </c>
      <c r="I3571" s="1">
        <v>582.51</v>
      </c>
      <c r="J3571" s="16">
        <v>318512.6695247165</v>
      </c>
      <c r="K3571" s="5">
        <v>0.13729227438443176</v>
      </c>
      <c r="L3571" s="10">
        <v>1436166.9720000001</v>
      </c>
    </row>
    <row r="3572" spans="1:12" x14ac:dyDescent="0.25">
      <c r="A3572">
        <v>3571</v>
      </c>
      <c r="B3572" s="3">
        <v>0.19423193655137555</v>
      </c>
      <c r="C3572" s="3">
        <v>3.7673031252748623E-2</v>
      </c>
      <c r="D3572" s="1">
        <v>79473.25324863907</v>
      </c>
      <c r="E3572" s="1">
        <v>2843111</v>
      </c>
      <c r="F3572" s="1">
        <v>17542803</v>
      </c>
      <c r="G3572" s="16">
        <v>44075.326976782431</v>
      </c>
      <c r="H3572">
        <v>300.49</v>
      </c>
      <c r="I3572" s="1">
        <v>759.51</v>
      </c>
      <c r="J3572" s="16">
        <v>123548.58022542149</v>
      </c>
      <c r="K3572" s="5">
        <v>7.1745879216104383E-2</v>
      </c>
      <c r="L3572" s="10">
        <v>204964.40479999999</v>
      </c>
    </row>
    <row r="3573" spans="1:12" x14ac:dyDescent="0.25">
      <c r="A3573">
        <v>3572</v>
      </c>
      <c r="B3573" s="3">
        <v>0.1445974889882225</v>
      </c>
      <c r="C3573" s="3">
        <v>6.065150117163777E-2</v>
      </c>
      <c r="D3573" s="1">
        <v>57948.161337189747</v>
      </c>
      <c r="E3573" s="1">
        <v>1732731</v>
      </c>
      <c r="F3573" s="1">
        <v>11020031</v>
      </c>
      <c r="G3573" s="16">
        <v>104070.52604799504</v>
      </c>
      <c r="H3573">
        <v>545.97</v>
      </c>
      <c r="I3573" s="1">
        <v>1153.79</v>
      </c>
      <c r="J3573" s="16">
        <v>162018.68738518478</v>
      </c>
      <c r="K3573" s="5">
        <v>0.26175296662542979</v>
      </c>
      <c r="L3573" s="10">
        <v>492541.17300000001</v>
      </c>
    </row>
    <row r="3574" spans="1:12" x14ac:dyDescent="0.25">
      <c r="A3574">
        <v>3573</v>
      </c>
      <c r="B3574" s="3">
        <v>0.18276451719055842</v>
      </c>
      <c r="C3574" s="3">
        <v>3.2852346636111696E-2</v>
      </c>
      <c r="D3574" s="1">
        <v>132422.0386542849</v>
      </c>
      <c r="E3574" s="1">
        <v>5556149</v>
      </c>
      <c r="F3574" s="1">
        <v>21625924</v>
      </c>
      <c r="G3574" s="16">
        <v>29996.365667873612</v>
      </c>
      <c r="H3574">
        <v>185.29</v>
      </c>
      <c r="I3574" s="1">
        <v>466.53</v>
      </c>
      <c r="J3574" s="16">
        <v>162418.40432215852</v>
      </c>
      <c r="K3574" s="5">
        <v>1.8719735220883264E-2</v>
      </c>
      <c r="L3574" s="10">
        <v>116065.1553</v>
      </c>
    </row>
    <row r="3575" spans="1:12" x14ac:dyDescent="0.25">
      <c r="A3575">
        <v>3574</v>
      </c>
      <c r="B3575" s="3">
        <v>0.17004333359922066</v>
      </c>
      <c r="C3575" s="3">
        <v>7.4239954887438037E-2</v>
      </c>
      <c r="D3575" s="1">
        <v>163606.49037203359</v>
      </c>
      <c r="E3575" s="1">
        <v>6453305</v>
      </c>
      <c r="F3575" s="1">
        <v>24941023</v>
      </c>
      <c r="G3575" s="16">
        <v>35265.743431328265</v>
      </c>
      <c r="H3575">
        <v>195.33</v>
      </c>
      <c r="I3575" s="1">
        <v>589.73</v>
      </c>
      <c r="J3575" s="16">
        <v>198872.23380336186</v>
      </c>
      <c r="K3575" s="5">
        <v>0.10508971689693226</v>
      </c>
      <c r="L3575" s="10">
        <v>194409.4584</v>
      </c>
    </row>
    <row r="3576" spans="1:12" x14ac:dyDescent="0.25">
      <c r="A3576">
        <v>3575</v>
      </c>
      <c r="B3576" s="3">
        <v>0.16316040150026989</v>
      </c>
      <c r="C3576" s="3">
        <v>6.083036209954619E-2</v>
      </c>
      <c r="D3576" s="1">
        <v>137697.55481431371</v>
      </c>
      <c r="E3576" s="1">
        <v>5254852</v>
      </c>
      <c r="F3576" s="1">
        <v>22256140</v>
      </c>
      <c r="G3576" s="16">
        <v>36131.275329713848</v>
      </c>
      <c r="H3576">
        <v>189.19</v>
      </c>
      <c r="I3576" s="1">
        <v>481.96999999999997</v>
      </c>
      <c r="J3576" s="16">
        <v>173828.83014402757</v>
      </c>
      <c r="K3576" s="5">
        <v>9.7575634633972966E-2</v>
      </c>
      <c r="L3576" s="10">
        <v>199578.23069999999</v>
      </c>
    </row>
    <row r="3577" spans="1:12" x14ac:dyDescent="0.25">
      <c r="A3577">
        <v>3576</v>
      </c>
      <c r="B3577" s="3">
        <v>0.14272410475395803</v>
      </c>
      <c r="C3577" s="3">
        <v>4.6064342332797992E-2</v>
      </c>
      <c r="D3577" s="1">
        <v>156202.80749945116</v>
      </c>
      <c r="E3577" s="1">
        <v>5412642</v>
      </c>
      <c r="F3577" s="1">
        <v>29685631</v>
      </c>
      <c r="G3577" s="16">
        <v>60555.082756546304</v>
      </c>
      <c r="H3577">
        <v>267.49</v>
      </c>
      <c r="I3577" s="1">
        <v>698.58</v>
      </c>
      <c r="J3577" s="16">
        <v>216757.89025599745</v>
      </c>
      <c r="K3577" s="5">
        <v>5.4322817516894509E-2</v>
      </c>
      <c r="L3577" s="10">
        <v>225150.554</v>
      </c>
    </row>
    <row r="3578" spans="1:12" x14ac:dyDescent="0.25">
      <c r="A3578">
        <v>3577</v>
      </c>
      <c r="B3578" s="3">
        <v>0.2075839192952838</v>
      </c>
      <c r="C3578" s="3">
        <v>6.5954098718410611E-2</v>
      </c>
      <c r="D3578" s="1">
        <v>90154.152230681007</v>
      </c>
      <c r="E3578" s="1">
        <v>4279325</v>
      </c>
      <c r="F3578" s="1">
        <v>26773268</v>
      </c>
      <c r="G3578" s="16">
        <v>39213.748903796703</v>
      </c>
      <c r="H3578">
        <v>379.33</v>
      </c>
      <c r="I3578" s="1">
        <v>992.78</v>
      </c>
      <c r="J3578" s="16">
        <v>129367.90113447771</v>
      </c>
      <c r="K3578" s="5">
        <v>7.3125037391168657E-2</v>
      </c>
      <c r="L3578" s="10">
        <v>118790.79640000001</v>
      </c>
    </row>
    <row r="3579" spans="1:12" x14ac:dyDescent="0.25">
      <c r="A3579">
        <v>3578</v>
      </c>
      <c r="B3579" s="3">
        <v>0.19517806120263809</v>
      </c>
      <c r="C3579" s="3">
        <v>5.2358422163646029E-2</v>
      </c>
      <c r="D3579" s="1">
        <v>133140.97262092237</v>
      </c>
      <c r="E3579" s="1">
        <v>5939029</v>
      </c>
      <c r="F3579" s="1">
        <v>24403375</v>
      </c>
      <c r="G3579" s="16">
        <v>48986.056223673389</v>
      </c>
      <c r="H3579">
        <v>336.87</v>
      </c>
      <c r="I3579" s="1">
        <v>745.05</v>
      </c>
      <c r="J3579" s="16">
        <v>182127.02884459577</v>
      </c>
      <c r="K3579" s="5">
        <v>0.3042996083443133</v>
      </c>
      <c r="L3579" s="10">
        <v>767281.59950000001</v>
      </c>
    </row>
    <row r="3580" spans="1:12" x14ac:dyDescent="0.25">
      <c r="A3580">
        <v>3579</v>
      </c>
      <c r="B3580" s="3">
        <v>0.19436153664676997</v>
      </c>
      <c r="C3580" s="3">
        <v>7.6323382506297707E-2</v>
      </c>
      <c r="D3580" s="1">
        <v>144978.40977026155</v>
      </c>
      <c r="E3580" s="1">
        <v>6440881</v>
      </c>
      <c r="F3580" s="1">
        <v>22884705</v>
      </c>
      <c r="G3580" s="16">
        <v>11620.646217342262</v>
      </c>
      <c r="H3580">
        <v>51.56</v>
      </c>
      <c r="I3580" s="1">
        <v>156.54000000000002</v>
      </c>
      <c r="J3580" s="16">
        <v>156599.05598760382</v>
      </c>
      <c r="K3580" s="5">
        <v>0.15705205722946716</v>
      </c>
      <c r="L3580" s="10">
        <v>207307.18590000001</v>
      </c>
    </row>
    <row r="3581" spans="1:12" x14ac:dyDescent="0.25">
      <c r="A3581">
        <v>3580</v>
      </c>
      <c r="B3581" s="3">
        <v>0.19416125866292708</v>
      </c>
      <c r="C3581" s="3">
        <v>7.4692193408395197E-2</v>
      </c>
      <c r="D3581" s="1">
        <v>218633.18222891586</v>
      </c>
      <c r="E3581" s="1">
        <v>9703451</v>
      </c>
      <c r="F3581" s="1">
        <v>36300515</v>
      </c>
      <c r="G3581" s="16">
        <v>20459.902626365376</v>
      </c>
      <c r="H3581">
        <v>139.54</v>
      </c>
      <c r="I3581" s="1">
        <v>463.68999999999994</v>
      </c>
      <c r="J3581" s="16">
        <v>239093.08485528122</v>
      </c>
      <c r="K3581" s="5">
        <v>0.10067718636041509</v>
      </c>
      <c r="L3581" s="10">
        <v>212448.75080000001</v>
      </c>
    </row>
    <row r="3582" spans="1:12" x14ac:dyDescent="0.25">
      <c r="A3582">
        <v>3581</v>
      </c>
      <c r="B3582" s="3">
        <v>0.12270878685459372</v>
      </c>
      <c r="C3582" s="3">
        <v>5.8057083046560529E-2</v>
      </c>
      <c r="D3582" s="1">
        <v>168909.51697824348</v>
      </c>
      <c r="E3582" s="1">
        <v>4681940</v>
      </c>
      <c r="F3582" s="1">
        <v>18921829</v>
      </c>
      <c r="G3582" s="16">
        <v>140252.90985370963</v>
      </c>
      <c r="H3582">
        <v>685.48</v>
      </c>
      <c r="I3582" s="1">
        <v>1549.45</v>
      </c>
      <c r="J3582" s="16">
        <v>309162.42683195311</v>
      </c>
      <c r="K3582" s="5">
        <v>6.6186773654157871E-2</v>
      </c>
      <c r="L3582" s="10">
        <v>256831.8941</v>
      </c>
    </row>
    <row r="3583" spans="1:12" x14ac:dyDescent="0.25">
      <c r="A3583">
        <v>3582</v>
      </c>
      <c r="B3583" s="3">
        <v>0.11248216836156578</v>
      </c>
      <c r="C3583" s="3">
        <v>3.0583875903808878E-2</v>
      </c>
      <c r="D3583" s="1">
        <v>57699.141011903776</v>
      </c>
      <c r="E3583" s="1">
        <v>1544686</v>
      </c>
      <c r="F3583" s="1">
        <v>10807808</v>
      </c>
      <c r="G3583" s="16">
        <v>35719.563894728286</v>
      </c>
      <c r="H3583">
        <v>109.94</v>
      </c>
      <c r="I3583" s="1">
        <v>370.08</v>
      </c>
      <c r="J3583" s="16">
        <v>93418.704906632061</v>
      </c>
      <c r="K3583" s="5">
        <v>2.0667922972159785E-2</v>
      </c>
      <c r="L3583" s="10">
        <v>73144.065300000002</v>
      </c>
    </row>
    <row r="3584" spans="1:12" x14ac:dyDescent="0.25">
      <c r="A3584">
        <v>3583</v>
      </c>
      <c r="B3584" s="3">
        <v>0.23059357356078888</v>
      </c>
      <c r="C3584" s="3">
        <v>4.8211252039871894E-2</v>
      </c>
      <c r="D3584" s="1">
        <v>114446.95669771306</v>
      </c>
      <c r="E3584" s="1">
        <v>4702620</v>
      </c>
      <c r="F3584" s="1">
        <v>20335520</v>
      </c>
      <c r="G3584" s="16">
        <v>18191.865985110955</v>
      </c>
      <c r="H3584">
        <v>171.52</v>
      </c>
      <c r="I3584" s="1">
        <v>487.43999999999994</v>
      </c>
      <c r="J3584" s="16">
        <v>132638.82268282401</v>
      </c>
      <c r="K3584" s="5">
        <v>3.154351936381268E-2</v>
      </c>
      <c r="L3584" s="10">
        <v>87487.560800000007</v>
      </c>
    </row>
    <row r="3585" spans="1:12" x14ac:dyDescent="0.25">
      <c r="A3585">
        <v>3584</v>
      </c>
      <c r="B3585" s="3">
        <v>0.19547800116071071</v>
      </c>
      <c r="C3585" s="3">
        <v>4.5772732015703171E-2</v>
      </c>
      <c r="D3585" s="1">
        <v>73573.30778873591</v>
      </c>
      <c r="E3585" s="1">
        <v>3286788</v>
      </c>
      <c r="F3585" s="1">
        <v>21863641</v>
      </c>
      <c r="G3585" s="16">
        <v>18563.741566306791</v>
      </c>
      <c r="H3585">
        <v>128.04</v>
      </c>
      <c r="I3585" s="1">
        <v>407.15</v>
      </c>
      <c r="J3585" s="16">
        <v>92137.049355042705</v>
      </c>
      <c r="K3585" s="5">
        <v>-8.2993430305178632E-3</v>
      </c>
      <c r="L3585" s="10">
        <v>5128.3892999999998</v>
      </c>
    </row>
    <row r="3586" spans="1:12" x14ac:dyDescent="0.25">
      <c r="A3586">
        <v>3585</v>
      </c>
      <c r="B3586" s="3">
        <v>0.19268720693463914</v>
      </c>
      <c r="C3586" s="3">
        <v>2.3852531866601703E-2</v>
      </c>
      <c r="D3586" s="1">
        <v>80397.575203473709</v>
      </c>
      <c r="E3586" s="1">
        <v>2859701</v>
      </c>
      <c r="F3586" s="1">
        <v>14355617</v>
      </c>
      <c r="G3586" s="16">
        <v>17821.266148849812</v>
      </c>
      <c r="H3586">
        <v>119.94</v>
      </c>
      <c r="I3586" s="1">
        <v>493.03000000000003</v>
      </c>
      <c r="J3586" s="16">
        <v>98218.841352323521</v>
      </c>
      <c r="K3586" s="5">
        <v>0.24792637248057908</v>
      </c>
      <c r="L3586" s="10">
        <v>885149.73829999997</v>
      </c>
    </row>
    <row r="3587" spans="1:12" x14ac:dyDescent="0.25">
      <c r="A3587">
        <v>3586</v>
      </c>
      <c r="B3587" s="3">
        <v>0.22969324194741292</v>
      </c>
      <c r="C3587" s="3">
        <v>3.1248198300980596E-2</v>
      </c>
      <c r="D3587" s="1">
        <v>214426.64330710462</v>
      </c>
      <c r="E3587" s="1">
        <v>11397950</v>
      </c>
      <c r="F3587" s="1">
        <v>42358261</v>
      </c>
      <c r="G3587" s="16">
        <v>13075.674438705157</v>
      </c>
      <c r="H3587">
        <v>94.25</v>
      </c>
      <c r="I3587" s="1">
        <v>273.28999999999996</v>
      </c>
      <c r="J3587" s="16">
        <v>227502.31774580976</v>
      </c>
      <c r="K3587" s="5">
        <v>2.5901220148943978E-2</v>
      </c>
      <c r="L3587" s="10">
        <v>180795.17970000001</v>
      </c>
    </row>
    <row r="3588" spans="1:12" x14ac:dyDescent="0.25">
      <c r="A3588">
        <v>3587</v>
      </c>
      <c r="B3588" s="3">
        <v>0.16620212237363613</v>
      </c>
      <c r="C3588" s="3">
        <v>5.4620065360043615E-2</v>
      </c>
      <c r="D3588" s="1">
        <v>176086.03954056167</v>
      </c>
      <c r="E3588" s="1">
        <v>6818430</v>
      </c>
      <c r="F3588" s="1">
        <v>38832097</v>
      </c>
      <c r="G3588" s="16">
        <v>20696.587368645978</v>
      </c>
      <c r="H3588">
        <v>111.09</v>
      </c>
      <c r="I3588" s="1">
        <v>403.73</v>
      </c>
      <c r="J3588" s="16">
        <v>196782.62690920764</v>
      </c>
      <c r="K3588" s="5">
        <v>0.22220325831065937</v>
      </c>
      <c r="L3588" s="10">
        <v>604759.91379999998</v>
      </c>
    </row>
    <row r="3589" spans="1:12" x14ac:dyDescent="0.25">
      <c r="A3589">
        <v>3588</v>
      </c>
      <c r="B3589" s="3">
        <v>0.10117035460437586</v>
      </c>
      <c r="C3589" s="3">
        <v>2.5940911778399054E-2</v>
      </c>
      <c r="D3589" s="1">
        <v>136082.6657859149</v>
      </c>
      <c r="E3589" s="1">
        <v>3902080</v>
      </c>
      <c r="F3589" s="1">
        <v>22516916</v>
      </c>
      <c r="G3589" s="16">
        <v>65221.656683775931</v>
      </c>
      <c r="H3589">
        <v>206.87</v>
      </c>
      <c r="I3589" s="1">
        <v>569.86</v>
      </c>
      <c r="J3589" s="16">
        <v>201304.32246969081</v>
      </c>
      <c r="K3589" s="5">
        <v>4.2384310852615986E-2</v>
      </c>
      <c r="L3589" s="10">
        <v>312188.92050000001</v>
      </c>
    </row>
    <row r="3590" spans="1:12" x14ac:dyDescent="0.25">
      <c r="A3590">
        <v>3589</v>
      </c>
      <c r="B3590" s="3">
        <v>0.11320196733261768</v>
      </c>
      <c r="C3590" s="3">
        <v>7.8855224607511348E-2</v>
      </c>
      <c r="D3590" s="1">
        <v>235448.93786340934</v>
      </c>
      <c r="E3590" s="1">
        <v>7125269</v>
      </c>
      <c r="F3590" s="1">
        <v>29059198</v>
      </c>
      <c r="G3590" s="16">
        <v>77443.904148166825</v>
      </c>
      <c r="H3590">
        <v>304.58999999999997</v>
      </c>
      <c r="I3590" s="1">
        <v>793.37</v>
      </c>
      <c r="J3590" s="16">
        <v>312892.84201157617</v>
      </c>
      <c r="K3590" s="5">
        <v>7.4577967179606866E-2</v>
      </c>
      <c r="L3590" s="10">
        <v>186399.00409999999</v>
      </c>
    </row>
    <row r="3591" spans="1:12" x14ac:dyDescent="0.25">
      <c r="A3591">
        <v>3590</v>
      </c>
      <c r="B3591" s="3">
        <v>0.24105699284648399</v>
      </c>
      <c r="C3591" s="3">
        <v>5.2692844803576999E-2</v>
      </c>
      <c r="D3591" s="1">
        <v>85344.228847357459</v>
      </c>
      <c r="E3591" s="1">
        <v>4814381</v>
      </c>
      <c r="F3591" s="1">
        <v>22407930</v>
      </c>
      <c r="G3591" s="16">
        <v>24822.322053271517</v>
      </c>
      <c r="H3591">
        <v>257.89</v>
      </c>
      <c r="I3591" s="1">
        <v>665.99</v>
      </c>
      <c r="J3591" s="16">
        <v>110166.55090062898</v>
      </c>
      <c r="K3591" s="5">
        <v>0.1326756200993256</v>
      </c>
      <c r="L3591" s="10">
        <v>227006.291</v>
      </c>
    </row>
    <row r="3592" spans="1:12" x14ac:dyDescent="0.25">
      <c r="A3592">
        <v>3591</v>
      </c>
      <c r="B3592" s="3">
        <v>0.23737434017440931</v>
      </c>
      <c r="C3592" s="3">
        <v>4.3868424536240437E-2</v>
      </c>
      <c r="D3592" s="1">
        <v>152386.73287680189</v>
      </c>
      <c r="E3592" s="1">
        <v>8431490</v>
      </c>
      <c r="F3592" s="1">
        <v>39086049</v>
      </c>
      <c r="G3592" s="16">
        <v>10065.613843382693</v>
      </c>
      <c r="H3592">
        <v>76.930000000000007</v>
      </c>
      <c r="I3592" s="1">
        <v>236.46</v>
      </c>
      <c r="J3592" s="16">
        <v>162452.34672018458</v>
      </c>
      <c r="K3592" s="5">
        <v>0.19439639501127259</v>
      </c>
      <c r="L3592" s="10">
        <v>569751.91119999997</v>
      </c>
    </row>
    <row r="3593" spans="1:12" x14ac:dyDescent="0.25">
      <c r="A3593">
        <v>3592</v>
      </c>
      <c r="B3593" s="3">
        <v>0.2196094167959069</v>
      </c>
      <c r="C3593" s="3">
        <v>5.1308034839895683E-2</v>
      </c>
      <c r="D3593" s="1">
        <v>76547.278218780208</v>
      </c>
      <c r="E3593" s="1">
        <v>3014366</v>
      </c>
      <c r="F3593" s="1">
        <v>18929460</v>
      </c>
      <c r="G3593" s="16">
        <v>13260.958679448542</v>
      </c>
      <c r="H3593">
        <v>88.1</v>
      </c>
      <c r="I3593" s="1">
        <v>277.49</v>
      </c>
      <c r="J3593" s="16">
        <v>89808.236898228744</v>
      </c>
      <c r="K3593" s="5">
        <v>0.19555628721454704</v>
      </c>
      <c r="L3593" s="10">
        <v>267699.70809999999</v>
      </c>
    </row>
    <row r="3594" spans="1:12" x14ac:dyDescent="0.25">
      <c r="A3594">
        <v>3593</v>
      </c>
      <c r="B3594" s="3">
        <v>0.23896221179826713</v>
      </c>
      <c r="C3594" s="3">
        <v>4.2212557041101967E-2</v>
      </c>
      <c r="D3594" s="1">
        <v>31521.820349286514</v>
      </c>
      <c r="E3594" s="1">
        <v>1338429</v>
      </c>
      <c r="F3594" s="1">
        <v>12463703</v>
      </c>
      <c r="G3594" s="16">
        <v>23220.036570325665</v>
      </c>
      <c r="H3594">
        <v>310.98</v>
      </c>
      <c r="I3594" s="1">
        <v>786.09</v>
      </c>
      <c r="J3594" s="16">
        <v>54741.856919612183</v>
      </c>
      <c r="K3594" s="5">
        <v>0.1648618190103219</v>
      </c>
      <c r="L3594" s="10">
        <v>189471.43169999999</v>
      </c>
    </row>
    <row r="3595" spans="1:12" x14ac:dyDescent="0.25">
      <c r="A3595">
        <v>3594</v>
      </c>
      <c r="B3595" s="3">
        <v>0.24664757732152623</v>
      </c>
      <c r="C3595" s="3">
        <v>4.3128705952491249E-2</v>
      </c>
      <c r="D3595" s="1">
        <v>85781.773694617121</v>
      </c>
      <c r="E3595" s="1">
        <v>4984311</v>
      </c>
      <c r="F3595" s="1">
        <v>22312915</v>
      </c>
      <c r="G3595" s="16">
        <v>6308.4689451590393</v>
      </c>
      <c r="H3595">
        <v>39.17</v>
      </c>
      <c r="I3595" s="1">
        <v>152.19</v>
      </c>
      <c r="J3595" s="16">
        <v>92090.242639776159</v>
      </c>
      <c r="K3595" s="5">
        <v>0.31089501371163236</v>
      </c>
      <c r="L3595" s="10">
        <v>518523.09110000002</v>
      </c>
    </row>
    <row r="3596" spans="1:12" x14ac:dyDescent="0.25">
      <c r="A3596">
        <v>3595</v>
      </c>
      <c r="B3596" s="3">
        <v>0.22859533168455839</v>
      </c>
      <c r="C3596" s="3">
        <v>4.0656708676675431E-2</v>
      </c>
      <c r="D3596" s="1">
        <v>94158.207777824267</v>
      </c>
      <c r="E3596" s="1">
        <v>4976586</v>
      </c>
      <c r="F3596" s="1">
        <v>26382950</v>
      </c>
      <c r="G3596" s="16">
        <v>52753.824418323835</v>
      </c>
      <c r="H3596">
        <v>633.55999999999995</v>
      </c>
      <c r="I3596" s="1">
        <v>1534.53</v>
      </c>
      <c r="J3596" s="16">
        <v>146912.03219614809</v>
      </c>
      <c r="K3596" s="5">
        <v>1.3173637590966014E-2</v>
      </c>
      <c r="L3596" s="10">
        <v>34330.916100000002</v>
      </c>
    </row>
    <row r="3597" spans="1:12" x14ac:dyDescent="0.25">
      <c r="A3597">
        <v>3596</v>
      </c>
      <c r="B3597" s="3">
        <v>0.12024373143566386</v>
      </c>
      <c r="C3597" s="3">
        <v>6.6477870264210592E-2</v>
      </c>
      <c r="D3597" s="1">
        <v>162126.03043230288</v>
      </c>
      <c r="E3597" s="1">
        <v>5065308</v>
      </c>
      <c r="F3597" s="1">
        <v>34044751</v>
      </c>
      <c r="G3597" s="16">
        <v>76203.432084602187</v>
      </c>
      <c r="H3597">
        <v>280.99</v>
      </c>
      <c r="I3597" s="1">
        <v>711.15</v>
      </c>
      <c r="J3597" s="16">
        <v>238329.46251690507</v>
      </c>
      <c r="K3597" s="5">
        <v>2.3110771005559694E-2</v>
      </c>
      <c r="L3597" s="10">
        <v>112111.98970000001</v>
      </c>
    </row>
    <row r="3598" spans="1:12" x14ac:dyDescent="0.25">
      <c r="A3598">
        <v>3597</v>
      </c>
      <c r="B3598" s="3">
        <v>0.18275112559049472</v>
      </c>
      <c r="C3598" s="3">
        <v>7.052473365685466E-2</v>
      </c>
      <c r="D3598" s="1">
        <v>48023.808960702845</v>
      </c>
      <c r="E3598" s="1">
        <v>1646630</v>
      </c>
      <c r="F3598" s="1">
        <v>11764527</v>
      </c>
      <c r="G3598" s="16">
        <v>21407.422762544498</v>
      </c>
      <c r="H3598">
        <v>107.98</v>
      </c>
      <c r="I3598" s="1">
        <v>329.37</v>
      </c>
      <c r="J3598" s="16">
        <v>69431.231723247343</v>
      </c>
      <c r="K3598" s="5">
        <v>0.23951398037847468</v>
      </c>
      <c r="L3598" s="10">
        <v>173561.57699999999</v>
      </c>
    </row>
    <row r="3599" spans="1:12" x14ac:dyDescent="0.25">
      <c r="A3599">
        <v>3598</v>
      </c>
      <c r="B3599" s="3">
        <v>0.13644854890381136</v>
      </c>
      <c r="C3599" s="3">
        <v>6.4225295361979878E-2</v>
      </c>
      <c r="D3599" s="1">
        <v>229136.08160117181</v>
      </c>
      <c r="E3599" s="1">
        <v>7711571</v>
      </c>
      <c r="F3599" s="1">
        <v>35766123</v>
      </c>
      <c r="G3599" s="16">
        <v>21974.555455514917</v>
      </c>
      <c r="H3599">
        <v>79.77</v>
      </c>
      <c r="I3599" s="1">
        <v>294.77</v>
      </c>
      <c r="J3599" s="16">
        <v>251110.63705668674</v>
      </c>
      <c r="K3599" s="5">
        <v>0.12813208286508287</v>
      </c>
      <c r="L3599" s="10">
        <v>388087.29070000001</v>
      </c>
    </row>
    <row r="3600" spans="1:12" x14ac:dyDescent="0.25">
      <c r="A3600">
        <v>3599</v>
      </c>
      <c r="B3600" s="3">
        <v>0.18383620578884136</v>
      </c>
      <c r="C3600" s="3">
        <v>6.723333190240767E-2</v>
      </c>
      <c r="D3600" s="1">
        <v>74576.668720314687</v>
      </c>
      <c r="E3600" s="1">
        <v>2567280</v>
      </c>
      <c r="F3600" s="1">
        <v>14242086</v>
      </c>
      <c r="G3600" s="16">
        <v>25155.838709633779</v>
      </c>
      <c r="H3600">
        <v>156.81</v>
      </c>
      <c r="I3600" s="1">
        <v>430.00000000000006</v>
      </c>
      <c r="J3600" s="16">
        <v>99732.50742994847</v>
      </c>
      <c r="K3600" s="5">
        <v>0.15883513281756689</v>
      </c>
      <c r="L3600" s="10">
        <v>161146.6053</v>
      </c>
    </row>
    <row r="3601" spans="1:12" x14ac:dyDescent="0.25">
      <c r="A3601">
        <v>3600</v>
      </c>
      <c r="B3601" s="3">
        <v>0.1808403609385183</v>
      </c>
      <c r="C3601" s="3">
        <v>7.4010370609951123E-2</v>
      </c>
      <c r="D3601" s="1">
        <v>200450.94505913716</v>
      </c>
      <c r="E3601" s="1">
        <v>8331776</v>
      </c>
      <c r="F3601" s="1">
        <v>31059845</v>
      </c>
      <c r="G3601" s="16">
        <v>33500.669197914583</v>
      </c>
      <c r="H3601">
        <v>203.45</v>
      </c>
      <c r="I3601" s="1">
        <v>539.21</v>
      </c>
      <c r="J3601" s="16">
        <v>233951.61425705173</v>
      </c>
      <c r="K3601" s="5">
        <v>0.14835689369113206</v>
      </c>
      <c r="L3601" s="10">
        <v>308462.41519999999</v>
      </c>
    </row>
    <row r="3602" spans="1:12" x14ac:dyDescent="0.25">
      <c r="A3602">
        <v>3601</v>
      </c>
      <c r="B3602" s="3">
        <v>0.20966290284454919</v>
      </c>
      <c r="C3602" s="3">
        <v>4.448703764923042E-2</v>
      </c>
      <c r="D3602" s="1">
        <v>176519.93094090308</v>
      </c>
      <c r="E3602" s="1">
        <v>8467347</v>
      </c>
      <c r="F3602" s="1">
        <v>40375339</v>
      </c>
      <c r="G3602" s="16">
        <v>13837.051090412828</v>
      </c>
      <c r="H3602">
        <v>85.41</v>
      </c>
      <c r="I3602" s="1">
        <v>315.68</v>
      </c>
      <c r="J3602" s="16">
        <v>190356.98203131591</v>
      </c>
      <c r="K3602" s="5">
        <v>0.13036389467668924</v>
      </c>
      <c r="L3602" s="10">
        <v>455165.09539999999</v>
      </c>
    </row>
    <row r="3603" spans="1:12" x14ac:dyDescent="0.25">
      <c r="A3603">
        <v>3602</v>
      </c>
      <c r="B3603" s="3">
        <v>0.1031070766787697</v>
      </c>
      <c r="C3603" s="3">
        <v>3.4606897447329074E-2</v>
      </c>
      <c r="D3603" s="1">
        <v>226742.35981416077</v>
      </c>
      <c r="E3603" s="1">
        <v>6558028</v>
      </c>
      <c r="F3603" s="1">
        <v>26592584</v>
      </c>
      <c r="G3603" s="16">
        <v>31698.904226346454</v>
      </c>
      <c r="H3603">
        <v>91.63</v>
      </c>
      <c r="I3603" s="1">
        <v>368.78000000000003</v>
      </c>
      <c r="J3603" s="16">
        <v>258441.26404050723</v>
      </c>
      <c r="K3603" s="5">
        <v>4.325007919662581E-2</v>
      </c>
      <c r="L3603" s="10">
        <v>275276.25630000001</v>
      </c>
    </row>
    <row r="3604" spans="1:12" x14ac:dyDescent="0.25">
      <c r="A3604">
        <v>3603</v>
      </c>
      <c r="B3604" s="3">
        <v>0.16688886747090498</v>
      </c>
      <c r="C3604" s="3">
        <v>6.7562199829018732E-2</v>
      </c>
      <c r="D3604" s="1">
        <v>154320.10414569447</v>
      </c>
      <c r="E3604" s="1">
        <v>4994786</v>
      </c>
      <c r="F3604" s="1">
        <v>20430739</v>
      </c>
      <c r="G3604" s="16">
        <v>31384.847885528379</v>
      </c>
      <c r="H3604">
        <v>169.66</v>
      </c>
      <c r="I3604" s="1">
        <v>522.04999999999995</v>
      </c>
      <c r="J3604" s="16">
        <v>185704.95203122284</v>
      </c>
      <c r="K3604" s="5">
        <v>6.2869321182509028E-2</v>
      </c>
      <c r="L3604" s="10">
        <v>118582.6437</v>
      </c>
    </row>
    <row r="3605" spans="1:12" x14ac:dyDescent="0.25">
      <c r="A3605">
        <v>3604</v>
      </c>
      <c r="B3605" s="3">
        <v>0.18668490354308825</v>
      </c>
      <c r="C3605" s="3">
        <v>3.637765893633068E-2</v>
      </c>
      <c r="D3605" s="1">
        <v>80069.018444235713</v>
      </c>
      <c r="E3605" s="1">
        <v>2785422</v>
      </c>
      <c r="F3605" s="1">
        <v>18800894</v>
      </c>
      <c r="G3605" s="16">
        <v>23406.186825305009</v>
      </c>
      <c r="H3605">
        <v>121.69</v>
      </c>
      <c r="I3605" s="1">
        <v>313.76</v>
      </c>
      <c r="J3605" s="16">
        <v>103475.20526954072</v>
      </c>
      <c r="K3605" s="5">
        <v>0.31134740969772634</v>
      </c>
      <c r="L3605" s="10">
        <v>744862.44810000004</v>
      </c>
    </row>
    <row r="3606" spans="1:12" x14ac:dyDescent="0.25">
      <c r="A3606">
        <v>3605</v>
      </c>
      <c r="B3606" s="3">
        <v>0.18178982740478067</v>
      </c>
      <c r="C3606" s="3">
        <v>7.9687901449480472E-2</v>
      </c>
      <c r="D3606" s="1">
        <v>221935.86185554785</v>
      </c>
      <c r="E3606" s="1">
        <v>9267685</v>
      </c>
      <c r="F3606" s="1">
        <v>35496839</v>
      </c>
      <c r="G3606" s="16">
        <v>17410.793565539523</v>
      </c>
      <c r="H3606">
        <v>87.28</v>
      </c>
      <c r="I3606" s="1">
        <v>267.74</v>
      </c>
      <c r="J3606" s="16">
        <v>239346.65542108737</v>
      </c>
      <c r="K3606" s="5">
        <v>3.6372434613633264E-2</v>
      </c>
      <c r="L3606" s="10">
        <v>72645.127900000007</v>
      </c>
    </row>
    <row r="3607" spans="1:12" x14ac:dyDescent="0.25">
      <c r="A3607">
        <v>3606</v>
      </c>
      <c r="B3607" s="3">
        <v>0.16827468018328628</v>
      </c>
      <c r="C3607" s="3">
        <v>2.7770017425460945E-2</v>
      </c>
      <c r="D3607" s="1">
        <v>201005.68065361603</v>
      </c>
      <c r="E3607" s="1">
        <v>7861251</v>
      </c>
      <c r="F3607" s="1">
        <v>38271042</v>
      </c>
      <c r="G3607" s="16">
        <v>39073.579121128038</v>
      </c>
      <c r="H3607">
        <v>213.62</v>
      </c>
      <c r="I3607" s="1">
        <v>566.99</v>
      </c>
      <c r="J3607" s="16">
        <v>240079.25977474407</v>
      </c>
      <c r="K3607" s="5">
        <v>-3.0860709287569475E-2</v>
      </c>
      <c r="L3607" s="10">
        <v>-232337.0416</v>
      </c>
    </row>
    <row r="3608" spans="1:12" x14ac:dyDescent="0.25">
      <c r="A3608">
        <v>3607</v>
      </c>
      <c r="B3608" s="3">
        <v>0.14808628608376759</v>
      </c>
      <c r="C3608" s="3">
        <v>6.2081495200318915E-2</v>
      </c>
      <c r="D3608" s="1">
        <v>81772.375272697842</v>
      </c>
      <c r="E3608" s="1">
        <v>2475273</v>
      </c>
      <c r="F3608" s="1">
        <v>14520266</v>
      </c>
      <c r="G3608" s="16">
        <v>55288.790352290511</v>
      </c>
      <c r="H3608">
        <v>255.51</v>
      </c>
      <c r="I3608" s="1">
        <v>592.46</v>
      </c>
      <c r="J3608" s="16">
        <v>137061.16562498835</v>
      </c>
      <c r="K3608" s="5">
        <v>-8.3996442738006882E-3</v>
      </c>
      <c r="L3608" s="10">
        <v>8850.4742000000006</v>
      </c>
    </row>
    <row r="3609" spans="1:12" x14ac:dyDescent="0.25">
      <c r="A3609">
        <v>3608</v>
      </c>
      <c r="B3609" s="3">
        <v>0.18079242516533028</v>
      </c>
      <c r="C3609" s="3">
        <v>7.7645060208780523E-2</v>
      </c>
      <c r="D3609" s="1">
        <v>124689.95784879639</v>
      </c>
      <c r="E3609" s="1">
        <v>5181523</v>
      </c>
      <c r="F3609" s="1">
        <v>24924299</v>
      </c>
      <c r="G3609" s="16">
        <v>15070.46875234298</v>
      </c>
      <c r="H3609">
        <v>74.92</v>
      </c>
      <c r="I3609" s="1">
        <v>300.51</v>
      </c>
      <c r="J3609" s="16">
        <v>139760.42660113936</v>
      </c>
      <c r="K3609" s="5">
        <v>-0.15196845079765436</v>
      </c>
      <c r="L3609" s="10">
        <v>-153647.45939999999</v>
      </c>
    </row>
    <row r="3610" spans="1:12" x14ac:dyDescent="0.25">
      <c r="A3610">
        <v>3609</v>
      </c>
      <c r="B3610" s="3">
        <v>0.17732889216549608</v>
      </c>
      <c r="C3610" s="3">
        <v>6.7784992364796418E-2</v>
      </c>
      <c r="D3610" s="1">
        <v>67228.392633312586</v>
      </c>
      <c r="E3610" s="1">
        <v>2259834</v>
      </c>
      <c r="F3610" s="1">
        <v>15202476</v>
      </c>
      <c r="G3610" s="16">
        <v>19358.29758085241</v>
      </c>
      <c r="H3610">
        <v>114.11</v>
      </c>
      <c r="I3610" s="1">
        <v>425.99</v>
      </c>
      <c r="J3610" s="16">
        <v>86586.690214164992</v>
      </c>
      <c r="K3610" s="5">
        <v>1.5809979472100475E-2</v>
      </c>
      <c r="L3610" s="10">
        <v>34868.582499999997</v>
      </c>
    </row>
    <row r="3611" spans="1:12" x14ac:dyDescent="0.25">
      <c r="A3611">
        <v>3610</v>
      </c>
      <c r="B3611" s="3">
        <v>0.1307233439650255</v>
      </c>
      <c r="C3611" s="3">
        <v>4.9891962921672917E-2</v>
      </c>
      <c r="D3611" s="1">
        <v>74111.596610330729</v>
      </c>
      <c r="E3611" s="1">
        <v>1835582</v>
      </c>
      <c r="F3611" s="1">
        <v>8021966</v>
      </c>
      <c r="G3611" s="16">
        <v>37444.675982454108</v>
      </c>
      <c r="H3611">
        <v>149.88999999999999</v>
      </c>
      <c r="I3611" s="1">
        <v>550.33999999999992</v>
      </c>
      <c r="J3611" s="16">
        <v>111556.27259278484</v>
      </c>
      <c r="K3611" s="5">
        <v>0.15718776583297517</v>
      </c>
      <c r="L3611" s="10">
        <v>266350.44939999998</v>
      </c>
    </row>
    <row r="3612" spans="1:12" x14ac:dyDescent="0.25">
      <c r="A3612">
        <v>3611</v>
      </c>
      <c r="B3612" s="3">
        <v>0.12994777093269216</v>
      </c>
      <c r="C3612" s="3">
        <v>4.9237890425093578E-2</v>
      </c>
      <c r="D3612" s="1">
        <v>67810.758110673589</v>
      </c>
      <c r="E3612" s="1">
        <v>1926926</v>
      </c>
      <c r="F3612" s="1">
        <v>14162698</v>
      </c>
      <c r="G3612" s="16">
        <v>13626.842924889463</v>
      </c>
      <c r="H3612">
        <v>41.19</v>
      </c>
      <c r="I3612" s="1">
        <v>123.53</v>
      </c>
      <c r="J3612" s="16">
        <v>81437.601035563057</v>
      </c>
      <c r="K3612" s="5">
        <v>0.1266355077651975</v>
      </c>
      <c r="L3612" s="10">
        <v>172285.6623</v>
      </c>
    </row>
    <row r="3613" spans="1:12" x14ac:dyDescent="0.25">
      <c r="A3613">
        <v>3612</v>
      </c>
      <c r="B3613" s="3">
        <v>0.14677938630895421</v>
      </c>
      <c r="C3613" s="3">
        <v>7.6205141274486618E-2</v>
      </c>
      <c r="D3613" s="1">
        <v>183267.80037005758</v>
      </c>
      <c r="E3613" s="1">
        <v>5522109</v>
      </c>
      <c r="F3613" s="1">
        <v>21368494</v>
      </c>
      <c r="G3613" s="16">
        <v>41686.315750777409</v>
      </c>
      <c r="H3613">
        <v>190.45</v>
      </c>
      <c r="I3613" s="1">
        <v>537.9</v>
      </c>
      <c r="J3613" s="16">
        <v>224954.11612083498</v>
      </c>
      <c r="K3613" s="5">
        <v>-9.1464771307607509E-2</v>
      </c>
      <c r="L3613" s="10">
        <v>-136547.8432</v>
      </c>
    </row>
    <row r="3614" spans="1:12" x14ac:dyDescent="0.25">
      <c r="A3614">
        <v>3613</v>
      </c>
      <c r="B3614" s="3">
        <v>0.21452600405319766</v>
      </c>
      <c r="C3614" s="3">
        <v>4.8600012107164643E-2</v>
      </c>
      <c r="D3614" s="1">
        <v>99760.055872397614</v>
      </c>
      <c r="E3614" s="1">
        <v>3852696</v>
      </c>
      <c r="F3614" s="1">
        <v>17505507</v>
      </c>
      <c r="G3614" s="16">
        <v>20110.242917195777</v>
      </c>
      <c r="H3614">
        <v>128.84</v>
      </c>
      <c r="I3614" s="1">
        <v>368.83000000000004</v>
      </c>
      <c r="J3614" s="16">
        <v>119870.29878959339</v>
      </c>
      <c r="K3614" s="5">
        <v>-3.7067851639433762E-2</v>
      </c>
      <c r="L3614" s="10">
        <v>-47054.506600000001</v>
      </c>
    </row>
    <row r="3615" spans="1:12" x14ac:dyDescent="0.25">
      <c r="A3615">
        <v>3614</v>
      </c>
      <c r="B3615" s="3">
        <v>0.24730426620239085</v>
      </c>
      <c r="C3615" s="3">
        <v>4.2399677424764227E-2</v>
      </c>
      <c r="D3615" s="1">
        <v>131664.30304386691</v>
      </c>
      <c r="E3615" s="1">
        <v>7677029</v>
      </c>
      <c r="F3615" s="1">
        <v>42449288</v>
      </c>
      <c r="G3615" s="16">
        <v>11765.22321139112</v>
      </c>
      <c r="H3615">
        <v>129.29</v>
      </c>
      <c r="I3615" s="1">
        <v>470.53</v>
      </c>
      <c r="J3615" s="16">
        <v>143429.52625525804</v>
      </c>
      <c r="K3615" s="5">
        <v>7.5624996760570162E-2</v>
      </c>
      <c r="L3615" s="10">
        <v>208486.3737</v>
      </c>
    </row>
    <row r="3616" spans="1:12" x14ac:dyDescent="0.25">
      <c r="A3616">
        <v>3615</v>
      </c>
      <c r="B3616" s="3">
        <v>0.1383705647470381</v>
      </c>
      <c r="C3616" s="3">
        <v>6.2768353850525191E-2</v>
      </c>
      <c r="D3616" s="1">
        <v>185659.81546185506</v>
      </c>
      <c r="E3616" s="1">
        <v>6304321</v>
      </c>
      <c r="F3616" s="1">
        <v>32304345</v>
      </c>
      <c r="G3616" s="16">
        <v>63500.284666631793</v>
      </c>
      <c r="H3616">
        <v>314.49</v>
      </c>
      <c r="I3616" s="1">
        <v>843.08</v>
      </c>
      <c r="J3616" s="16">
        <v>249160.10012848687</v>
      </c>
      <c r="K3616" s="5">
        <v>0.20620870280563533</v>
      </c>
      <c r="L3616" s="10">
        <v>570500.21900000004</v>
      </c>
    </row>
    <row r="3617" spans="1:12" x14ac:dyDescent="0.25">
      <c r="A3617">
        <v>3616</v>
      </c>
      <c r="B3617" s="3">
        <v>0.10800569535546345</v>
      </c>
      <c r="C3617" s="3">
        <v>6.2972950393257732E-2</v>
      </c>
      <c r="D3617" s="1">
        <v>446290.28680061526</v>
      </c>
      <c r="E3617" s="1">
        <v>14791422</v>
      </c>
      <c r="F3617" s="1">
        <v>52620007</v>
      </c>
      <c r="G3617" s="16">
        <v>93230.955840466515</v>
      </c>
      <c r="H3617">
        <v>350.46</v>
      </c>
      <c r="I3617" s="1">
        <v>818.84</v>
      </c>
      <c r="J3617" s="16">
        <v>539521.2426410818</v>
      </c>
      <c r="K3617" s="5">
        <v>0.11825161490053551</v>
      </c>
      <c r="L3617" s="10">
        <v>703040.2659</v>
      </c>
    </row>
    <row r="3618" spans="1:12" x14ac:dyDescent="0.25">
      <c r="A3618">
        <v>3617</v>
      </c>
      <c r="B3618" s="3">
        <v>0.10256637613508518</v>
      </c>
      <c r="C3618" s="3">
        <v>4.9591968840840259E-2</v>
      </c>
      <c r="D3618" s="1">
        <v>263258.29642796161</v>
      </c>
      <c r="E3618" s="1">
        <v>7595842</v>
      </c>
      <c r="F3618" s="1">
        <v>32004935</v>
      </c>
      <c r="G3618" s="16">
        <v>64786.399825573011</v>
      </c>
      <c r="H3618">
        <v>207.99</v>
      </c>
      <c r="I3618" s="1">
        <v>495</v>
      </c>
      <c r="J3618" s="16">
        <v>328044.69625353464</v>
      </c>
      <c r="K3618" s="5">
        <v>0.20153970898320295</v>
      </c>
      <c r="L3618" s="10">
        <v>964492.80390000006</v>
      </c>
    </row>
    <row r="3619" spans="1:12" x14ac:dyDescent="0.25">
      <c r="A3619">
        <v>3618</v>
      </c>
      <c r="B3619" s="3">
        <v>0.1461432193391104</v>
      </c>
      <c r="C3619" s="3">
        <v>3.1617559646400298E-2</v>
      </c>
      <c r="D3619" s="1">
        <v>70029.40708914127</v>
      </c>
      <c r="E3619" s="1">
        <v>2105366</v>
      </c>
      <c r="F3619" s="1">
        <v>11432171</v>
      </c>
      <c r="G3619" s="16">
        <v>39333.510369615826</v>
      </c>
      <c r="H3619">
        <v>178.76</v>
      </c>
      <c r="I3619" s="1">
        <v>530.07999999999993</v>
      </c>
      <c r="J3619" s="16">
        <v>109362.91745875709</v>
      </c>
      <c r="K3619" s="5">
        <v>-0.1627280616822423</v>
      </c>
      <c r="L3619" s="10">
        <v>-445017.01760000002</v>
      </c>
    </row>
    <row r="3620" spans="1:12" x14ac:dyDescent="0.25">
      <c r="A3620">
        <v>3619</v>
      </c>
      <c r="B3620" s="3">
        <v>0.17987432461460812</v>
      </c>
      <c r="C3620" s="3">
        <v>2.158660366111281E-2</v>
      </c>
      <c r="D3620" s="1">
        <v>272540.38917260373</v>
      </c>
      <c r="E3620" s="1">
        <v>11274884</v>
      </c>
      <c r="F3620" s="1">
        <v>40006717</v>
      </c>
      <c r="G3620" s="16">
        <v>10854.691138067024</v>
      </c>
      <c r="H3620">
        <v>43.91</v>
      </c>
      <c r="I3620" s="1">
        <v>141.72</v>
      </c>
      <c r="J3620" s="16">
        <v>283395.08031067078</v>
      </c>
      <c r="K3620" s="5">
        <v>0.18162908825352544</v>
      </c>
      <c r="L3620" s="10">
        <v>2087977.6956</v>
      </c>
    </row>
    <row r="3621" spans="1:12" x14ac:dyDescent="0.25">
      <c r="A3621">
        <v>3620</v>
      </c>
      <c r="B3621" s="3">
        <v>0.24130984375455256</v>
      </c>
      <c r="C3621" s="3">
        <v>4.53192882107884E-2</v>
      </c>
      <c r="D3621" s="1">
        <v>177637.74842374923</v>
      </c>
      <c r="E3621" s="1">
        <v>10034144</v>
      </c>
      <c r="F3621" s="1">
        <v>35523450</v>
      </c>
      <c r="G3621" s="16">
        <v>12990.371703630104</v>
      </c>
      <c r="H3621">
        <v>102.46</v>
      </c>
      <c r="I3621" s="1">
        <v>281</v>
      </c>
      <c r="J3621" s="16">
        <v>190628.12012737934</v>
      </c>
      <c r="K3621" s="5">
        <v>-4.3831609715663626E-2</v>
      </c>
      <c r="L3621" s="10">
        <v>-112993.49800000001</v>
      </c>
    </row>
    <row r="3622" spans="1:12" x14ac:dyDescent="0.25">
      <c r="A3622">
        <v>3621</v>
      </c>
      <c r="B3622" s="3">
        <v>0.20704220273192661</v>
      </c>
      <c r="C3622" s="3">
        <v>5.5150590000937388E-2</v>
      </c>
      <c r="D3622" s="1">
        <v>71502.27174671652</v>
      </c>
      <c r="E3622" s="1">
        <v>2683938</v>
      </c>
      <c r="F3622" s="1">
        <v>21015803</v>
      </c>
      <c r="G3622" s="16">
        <v>27914.14900655426</v>
      </c>
      <c r="H3622">
        <v>268.36</v>
      </c>
      <c r="I3622" s="1">
        <v>880.73</v>
      </c>
      <c r="J3622" s="16">
        <v>99416.420753270781</v>
      </c>
      <c r="K3622" s="5">
        <v>0.19408634444946163</v>
      </c>
      <c r="L3622" s="10">
        <v>267310.83970000001</v>
      </c>
    </row>
    <row r="3623" spans="1:12" x14ac:dyDescent="0.25">
      <c r="A3623">
        <v>3622</v>
      </c>
      <c r="B3623" s="3">
        <v>0.23798652901467132</v>
      </c>
      <c r="C3623" s="3">
        <v>5.3924624460829337E-2</v>
      </c>
      <c r="D3623" s="1">
        <v>138532.42154598056</v>
      </c>
      <c r="E3623" s="1">
        <v>7689598</v>
      </c>
      <c r="F3623" s="1">
        <v>28683401</v>
      </c>
      <c r="G3623" s="16">
        <v>22080.41287865425</v>
      </c>
      <c r="H3623">
        <v>292.14</v>
      </c>
      <c r="I3623" s="1">
        <v>918.75</v>
      </c>
      <c r="J3623" s="16">
        <v>160612.83442463481</v>
      </c>
      <c r="K3623" s="5">
        <v>0.12511085377624903</v>
      </c>
      <c r="L3623" s="10">
        <v>300766.21340000001</v>
      </c>
    </row>
    <row r="3624" spans="1:12" x14ac:dyDescent="0.25">
      <c r="A3624">
        <v>3623</v>
      </c>
      <c r="B3624" s="3">
        <v>0.20689008655797075</v>
      </c>
      <c r="C3624" s="3">
        <v>3.3645513963271208E-2</v>
      </c>
      <c r="D3624" s="1">
        <v>260756.10756631236</v>
      </c>
      <c r="E3624" s="1">
        <v>12333993</v>
      </c>
      <c r="F3624" s="1">
        <v>39399230</v>
      </c>
      <c r="G3624" s="16">
        <v>34866.830465226798</v>
      </c>
      <c r="H3624">
        <v>335.29</v>
      </c>
      <c r="I3624" s="1">
        <v>881.71</v>
      </c>
      <c r="J3624" s="16">
        <v>295622.93803153915</v>
      </c>
      <c r="K3624" s="5">
        <v>0.10707979335677312</v>
      </c>
      <c r="L3624" s="10">
        <v>755288.6139</v>
      </c>
    </row>
    <row r="3625" spans="1:12" x14ac:dyDescent="0.25">
      <c r="A3625">
        <v>3624</v>
      </c>
      <c r="B3625" s="3">
        <v>0.19599594035115186</v>
      </c>
      <c r="C3625" s="3">
        <v>3.1502077582739478E-2</v>
      </c>
      <c r="D3625" s="1">
        <v>223997.19157359781</v>
      </c>
      <c r="E3625" s="1">
        <v>12478277</v>
      </c>
      <c r="F3625" s="1">
        <v>51852595</v>
      </c>
      <c r="G3625" s="16">
        <v>18759.824036594946</v>
      </c>
      <c r="H3625">
        <v>104.58</v>
      </c>
      <c r="I3625" s="1">
        <v>368.42999999999995</v>
      </c>
      <c r="J3625" s="16">
        <v>242757.01561019276</v>
      </c>
      <c r="K3625" s="5">
        <v>1.1961893214751294E-2</v>
      </c>
      <c r="L3625" s="10">
        <v>147392.28709999999</v>
      </c>
    </row>
    <row r="3626" spans="1:12" x14ac:dyDescent="0.25">
      <c r="A3626">
        <v>3625</v>
      </c>
      <c r="B3626" s="3">
        <v>0.22479039713360152</v>
      </c>
      <c r="C3626" s="3">
        <v>7.5413080394855003E-2</v>
      </c>
      <c r="D3626" s="1">
        <v>85048.945685758896</v>
      </c>
      <c r="E3626" s="1">
        <v>3416758</v>
      </c>
      <c r="F3626" s="1">
        <v>20522346</v>
      </c>
      <c r="G3626" s="16">
        <v>11356.956490255656</v>
      </c>
      <c r="H3626">
        <v>78.64</v>
      </c>
      <c r="I3626" s="1">
        <v>263.97999999999996</v>
      </c>
      <c r="J3626" s="16">
        <v>96405.902176014555</v>
      </c>
      <c r="K3626" s="5">
        <v>6.856621458333638E-2</v>
      </c>
      <c r="L3626" s="10">
        <v>78589.467199999999</v>
      </c>
    </row>
    <row r="3627" spans="1:12" x14ac:dyDescent="0.25">
      <c r="A3627">
        <v>3626</v>
      </c>
      <c r="B3627" s="3">
        <v>0.17207451880184566</v>
      </c>
      <c r="C3627" s="3">
        <v>4.4200741036752617E-2</v>
      </c>
      <c r="D3627" s="1">
        <v>67530.846216850434</v>
      </c>
      <c r="E3627" s="1">
        <v>2227062</v>
      </c>
      <c r="F3627" s="1">
        <v>11364495</v>
      </c>
      <c r="G3627" s="16">
        <v>16138.416683102743</v>
      </c>
      <c r="H3627">
        <v>75.25</v>
      </c>
      <c r="I3627" s="1">
        <v>259.03999999999996</v>
      </c>
      <c r="J3627" s="16">
        <v>83669.262899953173</v>
      </c>
      <c r="K3627" s="5">
        <v>6.0328945514676928E-2</v>
      </c>
      <c r="L3627" s="10">
        <v>91191.547000000006</v>
      </c>
    </row>
    <row r="3628" spans="1:12" x14ac:dyDescent="0.25">
      <c r="A3628">
        <v>3627</v>
      </c>
      <c r="B3628" s="3">
        <v>0.16640932928781504</v>
      </c>
      <c r="C3628" s="3">
        <v>4.8958232187210737E-2</v>
      </c>
      <c r="D3628" s="1">
        <v>219152.81093511361</v>
      </c>
      <c r="E3628" s="1">
        <v>8494514</v>
      </c>
      <c r="F3628" s="1">
        <v>38174492</v>
      </c>
      <c r="G3628" s="16">
        <v>54088.894239976136</v>
      </c>
      <c r="H3628">
        <v>290.72000000000003</v>
      </c>
      <c r="I3628" s="1">
        <v>745.92000000000007</v>
      </c>
      <c r="J3628" s="16">
        <v>273241.70517508977</v>
      </c>
      <c r="K3628" s="5">
        <v>0.22441210601416234</v>
      </c>
      <c r="L3628" s="10">
        <v>957510.7855</v>
      </c>
    </row>
    <row r="3629" spans="1:12" x14ac:dyDescent="0.25">
      <c r="A3629">
        <v>3628</v>
      </c>
      <c r="B3629" s="3">
        <v>0.23255241992314074</v>
      </c>
      <c r="C3629" s="3">
        <v>5.9657888746266166E-2</v>
      </c>
      <c r="D3629" s="1">
        <v>57524.513997110203</v>
      </c>
      <c r="E3629" s="1">
        <v>3103565</v>
      </c>
      <c r="F3629" s="1">
        <v>25222979</v>
      </c>
      <c r="G3629" s="16">
        <v>8649.3721809616582</v>
      </c>
      <c r="H3629">
        <v>63.69</v>
      </c>
      <c r="I3629" s="1">
        <v>252.04</v>
      </c>
      <c r="J3629" s="16">
        <v>66173.886178071858</v>
      </c>
      <c r="K3629" s="5">
        <v>-5.7249844836124858E-3</v>
      </c>
      <c r="L3629" s="10">
        <v>-227.3527</v>
      </c>
    </row>
    <row r="3630" spans="1:12" x14ac:dyDescent="0.25">
      <c r="A3630">
        <v>3629</v>
      </c>
      <c r="B3630" s="3">
        <v>0.22941950671466096</v>
      </c>
      <c r="C3630" s="3">
        <v>7.0003579469166979E-2</v>
      </c>
      <c r="D3630" s="1">
        <v>288362.24646233156</v>
      </c>
      <c r="E3630" s="1">
        <v>19863292</v>
      </c>
      <c r="F3630" s="1">
        <v>59616492</v>
      </c>
      <c r="G3630" s="16">
        <v>6492.0380603231761</v>
      </c>
      <c r="H3630">
        <v>35.950000000000003</v>
      </c>
      <c r="I3630" s="1">
        <v>177.18</v>
      </c>
      <c r="J3630" s="16">
        <v>294854.28452265472</v>
      </c>
      <c r="K3630" s="5">
        <v>0.12546388501484043</v>
      </c>
      <c r="L3630" s="10">
        <v>365785.03869999998</v>
      </c>
    </row>
    <row r="3631" spans="1:12" x14ac:dyDescent="0.25">
      <c r="A3631">
        <v>3630</v>
      </c>
      <c r="B3631" s="3">
        <v>0.16669526446503094</v>
      </c>
      <c r="C3631" s="3">
        <v>6.8192601342250816E-2</v>
      </c>
      <c r="D3631" s="1">
        <v>173427.18823647607</v>
      </c>
      <c r="E3631" s="1">
        <v>5609291</v>
      </c>
      <c r="F3631" s="1">
        <v>19514752</v>
      </c>
      <c r="G3631" s="16">
        <v>17349.911531831116</v>
      </c>
      <c r="H3631">
        <v>77.98</v>
      </c>
      <c r="I3631" s="1">
        <v>223.62</v>
      </c>
      <c r="J3631" s="16">
        <v>190777.09976830718</v>
      </c>
      <c r="K3631" s="5">
        <v>-8.9456113889252245E-2</v>
      </c>
      <c r="L3631" s="10">
        <v>-150557.71119999999</v>
      </c>
    </row>
    <row r="3632" spans="1:12" x14ac:dyDescent="0.25">
      <c r="A3632">
        <v>3631</v>
      </c>
      <c r="B3632" s="3">
        <v>0.11398014822290163</v>
      </c>
      <c r="C3632" s="3">
        <v>3.2071877954138621E-2</v>
      </c>
      <c r="D3632" s="1">
        <v>290908.11462972267</v>
      </c>
      <c r="E3632" s="1">
        <v>8834555</v>
      </c>
      <c r="F3632" s="1">
        <v>38408447</v>
      </c>
      <c r="G3632" s="16">
        <v>33433.479640218851</v>
      </c>
      <c r="H3632">
        <v>117.27</v>
      </c>
      <c r="I3632" s="1">
        <v>469.45</v>
      </c>
      <c r="J3632" s="16">
        <v>324341.5942699415</v>
      </c>
      <c r="K3632" s="5">
        <v>0.14195897671256988</v>
      </c>
      <c r="L3632" s="10">
        <v>1188982.4983999999</v>
      </c>
    </row>
    <row r="3633" spans="1:12" x14ac:dyDescent="0.25">
      <c r="A3633">
        <v>3632</v>
      </c>
      <c r="B3633" s="3">
        <v>0.22034018970452091</v>
      </c>
      <c r="C3633" s="3">
        <v>5.8143036808271348E-2</v>
      </c>
      <c r="D3633" s="1">
        <v>62720.807225517266</v>
      </c>
      <c r="E3633" s="1">
        <v>2476848</v>
      </c>
      <c r="F3633" s="1">
        <v>14234946</v>
      </c>
      <c r="G3633" s="16">
        <v>14528.980694412974</v>
      </c>
      <c r="H3633">
        <v>97.21</v>
      </c>
      <c r="I3633" s="1">
        <v>313.55999999999995</v>
      </c>
      <c r="J3633" s="16">
        <v>77249.787919930241</v>
      </c>
      <c r="K3633" s="5">
        <v>0.18893972173253684</v>
      </c>
      <c r="L3633" s="10">
        <v>186143.0975</v>
      </c>
    </row>
    <row r="3634" spans="1:12" x14ac:dyDescent="0.25">
      <c r="A3634">
        <v>3633</v>
      </c>
      <c r="B3634" s="3">
        <v>0.18055259402963969</v>
      </c>
      <c r="C3634" s="3">
        <v>5.4643323401967411E-2</v>
      </c>
      <c r="D3634" s="1">
        <v>52923.328626393843</v>
      </c>
      <c r="E3634" s="1">
        <v>1800060</v>
      </c>
      <c r="F3634" s="1">
        <v>11241775</v>
      </c>
      <c r="G3634" s="16">
        <v>25738.635307482095</v>
      </c>
      <c r="H3634">
        <v>156.22</v>
      </c>
      <c r="I3634" s="1">
        <v>440.18000000000006</v>
      </c>
      <c r="J3634" s="16">
        <v>78661.96393387593</v>
      </c>
      <c r="K3634" s="5">
        <v>8.201725566387677E-2</v>
      </c>
      <c r="L3634" s="10">
        <v>107615.65459999999</v>
      </c>
    </row>
    <row r="3635" spans="1:12" x14ac:dyDescent="0.25">
      <c r="A3635">
        <v>3634</v>
      </c>
      <c r="B3635" s="3">
        <v>0.11869342432940649</v>
      </c>
      <c r="C3635" s="3">
        <v>7.1208541688016616E-2</v>
      </c>
      <c r="D3635" s="1">
        <v>105446.29592433646</v>
      </c>
      <c r="E3635" s="1">
        <v>2883049</v>
      </c>
      <c r="F3635" s="1">
        <v>14409399</v>
      </c>
      <c r="G3635" s="16">
        <v>65204.577067154743</v>
      </c>
      <c r="H3635">
        <v>269.68</v>
      </c>
      <c r="I3635" s="1">
        <v>806.44</v>
      </c>
      <c r="J3635" s="16">
        <v>170650.8729914912</v>
      </c>
      <c r="K3635" s="5">
        <v>5.53600560889317E-2</v>
      </c>
      <c r="L3635" s="10">
        <v>84104.343399999998</v>
      </c>
    </row>
    <row r="3636" spans="1:12" x14ac:dyDescent="0.25">
      <c r="A3636">
        <v>3635</v>
      </c>
      <c r="B3636" s="3">
        <v>0.23828597779848273</v>
      </c>
      <c r="C3636" s="3">
        <v>5.0236032557743643E-2</v>
      </c>
      <c r="D3636" s="1">
        <v>18870.639768890142</v>
      </c>
      <c r="E3636" s="1">
        <v>608703</v>
      </c>
      <c r="F3636" s="1">
        <v>6130156</v>
      </c>
      <c r="G3636" s="16">
        <v>13967.396544698995</v>
      </c>
      <c r="H3636">
        <v>141.24</v>
      </c>
      <c r="I3636" s="1">
        <v>435.67999999999995</v>
      </c>
      <c r="J3636" s="16">
        <v>32838.036313589138</v>
      </c>
      <c r="K3636" s="5">
        <v>0.22248387549064363</v>
      </c>
      <c r="L3636" s="10">
        <v>118788.1529</v>
      </c>
    </row>
    <row r="3637" spans="1:12" x14ac:dyDescent="0.25">
      <c r="A3637">
        <v>3636</v>
      </c>
      <c r="B3637" s="3">
        <v>0.22036885261382019</v>
      </c>
      <c r="C3637" s="3">
        <v>4.627132626234888E-2</v>
      </c>
      <c r="D3637" s="1">
        <v>112497.58905174416</v>
      </c>
      <c r="E3637" s="1">
        <v>5698873</v>
      </c>
      <c r="F3637" s="1">
        <v>24546503</v>
      </c>
      <c r="G3637" s="16">
        <v>31911.091874358604</v>
      </c>
      <c r="H3637">
        <v>274.24</v>
      </c>
      <c r="I3637" s="1">
        <v>663.31999999999994</v>
      </c>
      <c r="J3637" s="16">
        <v>144408.68092610277</v>
      </c>
      <c r="K3637" s="5">
        <v>1.9852535123012358E-2</v>
      </c>
      <c r="L3637" s="10">
        <v>70578.162800000006</v>
      </c>
    </row>
    <row r="3638" spans="1:12" x14ac:dyDescent="0.25">
      <c r="A3638">
        <v>3637</v>
      </c>
      <c r="B3638" s="3">
        <v>0.14038511974795398</v>
      </c>
      <c r="C3638" s="3">
        <v>3.3936511894861403E-2</v>
      </c>
      <c r="D3638" s="1">
        <v>204616.83288198125</v>
      </c>
      <c r="E3638" s="1">
        <v>8158772</v>
      </c>
      <c r="F3638" s="1">
        <v>47881162</v>
      </c>
      <c r="G3638" s="16">
        <v>50087.85669272345</v>
      </c>
      <c r="H3638">
        <v>217.37</v>
      </c>
      <c r="I3638" s="1">
        <v>683.92000000000007</v>
      </c>
      <c r="J3638" s="16">
        <v>254704.68957470468</v>
      </c>
      <c r="K3638" s="5">
        <v>0.12595362154916681</v>
      </c>
      <c r="L3638" s="10">
        <v>798505.58880000003</v>
      </c>
    </row>
    <row r="3639" spans="1:12" x14ac:dyDescent="0.25">
      <c r="A3639">
        <v>3638</v>
      </c>
      <c r="B3639" s="3">
        <v>0.24766605756742829</v>
      </c>
      <c r="C3639" s="3">
        <v>4.0751850074270804E-2</v>
      </c>
      <c r="D3639" s="1">
        <v>89758.156599058551</v>
      </c>
      <c r="E3639" s="1">
        <v>3944981</v>
      </c>
      <c r="F3639" s="1">
        <v>20353526</v>
      </c>
      <c r="G3639" s="16">
        <v>41353.286746392965</v>
      </c>
      <c r="H3639">
        <v>606.59</v>
      </c>
      <c r="I3639" s="1">
        <v>1489.4699999999998</v>
      </c>
      <c r="J3639" s="16">
        <v>131111.44334545152</v>
      </c>
      <c r="K3639" s="5">
        <v>0.26037375338150048</v>
      </c>
      <c r="L3639" s="10">
        <v>659419.11159999995</v>
      </c>
    </row>
    <row r="3640" spans="1:12" x14ac:dyDescent="0.25">
      <c r="A3640">
        <v>3639</v>
      </c>
      <c r="B3640" s="3">
        <v>0.13916768804258023</v>
      </c>
      <c r="C3640" s="3">
        <v>2.7487897015875153E-2</v>
      </c>
      <c r="D3640" s="1">
        <v>149643.80183080793</v>
      </c>
      <c r="E3640" s="1">
        <v>5100197</v>
      </c>
      <c r="F3640" s="1">
        <v>22395794</v>
      </c>
      <c r="G3640" s="16">
        <v>62637.487181426623</v>
      </c>
      <c r="H3640">
        <v>269.39</v>
      </c>
      <c r="I3640" s="1">
        <v>580.71</v>
      </c>
      <c r="J3640" s="16">
        <v>212281.28901223454</v>
      </c>
      <c r="K3640" s="5">
        <v>2.0223580308763752E-2</v>
      </c>
      <c r="L3640" s="10">
        <v>174825.50580000001</v>
      </c>
    </row>
    <row r="3641" spans="1:12" x14ac:dyDescent="0.25">
      <c r="A3641">
        <v>3640</v>
      </c>
      <c r="B3641" s="3">
        <v>0.16596849246359363</v>
      </c>
      <c r="C3641" s="3">
        <v>6.7272559152072656E-2</v>
      </c>
      <c r="D3641" s="1">
        <v>56739.462556215614</v>
      </c>
      <c r="E3641" s="1">
        <v>1830377</v>
      </c>
      <c r="F3641" s="1">
        <v>15764717</v>
      </c>
      <c r="G3641" s="16">
        <v>47154.734785338369</v>
      </c>
      <c r="H3641">
        <v>303.32</v>
      </c>
      <c r="I3641" s="1">
        <v>869.68000000000006</v>
      </c>
      <c r="J3641" s="16">
        <v>103894.19734155398</v>
      </c>
      <c r="K3641" s="5">
        <v>0.16620732302242047</v>
      </c>
      <c r="L3641" s="10">
        <v>220609.68799999999</v>
      </c>
    </row>
    <row r="3642" spans="1:12" x14ac:dyDescent="0.25">
      <c r="A3642">
        <v>3641</v>
      </c>
      <c r="B3642" s="3">
        <v>0.24778074894776969</v>
      </c>
      <c r="C3642" s="3">
        <v>7.3756678894226088E-2</v>
      </c>
      <c r="D3642" s="1">
        <v>77051.473702916395</v>
      </c>
      <c r="E3642" s="1">
        <v>4504079</v>
      </c>
      <c r="F3642" s="1">
        <v>31245502</v>
      </c>
      <c r="G3642" s="16">
        <v>11835.991923734005</v>
      </c>
      <c r="H3642">
        <v>130.62</v>
      </c>
      <c r="I3642" s="1">
        <v>424.4</v>
      </c>
      <c r="J3642" s="16">
        <v>88887.465626650403</v>
      </c>
      <c r="K3642" s="5">
        <v>7.70575799128531E-2</v>
      </c>
      <c r="L3642" s="10">
        <v>88806.969899999996</v>
      </c>
    </row>
    <row r="3643" spans="1:12" x14ac:dyDescent="0.25">
      <c r="A3643">
        <v>3642</v>
      </c>
      <c r="B3643" s="3">
        <v>0.11197123148792119</v>
      </c>
      <c r="C3643" s="3">
        <v>4.5880455973220977E-2</v>
      </c>
      <c r="D3643" s="1">
        <v>354793.91156084888</v>
      </c>
      <c r="E3643" s="1">
        <v>10677537</v>
      </c>
      <c r="F3643" s="1">
        <v>42892202</v>
      </c>
      <c r="G3643" s="16">
        <v>95406.13516143139</v>
      </c>
      <c r="H3643">
        <v>371.41</v>
      </c>
      <c r="I3643" s="1">
        <v>807.67000000000007</v>
      </c>
      <c r="J3643" s="16">
        <v>450200.04672228027</v>
      </c>
      <c r="K3643" s="5">
        <v>1.3957681911018593E-2</v>
      </c>
      <c r="L3643" s="10">
        <v>123723.7026</v>
      </c>
    </row>
    <row r="3644" spans="1:12" x14ac:dyDescent="0.25">
      <c r="A3644">
        <v>3643</v>
      </c>
      <c r="B3644" s="3">
        <v>0.20877957543120818</v>
      </c>
      <c r="C3644" s="3">
        <v>6.4147659795703707E-2</v>
      </c>
      <c r="D3644" s="1">
        <v>165758.15558857576</v>
      </c>
      <c r="E3644" s="1">
        <v>7915658</v>
      </c>
      <c r="F3644" s="1">
        <v>23889939</v>
      </c>
      <c r="G3644" s="16">
        <v>4464.483091756344</v>
      </c>
      <c r="H3644">
        <v>21.64</v>
      </c>
      <c r="I3644" s="1">
        <v>115.36</v>
      </c>
      <c r="J3644" s="16">
        <v>170222.63868033211</v>
      </c>
      <c r="K3644" s="5">
        <v>0.11239040023253462</v>
      </c>
      <c r="L3644" s="10">
        <v>212342.5208</v>
      </c>
    </row>
    <row r="3645" spans="1:12" x14ac:dyDescent="0.25">
      <c r="A3645">
        <v>3644</v>
      </c>
      <c r="B3645" s="3">
        <v>0.18711026211120665</v>
      </c>
      <c r="C3645" s="3">
        <v>2.9359119413895268E-2</v>
      </c>
      <c r="D3645" s="1">
        <v>146334.32043897471</v>
      </c>
      <c r="E3645" s="1">
        <v>6272236</v>
      </c>
      <c r="F3645" s="1">
        <v>28126950</v>
      </c>
      <c r="G3645" s="16">
        <v>36491.795059233948</v>
      </c>
      <c r="H3645">
        <v>233.92</v>
      </c>
      <c r="I3645" s="1">
        <v>583.80999999999995</v>
      </c>
      <c r="J3645" s="16">
        <v>182826.11549820867</v>
      </c>
      <c r="K3645" s="5">
        <v>0.15215381539541356</v>
      </c>
      <c r="L3645" s="10">
        <v>806513.6912</v>
      </c>
    </row>
    <row r="3646" spans="1:12" x14ac:dyDescent="0.25">
      <c r="A3646">
        <v>3645</v>
      </c>
      <c r="B3646" s="3">
        <v>0.14326072472382276</v>
      </c>
      <c r="C3646" s="3">
        <v>3.4439221142927828E-2</v>
      </c>
      <c r="D3646" s="1">
        <v>78155.231445399797</v>
      </c>
      <c r="E3646" s="1">
        <v>2326026</v>
      </c>
      <c r="F3646" s="1">
        <v>13757055</v>
      </c>
      <c r="G3646" s="16">
        <v>44501.795147866018</v>
      </c>
      <c r="H3646">
        <v>230.77</v>
      </c>
      <c r="I3646" s="1">
        <v>785.63</v>
      </c>
      <c r="J3646" s="16">
        <v>122657.02659326582</v>
      </c>
      <c r="K3646" s="5">
        <v>0.17503584216506243</v>
      </c>
      <c r="L3646" s="10">
        <v>500592.56400000001</v>
      </c>
    </row>
    <row r="3647" spans="1:12" x14ac:dyDescent="0.25">
      <c r="A3647">
        <v>3646</v>
      </c>
      <c r="B3647" s="3">
        <v>0.23637210550740179</v>
      </c>
      <c r="C3647" s="3">
        <v>7.9411674735609283E-2</v>
      </c>
      <c r="D3647" s="1">
        <v>161826.83301317136</v>
      </c>
      <c r="E3647" s="1">
        <v>8906889</v>
      </c>
      <c r="F3647" s="1">
        <v>42606007</v>
      </c>
      <c r="G3647" s="16">
        <v>16567.487547481895</v>
      </c>
      <c r="H3647">
        <v>164.86</v>
      </c>
      <c r="I3647" s="1">
        <v>600.47</v>
      </c>
      <c r="J3647" s="16">
        <v>178394.32056065326</v>
      </c>
      <c r="K3647" s="5">
        <v>5.9062765109261159E-3</v>
      </c>
      <c r="L3647" s="10">
        <v>13975.4679</v>
      </c>
    </row>
    <row r="3648" spans="1:12" x14ac:dyDescent="0.25">
      <c r="A3648">
        <v>3647</v>
      </c>
      <c r="B3648" s="3">
        <v>0.17815505433843445</v>
      </c>
      <c r="C3648" s="3">
        <v>7.431898683625679E-2</v>
      </c>
      <c r="D3648" s="1">
        <v>55222.737907973482</v>
      </c>
      <c r="E3648" s="1">
        <v>1861881</v>
      </c>
      <c r="F3648" s="1">
        <v>12776479</v>
      </c>
      <c r="G3648" s="16">
        <v>40195.661512471292</v>
      </c>
      <c r="H3648">
        <v>238.49</v>
      </c>
      <c r="I3648" s="1">
        <v>669.95</v>
      </c>
      <c r="J3648" s="16">
        <v>95418.399420444766</v>
      </c>
      <c r="K3648" s="5">
        <v>0.1322982614900701</v>
      </c>
      <c r="L3648" s="10">
        <v>129990.63920000001</v>
      </c>
    </row>
    <row r="3649" spans="1:12" x14ac:dyDescent="0.25">
      <c r="A3649">
        <v>3648</v>
      </c>
      <c r="B3649" s="3">
        <v>0.11648994274398983</v>
      </c>
      <c r="C3649" s="3">
        <v>2.4086142409991029E-2</v>
      </c>
      <c r="D3649" s="1">
        <v>238262.96567143407</v>
      </c>
      <c r="E3649" s="1">
        <v>7318355</v>
      </c>
      <c r="F3649" s="1">
        <v>28850846</v>
      </c>
      <c r="G3649" s="16">
        <v>13982.031011545992</v>
      </c>
      <c r="H3649">
        <v>44.21</v>
      </c>
      <c r="I3649" s="1">
        <v>246.25</v>
      </c>
      <c r="J3649" s="16">
        <v>252244.99668298007</v>
      </c>
      <c r="K3649" s="5">
        <v>4.9357591991423304E-2</v>
      </c>
      <c r="L3649" s="10">
        <v>441663.91989999998</v>
      </c>
    </row>
    <row r="3650" spans="1:12" x14ac:dyDescent="0.25">
      <c r="A3650">
        <v>3649</v>
      </c>
      <c r="B3650" s="3">
        <v>0.19008409073611982</v>
      </c>
      <c r="C3650" s="3">
        <v>4.4304906045954079E-2</v>
      </c>
      <c r="D3650" s="1">
        <v>81099.643001673219</v>
      </c>
      <c r="E3650" s="1">
        <v>2856943</v>
      </c>
      <c r="F3650" s="1">
        <v>14807854</v>
      </c>
      <c r="G3650" s="16">
        <v>32627.934222417047</v>
      </c>
      <c r="H3650">
        <v>214.77</v>
      </c>
      <c r="I3650" s="1">
        <v>540.23</v>
      </c>
      <c r="J3650" s="16">
        <v>113727.57722409026</v>
      </c>
      <c r="K3650" s="5">
        <v>0.10608059322195779</v>
      </c>
      <c r="L3650" s="10">
        <v>228213.30799999999</v>
      </c>
    </row>
    <row r="3651" spans="1:12" x14ac:dyDescent="0.25">
      <c r="A3651">
        <v>3650</v>
      </c>
      <c r="B3651" s="3">
        <v>0.21780904709406601</v>
      </c>
      <c r="C3651" s="3">
        <v>5.5452802430136006E-2</v>
      </c>
      <c r="D3651" s="1">
        <v>76079.616130954295</v>
      </c>
      <c r="E3651" s="1">
        <v>2975316</v>
      </c>
      <c r="F3651" s="1">
        <v>19843514</v>
      </c>
      <c r="G3651" s="16">
        <v>18626.823646540666</v>
      </c>
      <c r="H3651">
        <v>122.38</v>
      </c>
      <c r="I3651" s="1">
        <v>341.89</v>
      </c>
      <c r="J3651" s="16">
        <v>94706.439777494961</v>
      </c>
      <c r="K3651" s="5">
        <v>0.15579610304697061</v>
      </c>
      <c r="L3651" s="10">
        <v>238138.26800000001</v>
      </c>
    </row>
    <row r="3652" spans="1:12" x14ac:dyDescent="0.25">
      <c r="A3652">
        <v>3651</v>
      </c>
      <c r="B3652" s="3">
        <v>0.12335384806162643</v>
      </c>
      <c r="C3652" s="3">
        <v>5.6579706393745516E-2</v>
      </c>
      <c r="D3652" s="1">
        <v>483481.00834683946</v>
      </c>
      <c r="E3652" s="1">
        <v>17476753</v>
      </c>
      <c r="F3652" s="1">
        <v>58300114</v>
      </c>
      <c r="G3652" s="16">
        <v>34795.069054138505</v>
      </c>
      <c r="H3652">
        <v>131.41</v>
      </c>
      <c r="I3652" s="1">
        <v>403.28</v>
      </c>
      <c r="J3652" s="16">
        <v>518276.07740097796</v>
      </c>
      <c r="K3652" s="5">
        <v>6.5126824629527152E-2</v>
      </c>
      <c r="L3652" s="10">
        <v>447392.8493</v>
      </c>
    </row>
    <row r="3653" spans="1:12" x14ac:dyDescent="0.25">
      <c r="A3653">
        <v>3652</v>
      </c>
      <c r="B3653" s="3">
        <v>0.2092269441227706</v>
      </c>
      <c r="C3653" s="3">
        <v>7.6313443084181434E-2</v>
      </c>
      <c r="D3653" s="1">
        <v>194833.93982952609</v>
      </c>
      <c r="E3653" s="1">
        <v>9325239</v>
      </c>
      <c r="F3653" s="1">
        <v>40803000</v>
      </c>
      <c r="G3653" s="16">
        <v>18910.334569515097</v>
      </c>
      <c r="H3653">
        <v>116.29</v>
      </c>
      <c r="I3653" s="1">
        <v>363.2</v>
      </c>
      <c r="J3653" s="16">
        <v>213744.2743990412</v>
      </c>
      <c r="K3653" s="5">
        <v>2.5578447866205466E-2</v>
      </c>
      <c r="L3653" s="10">
        <v>63817.548000000003</v>
      </c>
    </row>
    <row r="3654" spans="1:12" x14ac:dyDescent="0.25">
      <c r="A3654">
        <v>3653</v>
      </c>
      <c r="B3654" s="3">
        <v>0.10859361150771819</v>
      </c>
      <c r="C3654" s="3">
        <v>7.6047601754561753E-2</v>
      </c>
      <c r="D3654" s="1">
        <v>316809.96605472127</v>
      </c>
      <c r="E3654" s="1">
        <v>9390718</v>
      </c>
      <c r="F3654" s="1">
        <v>30767917</v>
      </c>
      <c r="G3654" s="16">
        <v>22954.112753387457</v>
      </c>
      <c r="H3654">
        <v>68.78</v>
      </c>
      <c r="I3654" s="1">
        <v>261.28999999999996</v>
      </c>
      <c r="J3654" s="16">
        <v>339764.07880810875</v>
      </c>
      <c r="K3654" s="5">
        <v>0.24229424259594257</v>
      </c>
      <c r="L3654" s="10">
        <v>673734.94620000001</v>
      </c>
    </row>
    <row r="3655" spans="1:12" x14ac:dyDescent="0.25">
      <c r="A3655">
        <v>3654</v>
      </c>
      <c r="B3655" s="3">
        <v>0.16183819095104945</v>
      </c>
      <c r="C3655" s="3">
        <v>3.9353899379434176E-2</v>
      </c>
      <c r="D3655" s="1">
        <v>85827.084289808234</v>
      </c>
      <c r="E3655" s="1">
        <v>2727992</v>
      </c>
      <c r="F3655" s="1">
        <v>16970536</v>
      </c>
      <c r="G3655" s="16">
        <v>25114.020372511248</v>
      </c>
      <c r="H3655">
        <v>130.04</v>
      </c>
      <c r="I3655" s="1">
        <v>422.48</v>
      </c>
      <c r="J3655" s="16">
        <v>110941.10466231949</v>
      </c>
      <c r="K3655" s="5">
        <v>0.16086841268250252</v>
      </c>
      <c r="L3655" s="10">
        <v>391408.01650000003</v>
      </c>
    </row>
    <row r="3656" spans="1:12" x14ac:dyDescent="0.25">
      <c r="A3656">
        <v>3655</v>
      </c>
      <c r="B3656" s="3">
        <v>0.12485913389676101</v>
      </c>
      <c r="C3656" s="3">
        <v>2.207898490130154E-2</v>
      </c>
      <c r="D3656" s="1">
        <v>296811.5181615976</v>
      </c>
      <c r="E3656" s="1">
        <v>10821651</v>
      </c>
      <c r="F3656" s="1">
        <v>43163162</v>
      </c>
      <c r="G3656" s="16">
        <v>27784.215775058903</v>
      </c>
      <c r="H3656">
        <v>92.94</v>
      </c>
      <c r="I3656" s="1">
        <v>308.38</v>
      </c>
      <c r="J3656" s="16">
        <v>324595.7339366565</v>
      </c>
      <c r="K3656" s="5">
        <v>1.5282920314088167E-2</v>
      </c>
      <c r="L3656" s="10">
        <v>223703.4902</v>
      </c>
    </row>
    <row r="3657" spans="1:12" x14ac:dyDescent="0.25">
      <c r="A3657">
        <v>3656</v>
      </c>
      <c r="B3657" s="3">
        <v>0.11715269141785306</v>
      </c>
      <c r="C3657" s="3">
        <v>2.0960345940328091E-2</v>
      </c>
      <c r="D3657" s="1">
        <v>132648.05544859733</v>
      </c>
      <c r="E3657" s="1">
        <v>3607833</v>
      </c>
      <c r="F3657" s="1">
        <v>16661808</v>
      </c>
      <c r="G3657" s="16">
        <v>19829.735014412076</v>
      </c>
      <c r="H3657">
        <v>63.04</v>
      </c>
      <c r="I3657" s="1">
        <v>202.25</v>
      </c>
      <c r="J3657" s="16">
        <v>152477.79046300941</v>
      </c>
      <c r="K3657" s="5">
        <v>6.0143710305015599E-2</v>
      </c>
      <c r="L3657" s="10">
        <v>392584.2721</v>
      </c>
    </row>
    <row r="3658" spans="1:12" x14ac:dyDescent="0.25">
      <c r="A3658">
        <v>3657</v>
      </c>
      <c r="B3658" s="3">
        <v>0.15482459843618587</v>
      </c>
      <c r="C3658" s="3">
        <v>4.5137842176921725E-2</v>
      </c>
      <c r="D3658" s="1">
        <v>180398.92039938227</v>
      </c>
      <c r="E3658" s="1">
        <v>6616818</v>
      </c>
      <c r="F3658" s="1">
        <v>26718071</v>
      </c>
      <c r="G3658" s="16">
        <v>27557.069779792233</v>
      </c>
      <c r="H3658">
        <v>113.83</v>
      </c>
      <c r="I3658" s="1">
        <v>350.17</v>
      </c>
      <c r="J3658" s="16">
        <v>207955.99017917452</v>
      </c>
      <c r="K3658" s="5">
        <v>-1.3289426883943561E-2</v>
      </c>
      <c r="L3658" s="10">
        <v>-7819.1292999999996</v>
      </c>
    </row>
    <row r="3659" spans="1:12" x14ac:dyDescent="0.25">
      <c r="A3659">
        <v>3658</v>
      </c>
      <c r="B3659" s="3">
        <v>0.14448277036367652</v>
      </c>
      <c r="C3659" s="3">
        <v>5.1598321662200283E-2</v>
      </c>
      <c r="D3659" s="1">
        <v>143661.5265629284</v>
      </c>
      <c r="E3659" s="1">
        <v>4293956</v>
      </c>
      <c r="F3659" s="1">
        <v>16498899</v>
      </c>
      <c r="G3659" s="16">
        <v>52442.946288057021</v>
      </c>
      <c r="H3659">
        <v>234.74</v>
      </c>
      <c r="I3659" s="1">
        <v>710.61</v>
      </c>
      <c r="J3659" s="16">
        <v>196104.47285098542</v>
      </c>
      <c r="K3659" s="5">
        <v>4.620931992501881E-2</v>
      </c>
      <c r="L3659" s="10">
        <v>130264.2319</v>
      </c>
    </row>
    <row r="3660" spans="1:12" x14ac:dyDescent="0.25">
      <c r="A3660">
        <v>3659</v>
      </c>
      <c r="B3660" s="3">
        <v>0.21526998277179732</v>
      </c>
      <c r="C3660" s="3">
        <v>5.3800373618988095E-2</v>
      </c>
      <c r="D3660" s="1">
        <v>240393.1583076434</v>
      </c>
      <c r="E3660" s="1">
        <v>15119021</v>
      </c>
      <c r="F3660" s="1">
        <v>58409135</v>
      </c>
      <c r="G3660" s="16">
        <v>14148.35709920722</v>
      </c>
      <c r="H3660">
        <v>91.08</v>
      </c>
      <c r="I3660" s="1">
        <v>353.14</v>
      </c>
      <c r="J3660" s="16">
        <v>254541.51540685061</v>
      </c>
      <c r="K3660" s="5">
        <v>9.0709549907944942E-2</v>
      </c>
      <c r="L3660" s="10">
        <v>320270.9976</v>
      </c>
    </row>
    <row r="3661" spans="1:12" x14ac:dyDescent="0.25">
      <c r="A3661">
        <v>3660</v>
      </c>
      <c r="B3661" s="3">
        <v>0.11333603819311619</v>
      </c>
      <c r="C3661" s="3">
        <v>2.2917246176789967E-2</v>
      </c>
      <c r="D3661" s="1">
        <v>304210.16149344877</v>
      </c>
      <c r="E3661" s="1">
        <v>9211714</v>
      </c>
      <c r="F3661" s="1">
        <v>35412223</v>
      </c>
      <c r="G3661" s="16">
        <v>65664.824233971798</v>
      </c>
      <c r="H3661">
        <v>229.06</v>
      </c>
      <c r="I3661" s="1">
        <v>626.07999999999993</v>
      </c>
      <c r="J3661" s="16">
        <v>369874.98572742054</v>
      </c>
      <c r="K3661" s="5">
        <v>0.32243783758150685</v>
      </c>
      <c r="L3661" s="10">
        <v>4448235.7018999998</v>
      </c>
    </row>
    <row r="3662" spans="1:12" x14ac:dyDescent="0.25">
      <c r="A3662">
        <v>3661</v>
      </c>
      <c r="B3662" s="3">
        <v>0.23432595729540381</v>
      </c>
      <c r="C3662" s="3">
        <v>2.886768951680075E-2</v>
      </c>
      <c r="D3662" s="1">
        <v>135598.98718294874</v>
      </c>
      <c r="E3662" s="1">
        <v>9643617</v>
      </c>
      <c r="F3662" s="1">
        <v>45003810</v>
      </c>
      <c r="G3662" s="16">
        <v>20017.000004392205</v>
      </c>
      <c r="H3662">
        <v>195.17</v>
      </c>
      <c r="I3662" s="1">
        <v>567.54999999999995</v>
      </c>
      <c r="J3662" s="16">
        <v>155615.98718734094</v>
      </c>
      <c r="K3662" s="5">
        <v>0.11965665089880886</v>
      </c>
      <c r="L3662" s="10">
        <v>579590.72869999998</v>
      </c>
    </row>
    <row r="3663" spans="1:12" x14ac:dyDescent="0.25">
      <c r="A3663">
        <v>3662</v>
      </c>
      <c r="B3663" s="3">
        <v>0.21316040844342513</v>
      </c>
      <c r="C3663" s="3">
        <v>2.4985103748238351E-2</v>
      </c>
      <c r="D3663" s="1">
        <v>52902.930015499333</v>
      </c>
      <c r="E3663" s="1">
        <v>1599227</v>
      </c>
      <c r="F3663" s="1">
        <v>9142204</v>
      </c>
      <c r="G3663" s="16">
        <v>21689.572103126855</v>
      </c>
      <c r="H3663">
        <v>174.64</v>
      </c>
      <c r="I3663" s="1">
        <v>463.43999999999994</v>
      </c>
      <c r="J3663" s="16">
        <v>74592.502118626187</v>
      </c>
      <c r="K3663" s="5">
        <v>2.4627026292794549E-2</v>
      </c>
      <c r="L3663" s="10">
        <v>68126.188699999999</v>
      </c>
    </row>
    <row r="3664" spans="1:12" x14ac:dyDescent="0.25">
      <c r="A3664">
        <v>3663</v>
      </c>
      <c r="B3664" s="3">
        <v>0.21958299134924203</v>
      </c>
      <c r="C3664" s="3">
        <v>2.0975759831647442E-2</v>
      </c>
      <c r="D3664" s="1">
        <v>167765.35361936723</v>
      </c>
      <c r="E3664" s="1">
        <v>8464435</v>
      </c>
      <c r="F3664" s="1">
        <v>34060742</v>
      </c>
      <c r="G3664" s="16">
        <v>19114.099580775834</v>
      </c>
      <c r="H3664">
        <v>163.06</v>
      </c>
      <c r="I3664" s="1">
        <v>707.03</v>
      </c>
      <c r="J3664" s="16">
        <v>186879.45320014306</v>
      </c>
      <c r="K3664" s="5">
        <v>0.21136861004754301</v>
      </c>
      <c r="L3664" s="10">
        <v>1661648.7943</v>
      </c>
    </row>
    <row r="3665" spans="1:12" x14ac:dyDescent="0.25">
      <c r="A3665">
        <v>3664</v>
      </c>
      <c r="B3665" s="3">
        <v>0.24721043320499139</v>
      </c>
      <c r="C3665" s="3">
        <v>6.2216811051920493E-2</v>
      </c>
      <c r="D3665" s="1">
        <v>71597.801221721384</v>
      </c>
      <c r="E3665" s="1">
        <v>3141096</v>
      </c>
      <c r="F3665" s="1">
        <v>19762131</v>
      </c>
      <c r="G3665" s="16">
        <v>10412.773896943134</v>
      </c>
      <c r="H3665">
        <v>85.9</v>
      </c>
      <c r="I3665" s="1">
        <v>318.07</v>
      </c>
      <c r="J3665" s="16">
        <v>82010.575118664521</v>
      </c>
      <c r="K3665" s="5">
        <v>3.9923686010139986E-3</v>
      </c>
      <c r="L3665" s="10">
        <v>25727.879499999999</v>
      </c>
    </row>
    <row r="3666" spans="1:12" x14ac:dyDescent="0.25">
      <c r="A3666">
        <v>3665</v>
      </c>
      <c r="B3666" s="3">
        <v>0.12116968338755957</v>
      </c>
      <c r="C3666" s="3">
        <v>5.8722154570684318E-2</v>
      </c>
      <c r="D3666" s="1">
        <v>290128.03424132342</v>
      </c>
      <c r="E3666" s="1">
        <v>9102742</v>
      </c>
      <c r="F3666" s="1">
        <v>38127750</v>
      </c>
      <c r="G3666" s="16">
        <v>39065.246430216437</v>
      </c>
      <c r="H3666">
        <v>127.61</v>
      </c>
      <c r="I3666" s="1">
        <v>356.95000000000005</v>
      </c>
      <c r="J3666" s="16">
        <v>329193.28067153983</v>
      </c>
      <c r="K3666" s="5">
        <v>6.459640361224725E-2</v>
      </c>
      <c r="L3666" s="10">
        <v>297275.27710000001</v>
      </c>
    </row>
    <row r="3667" spans="1:12" x14ac:dyDescent="0.25">
      <c r="A3667">
        <v>3666</v>
      </c>
      <c r="B3667" s="3">
        <v>0.17073086447885671</v>
      </c>
      <c r="C3667" s="3">
        <v>6.0636730663806274E-2</v>
      </c>
      <c r="D3667" s="1">
        <v>101073.41806460258</v>
      </c>
      <c r="E3667" s="1">
        <v>3317063</v>
      </c>
      <c r="F3667" s="1">
        <v>17011863</v>
      </c>
      <c r="G3667" s="16">
        <v>26755.794705640928</v>
      </c>
      <c r="H3667">
        <v>149.24</v>
      </c>
      <c r="I3667" s="1">
        <v>426.64</v>
      </c>
      <c r="J3667" s="16">
        <v>127829.21277024351</v>
      </c>
      <c r="K3667" s="5">
        <v>1.9308789115581589E-2</v>
      </c>
      <c r="L3667" s="10">
        <v>58422.449800000002</v>
      </c>
    </row>
    <row r="3668" spans="1:12" x14ac:dyDescent="0.25">
      <c r="A3668">
        <v>3667</v>
      </c>
      <c r="B3668" s="3">
        <v>0.18527857235288472</v>
      </c>
      <c r="C3668" s="3">
        <v>5.6338904271955537E-2</v>
      </c>
      <c r="D3668" s="1">
        <v>133799.00965736297</v>
      </c>
      <c r="E3668" s="1">
        <v>5683538</v>
      </c>
      <c r="F3668" s="1">
        <v>32603586</v>
      </c>
      <c r="G3668" s="16">
        <v>18205.592415326373</v>
      </c>
      <c r="H3668">
        <v>93.75</v>
      </c>
      <c r="I3668" s="1">
        <v>333.57</v>
      </c>
      <c r="J3668" s="16">
        <v>152004.60207268933</v>
      </c>
      <c r="K3668" s="5">
        <v>0.15805707582828682</v>
      </c>
      <c r="L3668" s="10">
        <v>335348.83439999999</v>
      </c>
    </row>
    <row r="3669" spans="1:12" x14ac:dyDescent="0.25">
      <c r="A3669">
        <v>3668</v>
      </c>
      <c r="B3669" s="3">
        <v>0.10842283025030823</v>
      </c>
      <c r="C3669" s="3">
        <v>2.2697113154157501E-2</v>
      </c>
      <c r="D3669" s="1">
        <v>222551.82372400875</v>
      </c>
      <c r="E3669" s="1">
        <v>6591715</v>
      </c>
      <c r="F3669" s="1">
        <v>23181102</v>
      </c>
      <c r="G3669" s="16">
        <v>42524.058056757298</v>
      </c>
      <c r="H3669">
        <v>142.72</v>
      </c>
      <c r="I3669" s="1">
        <v>466.01</v>
      </c>
      <c r="J3669" s="16">
        <v>265075.88178076607</v>
      </c>
      <c r="K3669" s="5">
        <v>1.980225944360723E-2</v>
      </c>
      <c r="L3669" s="10">
        <v>221963.5104</v>
      </c>
    </row>
    <row r="3670" spans="1:12" x14ac:dyDescent="0.25">
      <c r="A3670">
        <v>3669</v>
      </c>
      <c r="B3670" s="3">
        <v>0.20563963570487737</v>
      </c>
      <c r="C3670" s="3">
        <v>2.1650485382408786E-2</v>
      </c>
      <c r="D3670" s="1">
        <v>60721.257766025134</v>
      </c>
      <c r="E3670" s="1">
        <v>2267206</v>
      </c>
      <c r="F3670" s="1">
        <v>14084018</v>
      </c>
      <c r="G3670" s="16">
        <v>29392.621077393997</v>
      </c>
      <c r="H3670">
        <v>221.73</v>
      </c>
      <c r="I3670" s="1">
        <v>602.15</v>
      </c>
      <c r="J3670" s="16">
        <v>90113.878843419137</v>
      </c>
      <c r="K3670" s="5">
        <v>0.17922547956286133</v>
      </c>
      <c r="L3670" s="10">
        <v>663125.16310000001</v>
      </c>
    </row>
    <row r="3671" spans="1:12" x14ac:dyDescent="0.25">
      <c r="A3671">
        <v>3670</v>
      </c>
      <c r="B3671" s="3">
        <v>0.20646402487297294</v>
      </c>
      <c r="C3671" s="3">
        <v>2.1639032749543138E-2</v>
      </c>
      <c r="D3671" s="1">
        <v>183816.79989688922</v>
      </c>
      <c r="E3671" s="1">
        <v>8676041</v>
      </c>
      <c r="F3671" s="1">
        <v>40392051</v>
      </c>
      <c r="G3671" s="16">
        <v>6134.3093134009032</v>
      </c>
      <c r="H3671">
        <v>29.3</v>
      </c>
      <c r="I3671" s="1">
        <v>131.44999999999999</v>
      </c>
      <c r="J3671" s="16">
        <v>189951.10921029013</v>
      </c>
      <c r="K3671" s="5">
        <v>0.20085635033163782</v>
      </c>
      <c r="L3671" s="10">
        <v>1551799.5257999999</v>
      </c>
    </row>
    <row r="3672" spans="1:12" x14ac:dyDescent="0.25">
      <c r="A3672">
        <v>3671</v>
      </c>
      <c r="B3672" s="3">
        <v>0.19588270064084329</v>
      </c>
      <c r="C3672" s="3">
        <v>6.5526381619850596E-2</v>
      </c>
      <c r="D3672" s="1">
        <v>57117.531212909336</v>
      </c>
      <c r="E3672" s="1">
        <v>2055959</v>
      </c>
      <c r="F3672" s="1">
        <v>13212641</v>
      </c>
      <c r="G3672" s="16">
        <v>64949.075836788557</v>
      </c>
      <c r="H3672">
        <v>559.6</v>
      </c>
      <c r="I3672" s="1">
        <v>1355.33</v>
      </c>
      <c r="J3672" s="16">
        <v>122066.60704969789</v>
      </c>
      <c r="K3672" s="5">
        <v>9.3644731212018745E-2</v>
      </c>
      <c r="L3672" s="10">
        <v>149859.7114</v>
      </c>
    </row>
    <row r="3673" spans="1:12" x14ac:dyDescent="0.25">
      <c r="A3673">
        <v>3672</v>
      </c>
      <c r="B3673" s="3">
        <v>0.1410586945081625</v>
      </c>
      <c r="C3673" s="3">
        <v>2.7903558119696574E-2</v>
      </c>
      <c r="D3673" s="1">
        <v>118396.55243106121</v>
      </c>
      <c r="E3673" s="1">
        <v>3496649</v>
      </c>
      <c r="F3673" s="1">
        <v>11842438</v>
      </c>
      <c r="G3673" s="16">
        <v>24868.988907309216</v>
      </c>
      <c r="H3673">
        <v>93.06</v>
      </c>
      <c r="I3673" s="1">
        <v>360.52</v>
      </c>
      <c r="J3673" s="16">
        <v>143265.54133837041</v>
      </c>
      <c r="K3673" s="5">
        <v>0.21590889403484467</v>
      </c>
      <c r="L3673" s="10">
        <v>912581.53099999996</v>
      </c>
    </row>
    <row r="3674" spans="1:12" x14ac:dyDescent="0.25">
      <c r="A3674">
        <v>3673</v>
      </c>
      <c r="B3674" s="3">
        <v>0.23100265764216632</v>
      </c>
      <c r="C3674" s="3">
        <v>7.2855980447267113E-2</v>
      </c>
      <c r="D3674" s="1">
        <v>183288.67553095514</v>
      </c>
      <c r="E3674" s="1">
        <v>12755999</v>
      </c>
      <c r="F3674" s="1">
        <v>57952617</v>
      </c>
      <c r="G3674" s="16">
        <v>25050.920512694443</v>
      </c>
      <c r="H3674">
        <v>307.83</v>
      </c>
      <c r="I3674" s="1">
        <v>935.16000000000008</v>
      </c>
      <c r="J3674" s="16">
        <v>208339.5960436496</v>
      </c>
      <c r="K3674" s="5">
        <v>8.0544048423545997E-2</v>
      </c>
      <c r="L3674" s="10">
        <v>185010.666</v>
      </c>
    </row>
    <row r="3675" spans="1:12" x14ac:dyDescent="0.25">
      <c r="A3675">
        <v>3674</v>
      </c>
      <c r="B3675" s="3">
        <v>0.12107853260054736</v>
      </c>
      <c r="C3675" s="3">
        <v>5.6513254523526679E-2</v>
      </c>
      <c r="D3675" s="1">
        <v>245958.64341685211</v>
      </c>
      <c r="E3675" s="1">
        <v>7713739</v>
      </c>
      <c r="F3675" s="1">
        <v>28672590</v>
      </c>
      <c r="G3675" s="16">
        <v>51306.701908462426</v>
      </c>
      <c r="H3675">
        <v>190.41</v>
      </c>
      <c r="I3675" s="1">
        <v>495.70000000000005</v>
      </c>
      <c r="J3675" s="16">
        <v>297265.34532531456</v>
      </c>
      <c r="K3675" s="5">
        <v>7.2106885013544217E-2</v>
      </c>
      <c r="L3675" s="10">
        <v>277364.2365</v>
      </c>
    </row>
    <row r="3676" spans="1:12" x14ac:dyDescent="0.25">
      <c r="A3676">
        <v>3675</v>
      </c>
      <c r="B3676" s="3">
        <v>0.12590453391208384</v>
      </c>
      <c r="C3676" s="3">
        <v>3.241924642710807E-2</v>
      </c>
      <c r="D3676" s="1">
        <v>183457.43464606768</v>
      </c>
      <c r="E3676" s="1">
        <v>5881693</v>
      </c>
      <c r="F3676" s="1">
        <v>27856166</v>
      </c>
      <c r="G3676" s="16">
        <v>100586.96742505128</v>
      </c>
      <c r="H3676">
        <v>444.5</v>
      </c>
      <c r="I3676" s="1">
        <v>1020.56</v>
      </c>
      <c r="J3676" s="16">
        <v>284044.40207111894</v>
      </c>
      <c r="K3676" s="5">
        <v>4.3768961324982092E-2</v>
      </c>
      <c r="L3676" s="10">
        <v>304078.51980000001</v>
      </c>
    </row>
    <row r="3677" spans="1:12" x14ac:dyDescent="0.25">
      <c r="A3677">
        <v>3676</v>
      </c>
      <c r="B3677" s="3">
        <v>0.23352191273366502</v>
      </c>
      <c r="C3677" s="3">
        <v>3.0416360347797339E-2</v>
      </c>
      <c r="D3677" s="1">
        <v>143810.21227633164</v>
      </c>
      <c r="E3677" s="1">
        <v>7798181</v>
      </c>
      <c r="F3677" s="1">
        <v>31522470</v>
      </c>
      <c r="G3677" s="16">
        <v>10573.137561301182</v>
      </c>
      <c r="H3677">
        <v>60.18</v>
      </c>
      <c r="I3677" s="1">
        <v>190.01</v>
      </c>
      <c r="J3677" s="16">
        <v>154383.34983763282</v>
      </c>
      <c r="K3677" s="5">
        <v>0.1611536098735612</v>
      </c>
      <c r="L3677" s="10">
        <v>672894.353</v>
      </c>
    </row>
    <row r="3678" spans="1:12" x14ac:dyDescent="0.25">
      <c r="A3678">
        <v>3677</v>
      </c>
      <c r="B3678" s="3">
        <v>0.16566848780863319</v>
      </c>
      <c r="C3678" s="3">
        <v>5.4079509909912032E-2</v>
      </c>
      <c r="D3678" s="1">
        <v>355317.84446611354</v>
      </c>
      <c r="E3678" s="1">
        <v>16448502</v>
      </c>
      <c r="F3678" s="1">
        <v>57469138</v>
      </c>
      <c r="G3678" s="16">
        <v>65460.094038687268</v>
      </c>
      <c r="H3678">
        <v>419.66</v>
      </c>
      <c r="I3678" s="1">
        <v>1363.99</v>
      </c>
      <c r="J3678" s="16">
        <v>420777.93850480078</v>
      </c>
      <c r="K3678" s="5">
        <v>0.26944320345816575</v>
      </c>
      <c r="L3678" s="10">
        <v>1520045.7261999999</v>
      </c>
    </row>
    <row r="3679" spans="1:12" x14ac:dyDescent="0.25">
      <c r="A3679">
        <v>3678</v>
      </c>
      <c r="B3679" s="3">
        <v>0.14839560463863088</v>
      </c>
      <c r="C3679" s="3">
        <v>4.2866079327037634E-2</v>
      </c>
      <c r="D3679" s="1">
        <v>292039.25218903314</v>
      </c>
      <c r="E3679" s="1">
        <v>10391832</v>
      </c>
      <c r="F3679" s="1">
        <v>42701531</v>
      </c>
      <c r="G3679" s="16">
        <v>13605.719241735966</v>
      </c>
      <c r="H3679">
        <v>45.66</v>
      </c>
      <c r="I3679" s="1">
        <v>183.60999999999999</v>
      </c>
      <c r="J3679" s="16">
        <v>305644.97143076913</v>
      </c>
      <c r="K3679" s="5">
        <v>0.19982494903381109</v>
      </c>
      <c r="L3679" s="10">
        <v>1105060.6058</v>
      </c>
    </row>
    <row r="3680" spans="1:12" x14ac:dyDescent="0.25">
      <c r="A3680">
        <v>3679</v>
      </c>
      <c r="B3680" s="3">
        <v>0.15575073269217768</v>
      </c>
      <c r="C3680" s="3">
        <v>6.1745735472490057E-2</v>
      </c>
      <c r="D3680" s="1">
        <v>453661.01259658003</v>
      </c>
      <c r="E3680" s="1">
        <v>19796140</v>
      </c>
      <c r="F3680" s="1">
        <v>62456449</v>
      </c>
      <c r="G3680" s="16">
        <v>34898.946484290282</v>
      </c>
      <c r="H3680">
        <v>172</v>
      </c>
      <c r="I3680" s="1">
        <v>554.13</v>
      </c>
      <c r="J3680" s="16">
        <v>488559.95908087032</v>
      </c>
      <c r="K3680" s="5">
        <v>0.22394875789972921</v>
      </c>
      <c r="L3680" s="10">
        <v>1173372.8663999999</v>
      </c>
    </row>
    <row r="3681" spans="1:12" x14ac:dyDescent="0.25">
      <c r="A3681">
        <v>3680</v>
      </c>
      <c r="B3681" s="3">
        <v>0.13214603895779761</v>
      </c>
      <c r="C3681" s="3">
        <v>5.266211549025028E-2</v>
      </c>
      <c r="D3681" s="1">
        <v>111509.79938081648</v>
      </c>
      <c r="E3681" s="1">
        <v>3192832</v>
      </c>
      <c r="F3681" s="1">
        <v>19868479</v>
      </c>
      <c r="G3681" s="16">
        <v>68714.792051189463</v>
      </c>
      <c r="H3681">
        <v>278.85000000000002</v>
      </c>
      <c r="I3681" s="1">
        <v>687.22</v>
      </c>
      <c r="J3681" s="16">
        <v>180224.59143200592</v>
      </c>
      <c r="K3681" s="5">
        <v>6.2280075683504958E-2</v>
      </c>
      <c r="L3681" s="10">
        <v>174652.39110000001</v>
      </c>
    </row>
    <row r="3682" spans="1:12" x14ac:dyDescent="0.25">
      <c r="A3682">
        <v>3681</v>
      </c>
      <c r="B3682" s="3">
        <v>0.20848877358321596</v>
      </c>
      <c r="C3682" s="3">
        <v>2.7408929351007735E-2</v>
      </c>
      <c r="D3682" s="1">
        <v>145249.98953312484</v>
      </c>
      <c r="E3682" s="1">
        <v>5482110</v>
      </c>
      <c r="F3682" s="1">
        <v>20249751</v>
      </c>
      <c r="G3682" s="16">
        <v>27460.610576247713</v>
      </c>
      <c r="H3682">
        <v>212.51</v>
      </c>
      <c r="I3682" s="1">
        <v>622.88</v>
      </c>
      <c r="J3682" s="16">
        <v>172710.60010937255</v>
      </c>
      <c r="K3682" s="5">
        <v>-2.9944901024119355E-2</v>
      </c>
      <c r="L3682" s="10">
        <v>-152994.8566</v>
      </c>
    </row>
    <row r="3683" spans="1:12" x14ac:dyDescent="0.25">
      <c r="A3683">
        <v>3682</v>
      </c>
      <c r="B3683" s="3">
        <v>0.20345926807842016</v>
      </c>
      <c r="C3683" s="3">
        <v>2.0286144269431091E-2</v>
      </c>
      <c r="D3683" s="1">
        <v>84273.52854682818</v>
      </c>
      <c r="E3683" s="1">
        <v>3120832</v>
      </c>
      <c r="F3683" s="1">
        <v>19118816</v>
      </c>
      <c r="G3683" s="16">
        <v>19935.795835264606</v>
      </c>
      <c r="H3683">
        <v>117.43</v>
      </c>
      <c r="I3683" s="1">
        <v>351.74</v>
      </c>
      <c r="J3683" s="16">
        <v>104209.32438209279</v>
      </c>
      <c r="K3683" s="5">
        <v>0.25354280754615199</v>
      </c>
      <c r="L3683" s="10">
        <v>1177825.6762999999</v>
      </c>
    </row>
    <row r="3684" spans="1:12" x14ac:dyDescent="0.25">
      <c r="A3684">
        <v>3683</v>
      </c>
      <c r="B3684" s="3">
        <v>0.11359973670869973</v>
      </c>
      <c r="C3684" s="3">
        <v>2.1959497360474711E-2</v>
      </c>
      <c r="D3684" s="1">
        <v>241970.85699804517</v>
      </c>
      <c r="E3684" s="1">
        <v>7335781</v>
      </c>
      <c r="F3684" s="1">
        <v>29703192</v>
      </c>
      <c r="G3684" s="16">
        <v>42764.061578793327</v>
      </c>
      <c r="H3684">
        <v>149.84</v>
      </c>
      <c r="I3684" s="1">
        <v>458.39</v>
      </c>
      <c r="J3684" s="16">
        <v>284734.91857683851</v>
      </c>
      <c r="K3684" s="5">
        <v>3.9526526718693708E-2</v>
      </c>
      <c r="L3684" s="10">
        <v>419298.19569999998</v>
      </c>
    </row>
    <row r="3685" spans="1:12" x14ac:dyDescent="0.25">
      <c r="A3685">
        <v>3684</v>
      </c>
      <c r="B3685" s="3">
        <v>0.13042633165921957</v>
      </c>
      <c r="C3685" s="3">
        <v>7.9738900252432313E-2</v>
      </c>
      <c r="D3685" s="1">
        <v>615194.39763087756</v>
      </c>
      <c r="E3685" s="1">
        <v>23157052</v>
      </c>
      <c r="F3685" s="1">
        <v>67859238</v>
      </c>
      <c r="G3685" s="16">
        <v>19894.138793094375</v>
      </c>
      <c r="H3685">
        <v>69.37</v>
      </c>
      <c r="I3685" s="1">
        <v>296.13</v>
      </c>
      <c r="J3685" s="16">
        <v>635088.53642397188</v>
      </c>
      <c r="K3685" s="5">
        <v>0.20437082414131813</v>
      </c>
      <c r="L3685" s="10">
        <v>1011411.7609</v>
      </c>
    </row>
    <row r="3686" spans="1:12" x14ac:dyDescent="0.25">
      <c r="A3686">
        <v>3685</v>
      </c>
      <c r="B3686" s="3">
        <v>0.14249029849506031</v>
      </c>
      <c r="C3686" s="3">
        <v>3.33022197414264E-2</v>
      </c>
      <c r="D3686" s="1">
        <v>343640.39447487897</v>
      </c>
      <c r="E3686" s="1">
        <v>13871123</v>
      </c>
      <c r="F3686" s="1">
        <v>46590966</v>
      </c>
      <c r="G3686" s="16">
        <v>39035.653827830531</v>
      </c>
      <c r="H3686">
        <v>172.37</v>
      </c>
      <c r="I3686" s="1">
        <v>546.46</v>
      </c>
      <c r="J3686" s="16">
        <v>382676.04830270947</v>
      </c>
      <c r="K3686" s="5">
        <v>0.13932986709889564</v>
      </c>
      <c r="L3686" s="10">
        <v>1280729.176</v>
      </c>
    </row>
    <row r="3687" spans="1:12" x14ac:dyDescent="0.25">
      <c r="A3687">
        <v>3686</v>
      </c>
      <c r="B3687" s="3">
        <v>0.21663128707295914</v>
      </c>
      <c r="C3687" s="3">
        <v>7.9021321880336309E-2</v>
      </c>
      <c r="D3687" s="1">
        <v>59770.341610529838</v>
      </c>
      <c r="E3687" s="1">
        <v>2326960</v>
      </c>
      <c r="F3687" s="1">
        <v>17345596</v>
      </c>
      <c r="G3687" s="16">
        <v>15196.172882454248</v>
      </c>
      <c r="H3687">
        <v>126.28</v>
      </c>
      <c r="I3687" s="1">
        <v>510.32000000000005</v>
      </c>
      <c r="J3687" s="16">
        <v>74966.51449298409</v>
      </c>
      <c r="K3687" s="5">
        <v>0.10950868986144732</v>
      </c>
      <c r="L3687" s="10">
        <v>81586.579500000007</v>
      </c>
    </row>
    <row r="3688" spans="1:12" x14ac:dyDescent="0.25">
      <c r="A3688">
        <v>3687</v>
      </c>
      <c r="B3688" s="3">
        <v>0.18956901907827661</v>
      </c>
      <c r="C3688" s="3">
        <v>4.1176144636113257E-2</v>
      </c>
      <c r="D3688" s="1">
        <v>163417.11397492202</v>
      </c>
      <c r="E3688" s="1">
        <v>7089843</v>
      </c>
      <c r="F3688" s="1">
        <v>27924443</v>
      </c>
      <c r="G3688" s="16">
        <v>20170.940599781319</v>
      </c>
      <c r="H3688">
        <v>107.18</v>
      </c>
      <c r="I3688" s="1">
        <v>303.76</v>
      </c>
      <c r="J3688" s="16">
        <v>183588.05457470333</v>
      </c>
      <c r="K3688" s="5">
        <v>4.6848375251375113E-2</v>
      </c>
      <c r="L3688" s="10">
        <v>200416.932</v>
      </c>
    </row>
    <row r="3689" spans="1:12" x14ac:dyDescent="0.25">
      <c r="A3689">
        <v>3688</v>
      </c>
      <c r="B3689" s="3">
        <v>0.10606065670597518</v>
      </c>
      <c r="C3689" s="3">
        <v>5.8391439652382623E-2</v>
      </c>
      <c r="D3689" s="1">
        <v>548106.32037591725</v>
      </c>
      <c r="E3689" s="1">
        <v>17969147</v>
      </c>
      <c r="F3689" s="1">
        <v>57909360</v>
      </c>
      <c r="G3689" s="16">
        <v>28052.156942959478</v>
      </c>
      <c r="H3689">
        <v>82.67</v>
      </c>
      <c r="I3689" s="1">
        <v>304.34000000000003</v>
      </c>
      <c r="J3689" s="16">
        <v>576158.47731887677</v>
      </c>
      <c r="K3689" s="5">
        <v>0.1864774982085953</v>
      </c>
      <c r="L3689" s="10">
        <v>1246694.3417</v>
      </c>
    </row>
    <row r="3690" spans="1:12" x14ac:dyDescent="0.25">
      <c r="A3690">
        <v>3689</v>
      </c>
      <c r="B3690" s="3">
        <v>0.12337841826753493</v>
      </c>
      <c r="C3690" s="3">
        <v>4.858402507461055E-2</v>
      </c>
      <c r="D3690" s="1">
        <v>61888.760267881968</v>
      </c>
      <c r="E3690" s="1">
        <v>1719405</v>
      </c>
      <c r="F3690" s="1">
        <v>12079150</v>
      </c>
      <c r="G3690" s="16">
        <v>28002.059277499327</v>
      </c>
      <c r="H3690">
        <v>92.83</v>
      </c>
      <c r="I3690" s="1">
        <v>256.55</v>
      </c>
      <c r="J3690" s="16">
        <v>89890.819545381295</v>
      </c>
      <c r="K3690" s="5">
        <v>0.11678354549973585</v>
      </c>
      <c r="L3690" s="10">
        <v>179148.6152</v>
      </c>
    </row>
    <row r="3691" spans="1:12" x14ac:dyDescent="0.25">
      <c r="A3691">
        <v>3690</v>
      </c>
      <c r="B3691" s="3">
        <v>0.18319793986233021</v>
      </c>
      <c r="C3691" s="3">
        <v>5.6381862238563535E-2</v>
      </c>
      <c r="D3691" s="1">
        <v>115284.89060271131</v>
      </c>
      <c r="E3691" s="1">
        <v>4847390</v>
      </c>
      <c r="F3691" s="1">
        <v>22468404</v>
      </c>
      <c r="G3691" s="16">
        <v>18959.234012201388</v>
      </c>
      <c r="H3691">
        <v>117.6</v>
      </c>
      <c r="I3691" s="1">
        <v>400.87</v>
      </c>
      <c r="J3691" s="16">
        <v>134244.1246149127</v>
      </c>
      <c r="K3691" s="5">
        <v>3.6786604192824479E-2</v>
      </c>
      <c r="L3691" s="10">
        <v>81820.371199999994</v>
      </c>
    </row>
    <row r="3692" spans="1:12" x14ac:dyDescent="0.25">
      <c r="A3692">
        <v>3691</v>
      </c>
      <c r="B3692" s="3">
        <v>0.19026790310776032</v>
      </c>
      <c r="C3692" s="3">
        <v>5.0453311169875892E-2</v>
      </c>
      <c r="D3692" s="1">
        <v>123004.7857106742</v>
      </c>
      <c r="E3692" s="1">
        <v>5354994</v>
      </c>
      <c r="F3692" s="1">
        <v>35173639</v>
      </c>
      <c r="G3692" s="16">
        <v>63743.324091843191</v>
      </c>
      <c r="H3692">
        <v>518.46</v>
      </c>
      <c r="I3692" s="1">
        <v>1260.24</v>
      </c>
      <c r="J3692" s="16">
        <v>186748.1098025174</v>
      </c>
      <c r="K3692" s="5">
        <v>-1.2072476865277869E-2</v>
      </c>
      <c r="L3692" s="10">
        <v>-10875.1368</v>
      </c>
    </row>
    <row r="3693" spans="1:12" x14ac:dyDescent="0.25">
      <c r="A3693">
        <v>3692</v>
      </c>
      <c r="B3693" s="3">
        <v>0.18374241689314549</v>
      </c>
      <c r="C3693" s="3">
        <v>7.1465373947633012E-2</v>
      </c>
      <c r="D3693" s="1">
        <v>94851.821823811275</v>
      </c>
      <c r="E3693" s="1">
        <v>3264123</v>
      </c>
      <c r="F3693" s="1">
        <v>17041686</v>
      </c>
      <c r="G3693" s="16">
        <v>8134.1698420184939</v>
      </c>
      <c r="H3693">
        <v>41.38</v>
      </c>
      <c r="I3693" s="1">
        <v>237.33999999999997</v>
      </c>
      <c r="J3693" s="16">
        <v>102985.99166582977</v>
      </c>
      <c r="K3693" s="5">
        <v>3.6308083362702026E-2</v>
      </c>
      <c r="L3693" s="10">
        <v>37044.929700000001</v>
      </c>
    </row>
    <row r="3694" spans="1:12" x14ac:dyDescent="0.25">
      <c r="A3694">
        <v>3693</v>
      </c>
      <c r="B3694" s="3">
        <v>0.15458647854571222</v>
      </c>
      <c r="C3694" s="3">
        <v>3.1760288206000964E-2</v>
      </c>
      <c r="D3694" s="1">
        <v>64952.356352874973</v>
      </c>
      <c r="E3694" s="1">
        <v>2011827</v>
      </c>
      <c r="F3694" s="1">
        <v>16813737</v>
      </c>
      <c r="G3694" s="16">
        <v>22826.269244252308</v>
      </c>
      <c r="H3694">
        <v>94.03</v>
      </c>
      <c r="I3694" s="1">
        <v>302.53000000000003</v>
      </c>
      <c r="J3694" s="16">
        <v>87778.625597127277</v>
      </c>
      <c r="K3694" s="5">
        <v>2.7529931794691702E-2</v>
      </c>
      <c r="L3694" s="10">
        <v>96158.059500000003</v>
      </c>
    </row>
    <row r="3695" spans="1:12" x14ac:dyDescent="0.25">
      <c r="A3695">
        <v>3694</v>
      </c>
      <c r="B3695" s="3">
        <v>0.20822855272207541</v>
      </c>
      <c r="C3695" s="3">
        <v>3.8742462987262166E-2</v>
      </c>
      <c r="D3695" s="1">
        <v>202974.46101939605</v>
      </c>
      <c r="E3695" s="1">
        <v>12208021</v>
      </c>
      <c r="F3695" s="1">
        <v>48142319</v>
      </c>
      <c r="G3695" s="16">
        <v>31299.285716485138</v>
      </c>
      <c r="H3695">
        <v>241.67</v>
      </c>
      <c r="I3695" s="1">
        <v>662.39</v>
      </c>
      <c r="J3695" s="16">
        <v>234273.7467358812</v>
      </c>
      <c r="K3695" s="5">
        <v>9.8753869177151954E-2</v>
      </c>
      <c r="L3695" s="10">
        <v>538735.61219999997</v>
      </c>
    </row>
    <row r="3696" spans="1:12" x14ac:dyDescent="0.25">
      <c r="A3696">
        <v>3695</v>
      </c>
      <c r="B3696" s="3">
        <v>0.14522049473183329</v>
      </c>
      <c r="C3696" s="3">
        <v>4.459063854132081E-2</v>
      </c>
      <c r="D3696" s="1">
        <v>240955.94720257696</v>
      </c>
      <c r="E3696" s="1">
        <v>8447414</v>
      </c>
      <c r="F3696" s="1">
        <v>26108345</v>
      </c>
      <c r="G3696" s="16">
        <v>63056.721777281724</v>
      </c>
      <c r="H3696">
        <v>284.56</v>
      </c>
      <c r="I3696" s="1">
        <v>681.59999999999991</v>
      </c>
      <c r="J3696" s="16">
        <v>304012.66897985869</v>
      </c>
      <c r="K3696" s="5">
        <v>0.19025351998408005</v>
      </c>
      <c r="L3696" s="10">
        <v>957436.59860000003</v>
      </c>
    </row>
    <row r="3697" spans="1:12" x14ac:dyDescent="0.25">
      <c r="A3697">
        <v>3696</v>
      </c>
      <c r="B3697" s="3">
        <v>0.2132848013697039</v>
      </c>
      <c r="C3697" s="3">
        <v>6.3736011854216734E-2</v>
      </c>
      <c r="D3697" s="1">
        <v>102998.83082435252</v>
      </c>
      <c r="E3697" s="1">
        <v>6396572</v>
      </c>
      <c r="F3697" s="1">
        <v>43452740</v>
      </c>
      <c r="G3697" s="16">
        <v>12611.790155655144</v>
      </c>
      <c r="H3697">
        <v>80.03</v>
      </c>
      <c r="I3697" s="1">
        <v>331.78</v>
      </c>
      <c r="J3697" s="16">
        <v>115610.62098000766</v>
      </c>
      <c r="K3697" s="5">
        <v>-5.1191371874779228E-2</v>
      </c>
      <c r="L3697" s="10">
        <v>-37562.186300000001</v>
      </c>
    </row>
    <row r="3698" spans="1:12" x14ac:dyDescent="0.25">
      <c r="A3698">
        <v>3697</v>
      </c>
      <c r="B3698" s="3">
        <v>0.14984124061432044</v>
      </c>
      <c r="C3698" s="3">
        <v>2.3877745055115543E-2</v>
      </c>
      <c r="D3698" s="1">
        <v>131478.10047638544</v>
      </c>
      <c r="E3698" s="1">
        <v>4004569</v>
      </c>
      <c r="F3698" s="1">
        <v>19002344</v>
      </c>
      <c r="G3698" s="16">
        <v>19839.400907289528</v>
      </c>
      <c r="H3698">
        <v>79</v>
      </c>
      <c r="I3698" s="1">
        <v>336.9</v>
      </c>
      <c r="J3698" s="16">
        <v>151317.50138367497</v>
      </c>
      <c r="K3698" s="5">
        <v>5.4813439842540779E-2</v>
      </c>
      <c r="L3698" s="10">
        <v>332691.4437</v>
      </c>
    </row>
    <row r="3699" spans="1:12" x14ac:dyDescent="0.25">
      <c r="A3699">
        <v>3698</v>
      </c>
      <c r="B3699" s="3">
        <v>0.18109670119287591</v>
      </c>
      <c r="C3699" s="3">
        <v>3.5193829857157216E-2</v>
      </c>
      <c r="D3699" s="1">
        <v>115025.58203755184</v>
      </c>
      <c r="E3699" s="1">
        <v>4787038</v>
      </c>
      <c r="F3699" s="1">
        <v>28894451</v>
      </c>
      <c r="G3699" s="16">
        <v>21679.209901145987</v>
      </c>
      <c r="H3699">
        <v>108.1</v>
      </c>
      <c r="I3699" s="1">
        <v>353.09000000000003</v>
      </c>
      <c r="J3699" s="16">
        <v>136704.79193869783</v>
      </c>
      <c r="K3699" s="5">
        <v>-2.1037693827884986E-2</v>
      </c>
      <c r="L3699" s="10">
        <v>-39078.341</v>
      </c>
    </row>
    <row r="3700" spans="1:12" x14ac:dyDescent="0.25">
      <c r="A3700">
        <v>3699</v>
      </c>
      <c r="B3700" s="3">
        <v>0.23057959584812868</v>
      </c>
      <c r="C3700" s="3">
        <v>4.6945914816658114E-2</v>
      </c>
      <c r="D3700" s="1">
        <v>99549.943685390812</v>
      </c>
      <c r="E3700" s="1">
        <v>5316051</v>
      </c>
      <c r="F3700" s="1">
        <v>25765747</v>
      </c>
      <c r="G3700" s="16">
        <v>30156.448251769554</v>
      </c>
      <c r="H3700">
        <v>283.94</v>
      </c>
      <c r="I3700" s="1">
        <v>752.03</v>
      </c>
      <c r="J3700" s="16">
        <v>129706.39193716037</v>
      </c>
      <c r="K3700" s="5">
        <v>7.6775556916132248E-2</v>
      </c>
      <c r="L3700" s="10">
        <v>146285.6924</v>
      </c>
    </row>
    <row r="3701" spans="1:12" x14ac:dyDescent="0.25">
      <c r="A3701">
        <v>3700</v>
      </c>
      <c r="B3701" s="3">
        <v>0.11463219604729828</v>
      </c>
      <c r="C3701" s="3">
        <v>2.489518308349294E-2</v>
      </c>
      <c r="D3701" s="1">
        <v>210350.4494454106</v>
      </c>
      <c r="E3701" s="1">
        <v>6406945</v>
      </c>
      <c r="F3701" s="1">
        <v>25685508</v>
      </c>
      <c r="G3701" s="16">
        <v>213092.57067779545</v>
      </c>
      <c r="H3701">
        <v>959.8</v>
      </c>
      <c r="I3701" s="1">
        <v>2379.7799999999997</v>
      </c>
      <c r="J3701" s="16">
        <v>423443.02012320608</v>
      </c>
      <c r="K3701" s="5">
        <v>8.5476660171389607E-2</v>
      </c>
      <c r="L3701" s="10">
        <v>1293324.3700999999</v>
      </c>
    </row>
    <row r="3702" spans="1:12" x14ac:dyDescent="0.25">
      <c r="A3702">
        <v>3701</v>
      </c>
      <c r="B3702" s="3">
        <v>0.18568653348835129</v>
      </c>
      <c r="C3702" s="3">
        <v>7.1464446397897813E-2</v>
      </c>
      <c r="D3702" s="1">
        <v>68969.513021064718</v>
      </c>
      <c r="E3702" s="1">
        <v>2390478</v>
      </c>
      <c r="F3702" s="1">
        <v>17500767</v>
      </c>
      <c r="G3702" s="16">
        <v>27600.501516645007</v>
      </c>
      <c r="H3702">
        <v>174.77</v>
      </c>
      <c r="I3702" s="1">
        <v>529.78000000000009</v>
      </c>
      <c r="J3702" s="16">
        <v>96570.014537709721</v>
      </c>
      <c r="K3702" s="5">
        <v>0.16922442433047724</v>
      </c>
      <c r="L3702" s="10">
        <v>173812.0797</v>
      </c>
    </row>
    <row r="3703" spans="1:12" x14ac:dyDescent="0.25">
      <c r="A3703">
        <v>3702</v>
      </c>
      <c r="B3703" s="3">
        <v>0.14884006389502194</v>
      </c>
      <c r="C3703" s="3">
        <v>4.4902943109245377E-2</v>
      </c>
      <c r="D3703" s="1">
        <v>497980.45556571463</v>
      </c>
      <c r="E3703" s="1">
        <v>20862157</v>
      </c>
      <c r="F3703" s="1">
        <v>62633524</v>
      </c>
      <c r="G3703" s="16">
        <v>27961.18926813162</v>
      </c>
      <c r="H3703">
        <v>130.13999999999999</v>
      </c>
      <c r="I3703" s="1">
        <v>406.06</v>
      </c>
      <c r="J3703" s="16">
        <v>525941.64483384625</v>
      </c>
      <c r="K3703" s="5">
        <v>4.0051994856009042E-2</v>
      </c>
      <c r="L3703" s="10">
        <v>386669.19059999997</v>
      </c>
    </row>
    <row r="3704" spans="1:12" x14ac:dyDescent="0.25">
      <c r="A3704">
        <v>3703</v>
      </c>
      <c r="B3704" s="3">
        <v>0.21247869723561727</v>
      </c>
      <c r="C3704" s="3">
        <v>2.796717859714036E-2</v>
      </c>
      <c r="D3704" s="1">
        <v>99150.496395983268</v>
      </c>
      <c r="E3704" s="1">
        <v>3799364</v>
      </c>
      <c r="F3704" s="1">
        <v>17729048</v>
      </c>
      <c r="G3704" s="16">
        <v>13542.313034214352</v>
      </c>
      <c r="H3704">
        <v>85.36</v>
      </c>
      <c r="I3704" s="1">
        <v>329.3</v>
      </c>
      <c r="J3704" s="16">
        <v>112692.80943019762</v>
      </c>
      <c r="K3704" s="5">
        <v>3.7196210260811963E-2</v>
      </c>
      <c r="L3704" s="10">
        <v>136215.79569999999</v>
      </c>
    </row>
    <row r="3705" spans="1:12" x14ac:dyDescent="0.25">
      <c r="A3705">
        <v>3704</v>
      </c>
      <c r="B3705" s="3">
        <v>0.23603343332696824</v>
      </c>
      <c r="C3705" s="3">
        <v>3.9130107059409405E-2</v>
      </c>
      <c r="D3705" s="1">
        <v>217336.14381236437</v>
      </c>
      <c r="E3705" s="1">
        <v>15630159</v>
      </c>
      <c r="F3705" s="1">
        <v>67126910</v>
      </c>
      <c r="G3705" s="16">
        <v>7174.686574526665</v>
      </c>
      <c r="H3705">
        <v>54.33</v>
      </c>
      <c r="I3705" s="1">
        <v>245.38</v>
      </c>
      <c r="J3705" s="16">
        <v>224510.83038689103</v>
      </c>
      <c r="K3705" s="5">
        <v>0.23697965701435145</v>
      </c>
      <c r="L3705" s="10">
        <v>1113339.2951</v>
      </c>
    </row>
    <row r="3706" spans="1:12" x14ac:dyDescent="0.25">
      <c r="A3706">
        <v>3705</v>
      </c>
      <c r="B3706" s="3">
        <v>0.24662087977652661</v>
      </c>
      <c r="C3706" s="3">
        <v>4.3153761840950239E-2</v>
      </c>
      <c r="D3706" s="1">
        <v>153799.74448940824</v>
      </c>
      <c r="E3706" s="1">
        <v>11860160</v>
      </c>
      <c r="F3706" s="1">
        <v>46861086</v>
      </c>
      <c r="G3706" s="16">
        <v>19375.75566252635</v>
      </c>
      <c r="H3706">
        <v>211.54</v>
      </c>
      <c r="I3706" s="1">
        <v>585.06000000000006</v>
      </c>
      <c r="J3706" s="16">
        <v>173175.5001519346</v>
      </c>
      <c r="K3706" s="5">
        <v>0.27114141405098635</v>
      </c>
      <c r="L3706" s="10">
        <v>891670.84259999997</v>
      </c>
    </row>
    <row r="3707" spans="1:12" x14ac:dyDescent="0.25">
      <c r="A3707">
        <v>3706</v>
      </c>
      <c r="B3707" s="3">
        <v>0.19831987186979744</v>
      </c>
      <c r="C3707" s="3">
        <v>5.9027773751037113E-2</v>
      </c>
      <c r="D3707" s="1">
        <v>104788.88640304793</v>
      </c>
      <c r="E3707" s="1">
        <v>4748031</v>
      </c>
      <c r="F3707" s="1">
        <v>33948299</v>
      </c>
      <c r="G3707" s="16">
        <v>33991.964169364124</v>
      </c>
      <c r="H3707">
        <v>240.51</v>
      </c>
      <c r="I3707" s="1">
        <v>654.82000000000005</v>
      </c>
      <c r="J3707" s="16">
        <v>138780.85057241205</v>
      </c>
      <c r="K3707" s="5">
        <v>0.12524432443857964</v>
      </c>
      <c r="L3707" s="10">
        <v>238863.54639999999</v>
      </c>
    </row>
    <row r="3708" spans="1:12" x14ac:dyDescent="0.25">
      <c r="A3708">
        <v>3707</v>
      </c>
      <c r="B3708" s="3">
        <v>0.11034972156887844</v>
      </c>
      <c r="C3708" s="3">
        <v>2.4077293545703669E-2</v>
      </c>
      <c r="D3708" s="1">
        <v>319647.49462289468</v>
      </c>
      <c r="E3708" s="1">
        <v>10734394</v>
      </c>
      <c r="F3708" s="1">
        <v>46838580</v>
      </c>
      <c r="G3708" s="16">
        <v>61022.955312734885</v>
      </c>
      <c r="H3708">
        <v>207.78</v>
      </c>
      <c r="I3708" s="1">
        <v>524.41</v>
      </c>
      <c r="J3708" s="16">
        <v>380670.44993562956</v>
      </c>
      <c r="K3708" s="5">
        <v>0.14136863905108527</v>
      </c>
      <c r="L3708" s="10">
        <v>1974911.6200999999</v>
      </c>
    </row>
    <row r="3709" spans="1:12" x14ac:dyDescent="0.25">
      <c r="A3709">
        <v>3708</v>
      </c>
      <c r="B3709" s="3">
        <v>0.20733528214549646</v>
      </c>
      <c r="C3709" s="3">
        <v>2.8271472982471305E-2</v>
      </c>
      <c r="D3709" s="1">
        <v>203826.49250911115</v>
      </c>
      <c r="E3709" s="1">
        <v>12190339</v>
      </c>
      <c r="F3709" s="1">
        <v>45031891</v>
      </c>
      <c r="G3709" s="16">
        <v>28691.818306423167</v>
      </c>
      <c r="H3709">
        <v>219.39</v>
      </c>
      <c r="I3709" s="1">
        <v>705.2299999999999</v>
      </c>
      <c r="J3709" s="16">
        <v>232518.31081553432</v>
      </c>
      <c r="K3709" s="5">
        <v>2.0890714414896282E-2</v>
      </c>
      <c r="L3709" s="10">
        <v>172553.87179999999</v>
      </c>
    </row>
    <row r="3710" spans="1:12" x14ac:dyDescent="0.25">
      <c r="A3710">
        <v>3709</v>
      </c>
      <c r="B3710" s="3">
        <v>0.22428707656503147</v>
      </c>
      <c r="C3710" s="3">
        <v>3.871584116627453E-2</v>
      </c>
      <c r="D3710" s="1">
        <v>118645.88718342659</v>
      </c>
      <c r="E3710" s="1">
        <v>4757207</v>
      </c>
      <c r="F3710" s="1">
        <v>20755726</v>
      </c>
      <c r="G3710" s="16">
        <v>20261.822420217202</v>
      </c>
      <c r="H3710">
        <v>232.39</v>
      </c>
      <c r="I3710" s="1">
        <v>789.37</v>
      </c>
      <c r="J3710" s="16">
        <v>138907.7096036438</v>
      </c>
      <c r="K3710" s="5">
        <v>7.1069414820041713E-3</v>
      </c>
      <c r="L3710" s="10">
        <v>78758.607099999994</v>
      </c>
    </row>
    <row r="3711" spans="1:12" x14ac:dyDescent="0.25">
      <c r="A3711">
        <v>3710</v>
      </c>
      <c r="B3711" s="3">
        <v>0.24403248418313858</v>
      </c>
      <c r="C3711" s="3">
        <v>7.5896757997692757E-2</v>
      </c>
      <c r="D3711" s="1">
        <v>145781.36693268165</v>
      </c>
      <c r="E3711" s="1">
        <v>8353945</v>
      </c>
      <c r="F3711" s="1">
        <v>36692177</v>
      </c>
      <c r="G3711" s="16">
        <v>8466.3745209967892</v>
      </c>
      <c r="H3711">
        <v>51.7</v>
      </c>
      <c r="I3711" s="1">
        <v>182.77999999999997</v>
      </c>
      <c r="J3711" s="16">
        <v>154247.74145367843</v>
      </c>
      <c r="K3711" s="5">
        <v>6.6733061595858734E-2</v>
      </c>
      <c r="L3711" s="10">
        <v>78831.667199999996</v>
      </c>
    </row>
    <row r="3712" spans="1:12" x14ac:dyDescent="0.25">
      <c r="A3712">
        <v>3711</v>
      </c>
      <c r="B3712" s="3">
        <v>0.22304011300471555</v>
      </c>
      <c r="C3712" s="3">
        <v>7.5269186708930583E-2</v>
      </c>
      <c r="D3712" s="1">
        <v>78008.93308126762</v>
      </c>
      <c r="E3712" s="1">
        <v>3112799</v>
      </c>
      <c r="F3712" s="1">
        <v>18703917</v>
      </c>
      <c r="G3712" s="16">
        <v>36286.674763582851</v>
      </c>
      <c r="H3712">
        <v>410.79</v>
      </c>
      <c r="I3712" s="1">
        <v>1493.17</v>
      </c>
      <c r="J3712" s="16">
        <v>114295.60784485047</v>
      </c>
      <c r="K3712" s="5">
        <v>1.0694234214551391E-2</v>
      </c>
      <c r="L3712" s="10">
        <v>19615.420399999999</v>
      </c>
    </row>
    <row r="3713" spans="1:12" x14ac:dyDescent="0.25">
      <c r="A3713">
        <v>3712</v>
      </c>
      <c r="B3713" s="3">
        <v>0.17393271306461033</v>
      </c>
      <c r="C3713" s="3">
        <v>3.0509136635615011E-2</v>
      </c>
      <c r="D3713" s="1">
        <v>259893.34992961277</v>
      </c>
      <c r="E3713" s="1">
        <v>12645061</v>
      </c>
      <c r="F3713" s="1">
        <v>47233648</v>
      </c>
      <c r="G3713" s="16">
        <v>31079.471226658861</v>
      </c>
      <c r="H3713">
        <v>178.01</v>
      </c>
      <c r="I3713" s="1">
        <v>680.79</v>
      </c>
      <c r="J3713" s="16">
        <v>290972.82115627162</v>
      </c>
      <c r="K3713" s="5">
        <v>0.19752203831845425</v>
      </c>
      <c r="L3713" s="10">
        <v>1603526.8322999999</v>
      </c>
    </row>
    <row r="3714" spans="1:12" x14ac:dyDescent="0.25">
      <c r="A3714">
        <v>3713</v>
      </c>
      <c r="B3714" s="3">
        <v>0.16226994242436887</v>
      </c>
      <c r="C3714" s="3">
        <v>6.9190561716534038E-2</v>
      </c>
      <c r="D3714" s="1">
        <v>143650.52432295901</v>
      </c>
      <c r="E3714" s="1">
        <v>4572968</v>
      </c>
      <c r="F3714" s="1">
        <v>19161996</v>
      </c>
      <c r="G3714" s="16">
        <v>19450.045887928824</v>
      </c>
      <c r="H3714">
        <v>84.51</v>
      </c>
      <c r="I3714" s="1">
        <v>300.33999999999997</v>
      </c>
      <c r="J3714" s="16">
        <v>163100.57021088785</v>
      </c>
      <c r="K3714" s="5">
        <v>0.16268197088619296</v>
      </c>
      <c r="L3714" s="10">
        <v>235719.56659999999</v>
      </c>
    </row>
    <row r="3715" spans="1:12" x14ac:dyDescent="0.25">
      <c r="A3715">
        <v>3714</v>
      </c>
      <c r="B3715" s="3">
        <v>0.22447833026935538</v>
      </c>
      <c r="C3715" s="3">
        <v>4.4805431532623924E-2</v>
      </c>
      <c r="D3715" s="1">
        <v>256445.34252583655</v>
      </c>
      <c r="E3715" s="1">
        <v>17109117</v>
      </c>
      <c r="F3715" s="1">
        <v>66941460</v>
      </c>
      <c r="G3715" s="16">
        <v>26479.218733528243</v>
      </c>
      <c r="H3715">
        <v>235.82</v>
      </c>
      <c r="I3715" s="1">
        <v>759.45</v>
      </c>
      <c r="J3715" s="16">
        <v>282924.56125936477</v>
      </c>
      <c r="K3715" s="5">
        <v>9.1458523446930673E-2</v>
      </c>
      <c r="L3715" s="10">
        <v>514653.71360000002</v>
      </c>
    </row>
    <row r="3716" spans="1:12" x14ac:dyDescent="0.25">
      <c r="A3716">
        <v>3715</v>
      </c>
      <c r="B3716" s="3">
        <v>0.2182197071281449</v>
      </c>
      <c r="C3716" s="3">
        <v>2.5137937050820805E-2</v>
      </c>
      <c r="D3716" s="1">
        <v>82371.877251150174</v>
      </c>
      <c r="E3716" s="1">
        <v>3226473</v>
      </c>
      <c r="F3716" s="1">
        <v>20755480</v>
      </c>
      <c r="G3716" s="16">
        <v>19765.689402774795</v>
      </c>
      <c r="H3716">
        <v>166.6</v>
      </c>
      <c r="I3716" s="1">
        <v>563.89</v>
      </c>
      <c r="J3716" s="16">
        <v>102137.56665392497</v>
      </c>
      <c r="K3716" s="5">
        <v>4.718959233962227E-2</v>
      </c>
      <c r="L3716" s="10">
        <v>209485.22630000001</v>
      </c>
    </row>
    <row r="3717" spans="1:12" x14ac:dyDescent="0.25">
      <c r="A3717">
        <v>3716</v>
      </c>
      <c r="B3717" s="3">
        <v>0.20493093289755265</v>
      </c>
      <c r="C3717" s="3">
        <v>7.5209649971442888E-2</v>
      </c>
      <c r="D3717" s="1">
        <v>90463.508084277244</v>
      </c>
      <c r="E3717" s="1">
        <v>3368694</v>
      </c>
      <c r="F3717" s="1">
        <v>17328670</v>
      </c>
      <c r="G3717" s="16">
        <v>18605.641637105167</v>
      </c>
      <c r="H3717">
        <v>139.46</v>
      </c>
      <c r="I3717" s="1">
        <v>455.5</v>
      </c>
      <c r="J3717" s="16">
        <v>109069.14972138242</v>
      </c>
      <c r="K3717" s="5">
        <v>5.4637236350765291E-2</v>
      </c>
      <c r="L3717" s="10">
        <v>63505.257599999997</v>
      </c>
    </row>
    <row r="3718" spans="1:12" x14ac:dyDescent="0.25">
      <c r="A3718">
        <v>3717</v>
      </c>
      <c r="B3718" s="3">
        <v>0.1695453059843883</v>
      </c>
      <c r="C3718" s="3">
        <v>3.9662823565754388E-2</v>
      </c>
      <c r="D3718" s="1">
        <v>67611.981321741318</v>
      </c>
      <c r="E3718" s="1">
        <v>2209425</v>
      </c>
      <c r="F3718" s="1">
        <v>17389524</v>
      </c>
      <c r="G3718" s="16">
        <v>83600.966235168322</v>
      </c>
      <c r="H3718">
        <v>669.26</v>
      </c>
      <c r="I3718" s="1">
        <v>1562.33</v>
      </c>
      <c r="J3718" s="16">
        <v>151212.94755690964</v>
      </c>
      <c r="K3718" s="5">
        <v>0.16694897851136908</v>
      </c>
      <c r="L3718" s="10">
        <v>522883.70120000001</v>
      </c>
    </row>
    <row r="3719" spans="1:12" x14ac:dyDescent="0.25">
      <c r="A3719">
        <v>3718</v>
      </c>
      <c r="B3719" s="3">
        <v>0.17417797729511397</v>
      </c>
      <c r="C3719" s="3">
        <v>3.2218298157758646E-2</v>
      </c>
      <c r="D3719" s="1">
        <v>135841.74345862612</v>
      </c>
      <c r="E3719" s="1">
        <v>4514159</v>
      </c>
      <c r="F3719" s="1">
        <v>18963442</v>
      </c>
      <c r="G3719" s="16">
        <v>51331.968549564932</v>
      </c>
      <c r="H3719">
        <v>356.69</v>
      </c>
      <c r="I3719" s="1">
        <v>904.46</v>
      </c>
      <c r="J3719" s="16">
        <v>187173.71200819104</v>
      </c>
      <c r="K3719" s="5">
        <v>4.012460886991067E-2</v>
      </c>
      <c r="L3719" s="10">
        <v>206611.65330000001</v>
      </c>
    </row>
    <row r="3720" spans="1:12" x14ac:dyDescent="0.25">
      <c r="A3720">
        <v>3719</v>
      </c>
      <c r="B3720" s="3">
        <v>0.19903158399636672</v>
      </c>
      <c r="C3720" s="3">
        <v>4.8381271726070346E-2</v>
      </c>
      <c r="D3720" s="1">
        <v>121036.43378439601</v>
      </c>
      <c r="E3720" s="1">
        <v>4408316</v>
      </c>
      <c r="F3720" s="1">
        <v>17356758</v>
      </c>
      <c r="G3720" s="16">
        <v>26928.201714642259</v>
      </c>
      <c r="H3720">
        <v>191.24</v>
      </c>
      <c r="I3720" s="1">
        <v>508.87</v>
      </c>
      <c r="J3720" s="16">
        <v>147964.63549903827</v>
      </c>
      <c r="K3720" s="5">
        <v>-0.13179345323260752</v>
      </c>
      <c r="L3720" s="10">
        <v>-279234.0808</v>
      </c>
    </row>
    <row r="3721" spans="1:12" x14ac:dyDescent="0.25">
      <c r="A3721">
        <v>3720</v>
      </c>
      <c r="B3721" s="3">
        <v>0.14200188793260948</v>
      </c>
      <c r="C3721" s="3">
        <v>3.2799800955695207E-2</v>
      </c>
      <c r="D3721" s="1">
        <v>338124.69409597566</v>
      </c>
      <c r="E3721" s="1">
        <v>13609670</v>
      </c>
      <c r="F3721" s="1">
        <v>42991124</v>
      </c>
      <c r="G3721" s="16">
        <v>21592.427757072379</v>
      </c>
      <c r="H3721">
        <v>81.55</v>
      </c>
      <c r="I3721" s="1">
        <v>265.82</v>
      </c>
      <c r="J3721" s="16">
        <v>359717.12185304804</v>
      </c>
      <c r="K3721" s="5">
        <v>0.12141812889029574</v>
      </c>
      <c r="L3721" s="10">
        <v>1073185.1503000001</v>
      </c>
    </row>
    <row r="3722" spans="1:12" x14ac:dyDescent="0.25">
      <c r="A3722">
        <v>3721</v>
      </c>
      <c r="B3722" s="3">
        <v>0.18598893192163132</v>
      </c>
      <c r="C3722" s="3">
        <v>6.5076467861706927E-2</v>
      </c>
      <c r="D3722" s="1">
        <v>259694.49155923212</v>
      </c>
      <c r="E3722" s="1">
        <v>13599209</v>
      </c>
      <c r="F3722" s="1">
        <v>56810522</v>
      </c>
      <c r="G3722" s="16">
        <v>27632.730743171665</v>
      </c>
      <c r="H3722">
        <v>143.12</v>
      </c>
      <c r="I3722" s="1">
        <v>367.39</v>
      </c>
      <c r="J3722" s="16">
        <v>287327.22230240377</v>
      </c>
      <c r="K3722" s="5">
        <v>8.8756506175648744E-2</v>
      </c>
      <c r="L3722" s="10">
        <v>327108.36560000002</v>
      </c>
    </row>
    <row r="3723" spans="1:12" x14ac:dyDescent="0.25">
      <c r="A3723">
        <v>3722</v>
      </c>
      <c r="B3723" s="3">
        <v>0.22904623923219142</v>
      </c>
      <c r="C3723" s="3">
        <v>7.1698953675872049E-2</v>
      </c>
      <c r="D3723" s="1">
        <v>62991.906549011241</v>
      </c>
      <c r="E3723" s="1">
        <v>1983496</v>
      </c>
      <c r="F3723" s="1">
        <v>10201679</v>
      </c>
      <c r="G3723" s="16">
        <v>26001.198776939127</v>
      </c>
      <c r="H3723">
        <v>313.62</v>
      </c>
      <c r="I3723" s="1">
        <v>787.58</v>
      </c>
      <c r="J3723" s="16">
        <v>88993.105325950368</v>
      </c>
      <c r="K3723" s="5">
        <v>5.1552700850802186E-2</v>
      </c>
      <c r="L3723" s="10">
        <v>52792.6322</v>
      </c>
    </row>
    <row r="3724" spans="1:12" x14ac:dyDescent="0.25">
      <c r="A3724">
        <v>3723</v>
      </c>
      <c r="B3724" s="3">
        <v>0.19095010307516075</v>
      </c>
      <c r="C3724" s="3">
        <v>4.3170490353570748E-2</v>
      </c>
      <c r="D3724" s="1">
        <v>173007.44882553598</v>
      </c>
      <c r="E3724" s="1">
        <v>7557288</v>
      </c>
      <c r="F3724" s="1">
        <v>26953419</v>
      </c>
      <c r="G3724" s="16">
        <v>15003.649520682879</v>
      </c>
      <c r="H3724">
        <v>65.17</v>
      </c>
      <c r="I3724" s="1">
        <v>185.19</v>
      </c>
      <c r="J3724" s="16">
        <v>188011.09834621885</v>
      </c>
      <c r="K3724" s="5">
        <v>-3.6166530412224618E-2</v>
      </c>
      <c r="L3724" s="10">
        <v>-101302.8581</v>
      </c>
    </row>
    <row r="3725" spans="1:12" x14ac:dyDescent="0.25">
      <c r="A3725">
        <v>3724</v>
      </c>
      <c r="B3725" s="3">
        <v>0.22860010756766425</v>
      </c>
      <c r="C3725" s="3">
        <v>6.1949208184831558E-2</v>
      </c>
      <c r="D3725" s="1">
        <v>74454.231513172985</v>
      </c>
      <c r="E3725" s="1">
        <v>3035662</v>
      </c>
      <c r="F3725" s="1">
        <v>15864359</v>
      </c>
      <c r="G3725" s="16">
        <v>11845.200246463781</v>
      </c>
      <c r="H3725">
        <v>109.66</v>
      </c>
      <c r="I3725" s="1">
        <v>419.09000000000003</v>
      </c>
      <c r="J3725" s="16">
        <v>86299.431759636762</v>
      </c>
      <c r="K3725" s="5">
        <v>-4.0329042250330807E-2</v>
      </c>
      <c r="L3725" s="10">
        <v>-13090.7832</v>
      </c>
    </row>
    <row r="3726" spans="1:12" x14ac:dyDescent="0.25">
      <c r="A3726">
        <v>3725</v>
      </c>
      <c r="B3726" s="3">
        <v>0.17672547307484388</v>
      </c>
      <c r="C3726" s="3">
        <v>4.5357273400546877E-2</v>
      </c>
      <c r="D3726" s="1">
        <v>208520.11777959974</v>
      </c>
      <c r="E3726" s="1">
        <v>10318755</v>
      </c>
      <c r="F3726" s="1">
        <v>59600241</v>
      </c>
      <c r="G3726" s="16">
        <v>38546.000370474881</v>
      </c>
      <c r="H3726">
        <v>226.63</v>
      </c>
      <c r="I3726" s="1">
        <v>704.27</v>
      </c>
      <c r="J3726" s="16">
        <v>247066.11815007462</v>
      </c>
      <c r="K3726" s="5">
        <v>7.8170979237441679E-2</v>
      </c>
      <c r="L3726" s="10">
        <v>365982.30420000001</v>
      </c>
    </row>
    <row r="3727" spans="1:12" x14ac:dyDescent="0.25">
      <c r="A3727">
        <v>3726</v>
      </c>
      <c r="B3727" s="3">
        <v>0.20392183861109575</v>
      </c>
      <c r="C3727" s="3">
        <v>3.8633121270359359E-2</v>
      </c>
      <c r="D3727" s="1">
        <v>379593.62301317521</v>
      </c>
      <c r="E3727" s="1">
        <v>22219949</v>
      </c>
      <c r="F3727" s="1">
        <v>67705473</v>
      </c>
      <c r="G3727" s="16">
        <v>9551.7166245221688</v>
      </c>
      <c r="H3727">
        <v>56.49</v>
      </c>
      <c r="I3727" s="1">
        <v>275.19</v>
      </c>
      <c r="J3727" s="16">
        <v>389145.33963769738</v>
      </c>
      <c r="K3727" s="5">
        <v>1.5941486029880741E-2</v>
      </c>
      <c r="L3727" s="10">
        <v>155417.98920000001</v>
      </c>
    </row>
    <row r="3728" spans="1:12" x14ac:dyDescent="0.25">
      <c r="A3728">
        <v>3727</v>
      </c>
      <c r="B3728" s="3">
        <v>0.2317007251221814</v>
      </c>
      <c r="C3728" s="3">
        <v>3.5193337445846323E-2</v>
      </c>
      <c r="D3728" s="1">
        <v>169491.80832907025</v>
      </c>
      <c r="E3728" s="1">
        <v>9103936</v>
      </c>
      <c r="F3728" s="1">
        <v>33991850</v>
      </c>
      <c r="G3728" s="16">
        <v>20819.010706419383</v>
      </c>
      <c r="H3728">
        <v>198.55</v>
      </c>
      <c r="I3728" s="1">
        <v>604.78</v>
      </c>
      <c r="J3728" s="16">
        <v>190310.81903548964</v>
      </c>
      <c r="K3728" s="5">
        <v>0.12265810506760425</v>
      </c>
      <c r="L3728" s="10">
        <v>501407.26140000002</v>
      </c>
    </row>
    <row r="3729" spans="1:12" x14ac:dyDescent="0.25">
      <c r="A3729">
        <v>3728</v>
      </c>
      <c r="B3729" s="3">
        <v>0.16331537650358788</v>
      </c>
      <c r="C3729" s="3">
        <v>2.6525956726339065E-2</v>
      </c>
      <c r="D3729" s="1">
        <v>188822.32494344056</v>
      </c>
      <c r="E3729" s="1">
        <v>7211231</v>
      </c>
      <c r="F3729" s="1">
        <v>33295104</v>
      </c>
      <c r="G3729" s="16">
        <v>29182.438828637321</v>
      </c>
      <c r="H3729">
        <v>152.80000000000001</v>
      </c>
      <c r="I3729" s="1">
        <v>426.07</v>
      </c>
      <c r="J3729" s="16">
        <v>218004.76377207789</v>
      </c>
      <c r="K3729" s="5">
        <v>0.22136201239025219</v>
      </c>
      <c r="L3729" s="10">
        <v>1562366.7914</v>
      </c>
    </row>
    <row r="3730" spans="1:12" x14ac:dyDescent="0.25">
      <c r="A3730">
        <v>3729</v>
      </c>
      <c r="B3730" s="3">
        <v>0.24768460685074015</v>
      </c>
      <c r="C3730" s="3">
        <v>2.8255306678906227E-2</v>
      </c>
      <c r="D3730" s="1">
        <v>195467.01905489384</v>
      </c>
      <c r="E3730" s="1">
        <v>15180172</v>
      </c>
      <c r="F3730" s="1">
        <v>46104178</v>
      </c>
      <c r="G3730" s="16">
        <v>19800.593513912801</v>
      </c>
      <c r="H3730">
        <v>218.54</v>
      </c>
      <c r="I3730" s="1">
        <v>666.45999999999992</v>
      </c>
      <c r="J3730" s="16">
        <v>215267.61256880665</v>
      </c>
      <c r="K3730" s="5">
        <v>0.24995445734437172</v>
      </c>
      <c r="L3730" s="10">
        <v>1581082.4415</v>
      </c>
    </row>
    <row r="3731" spans="1:12" x14ac:dyDescent="0.25">
      <c r="A3731">
        <v>3730</v>
      </c>
      <c r="B3731" s="3">
        <v>0.22158266730655082</v>
      </c>
      <c r="C3731" s="3">
        <v>2.9369272607988571E-2</v>
      </c>
      <c r="D3731" s="1">
        <v>277931.87632696057</v>
      </c>
      <c r="E3731" s="1">
        <v>18200317</v>
      </c>
      <c r="F3731" s="1">
        <v>58231382</v>
      </c>
      <c r="G3731" s="16">
        <v>10135.323638894017</v>
      </c>
      <c r="H3731">
        <v>68.56</v>
      </c>
      <c r="I3731" s="1">
        <v>232.82</v>
      </c>
      <c r="J3731" s="16">
        <v>288067.19996585458</v>
      </c>
      <c r="K3731" s="5">
        <v>0.10565466961021719</v>
      </c>
      <c r="L3731" s="10">
        <v>895427.56900000002</v>
      </c>
    </row>
    <row r="3732" spans="1:12" x14ac:dyDescent="0.25">
      <c r="A3732">
        <v>3731</v>
      </c>
      <c r="B3732" s="3">
        <v>0.2011694594884314</v>
      </c>
      <c r="C3732" s="3">
        <v>7.9006799768366665E-2</v>
      </c>
      <c r="D3732" s="1">
        <v>243307.46563131019</v>
      </c>
      <c r="E3732" s="1">
        <v>13998598</v>
      </c>
      <c r="F3732" s="1">
        <v>43543876</v>
      </c>
      <c r="G3732" s="16">
        <v>22523.519463949946</v>
      </c>
      <c r="H3732">
        <v>130.47</v>
      </c>
      <c r="I3732" s="1">
        <v>342.36</v>
      </c>
      <c r="J3732" s="16">
        <v>265830.98509526014</v>
      </c>
      <c r="K3732" s="5">
        <v>9.748872917932791E-2</v>
      </c>
      <c r="L3732" s="10">
        <v>206984.88200000001</v>
      </c>
    </row>
    <row r="3733" spans="1:12" x14ac:dyDescent="0.25">
      <c r="A3733">
        <v>3732</v>
      </c>
      <c r="B3733" s="3">
        <v>0.13282134983978364</v>
      </c>
      <c r="C3733" s="3">
        <v>3.2934679824580558E-2</v>
      </c>
      <c r="D3733" s="1">
        <v>393510.13796395762</v>
      </c>
      <c r="E3733" s="1">
        <v>15018133</v>
      </c>
      <c r="F3733" s="1">
        <v>54345022</v>
      </c>
      <c r="G3733" s="16">
        <v>114887.90775405479</v>
      </c>
      <c r="H3733">
        <v>540.6</v>
      </c>
      <c r="I3733" s="1">
        <v>1213.8499999999999</v>
      </c>
      <c r="J3733" s="16">
        <v>508398.04571801238</v>
      </c>
      <c r="K3733" s="5">
        <v>-8.0359102421610554E-3</v>
      </c>
      <c r="L3733" s="10">
        <v>-108805.0294</v>
      </c>
    </row>
    <row r="3734" spans="1:12" x14ac:dyDescent="0.25">
      <c r="A3734">
        <v>3733</v>
      </c>
      <c r="B3734" s="3">
        <v>0.17113008437415345</v>
      </c>
      <c r="C3734" s="3">
        <v>5.8690164255312732E-2</v>
      </c>
      <c r="D3734" s="1">
        <v>71234.653113574386</v>
      </c>
      <c r="E3734" s="1">
        <v>2341182</v>
      </c>
      <c r="F3734" s="1">
        <v>14332308</v>
      </c>
      <c r="G3734" s="16">
        <v>23983.466050428749</v>
      </c>
      <c r="H3734">
        <v>111.29</v>
      </c>
      <c r="I3734" s="1">
        <v>330.90000000000003</v>
      </c>
      <c r="J3734" s="16">
        <v>95218.119164003132</v>
      </c>
      <c r="K3734" s="5">
        <v>4.0991899603532299E-2</v>
      </c>
      <c r="L3734" s="10">
        <v>72471.680699999997</v>
      </c>
    </row>
    <row r="3735" spans="1:12" x14ac:dyDescent="0.25">
      <c r="A3735">
        <v>3734</v>
      </c>
      <c r="B3735" s="3">
        <v>0.18594498850713631</v>
      </c>
      <c r="C3735" s="3">
        <v>3.8962587317011785E-2</v>
      </c>
      <c r="D3735" s="1">
        <v>57084.102016458724</v>
      </c>
      <c r="E3735" s="1">
        <v>1980417</v>
      </c>
      <c r="F3735" s="1">
        <v>14056486</v>
      </c>
      <c r="G3735" s="16">
        <v>18332.059578537315</v>
      </c>
      <c r="H3735">
        <v>94.79</v>
      </c>
      <c r="I3735" s="1">
        <v>275.60000000000002</v>
      </c>
      <c r="J3735" s="16">
        <v>75416.16159499604</v>
      </c>
      <c r="K3735" s="5">
        <v>9.1157052530720151E-2</v>
      </c>
      <c r="L3735" s="10">
        <v>158493.0484</v>
      </c>
    </row>
    <row r="3736" spans="1:12" x14ac:dyDescent="0.25">
      <c r="A3736">
        <v>3735</v>
      </c>
      <c r="B3736" s="3">
        <v>0.1908472912481039</v>
      </c>
      <c r="C3736" s="3">
        <v>7.5594359357811586E-2</v>
      </c>
      <c r="D3736" s="1">
        <v>107602.05274785336</v>
      </c>
      <c r="E3736" s="1">
        <v>4697870</v>
      </c>
      <c r="F3736" s="1">
        <v>24386597</v>
      </c>
      <c r="G3736" s="16">
        <v>34448.939393168439</v>
      </c>
      <c r="H3736">
        <v>228.05</v>
      </c>
      <c r="I3736" s="1">
        <v>718.02</v>
      </c>
      <c r="J3736" s="16">
        <v>142050.99214102179</v>
      </c>
      <c r="K3736" s="5">
        <v>0.16254700886014745</v>
      </c>
      <c r="L3736" s="10">
        <v>233025.21799999999</v>
      </c>
    </row>
    <row r="3737" spans="1:12" x14ac:dyDescent="0.25">
      <c r="A3737">
        <v>3736</v>
      </c>
      <c r="B3737" s="3">
        <v>0.15362100472319004</v>
      </c>
      <c r="C3737" s="3">
        <v>2.1193649648972544E-2</v>
      </c>
      <c r="D3737" s="1">
        <v>229841.91700555387</v>
      </c>
      <c r="E3737" s="1">
        <v>8382477</v>
      </c>
      <c r="F3737" s="1">
        <v>32571757</v>
      </c>
      <c r="G3737" s="16">
        <v>10449.065649969019</v>
      </c>
      <c r="H3737">
        <v>36.03</v>
      </c>
      <c r="I3737" s="1">
        <v>122.53</v>
      </c>
      <c r="J3737" s="16">
        <v>240290.98265552288</v>
      </c>
      <c r="K3737" s="5">
        <v>-3.253872987802621E-2</v>
      </c>
      <c r="L3737" s="10">
        <v>-296887.84179999999</v>
      </c>
    </row>
    <row r="3738" spans="1:12" x14ac:dyDescent="0.25">
      <c r="A3738">
        <v>3737</v>
      </c>
      <c r="B3738" s="3">
        <v>0.21660082839312317</v>
      </c>
      <c r="C3738" s="3">
        <v>4.5527479857192348E-2</v>
      </c>
      <c r="D3738" s="1">
        <v>63730.336762159372</v>
      </c>
      <c r="E3738" s="1">
        <v>2480850</v>
      </c>
      <c r="F3738" s="1">
        <v>14236567</v>
      </c>
      <c r="G3738" s="16">
        <v>18913.13126898506</v>
      </c>
      <c r="H3738">
        <v>157.31</v>
      </c>
      <c r="I3738" s="1">
        <v>497.7</v>
      </c>
      <c r="J3738" s="16">
        <v>82643.468031144439</v>
      </c>
      <c r="K3738" s="5">
        <v>0.12404767960464874</v>
      </c>
      <c r="L3738" s="10">
        <v>190837.55679999999</v>
      </c>
    </row>
    <row r="3739" spans="1:12" x14ac:dyDescent="0.25">
      <c r="A3739">
        <v>3738</v>
      </c>
      <c r="B3739" s="3">
        <v>0.17833424587091953</v>
      </c>
      <c r="C3739" s="3">
        <v>3.6354607146821004E-2</v>
      </c>
      <c r="D3739" s="1">
        <v>239164.29131643099</v>
      </c>
      <c r="E3739" s="1">
        <v>9820154</v>
      </c>
      <c r="F3739" s="1">
        <v>36389697</v>
      </c>
      <c r="G3739" s="16">
        <v>37963.576918698061</v>
      </c>
      <c r="H3739">
        <v>274.95999999999998</v>
      </c>
      <c r="I3739" s="1">
        <v>838.02</v>
      </c>
      <c r="J3739" s="16">
        <v>277127.86823512905</v>
      </c>
      <c r="K3739" s="5">
        <v>0.14310771909015288</v>
      </c>
      <c r="L3739" s="10">
        <v>879043.80119999999</v>
      </c>
    </row>
    <row r="3740" spans="1:12" x14ac:dyDescent="0.25">
      <c r="A3740">
        <v>3739</v>
      </c>
      <c r="B3740" s="3">
        <v>0.20410629952980636</v>
      </c>
      <c r="C3740" s="3">
        <v>7.8263179038311051E-2</v>
      </c>
      <c r="D3740" s="1">
        <v>101543.5403498169</v>
      </c>
      <c r="E3740" s="1">
        <v>4736253</v>
      </c>
      <c r="F3740" s="1">
        <v>26461933</v>
      </c>
      <c r="G3740" s="16">
        <v>23740.573873255064</v>
      </c>
      <c r="H3740">
        <v>176.32</v>
      </c>
      <c r="I3740" s="1">
        <v>592.24</v>
      </c>
      <c r="J3740" s="16">
        <v>125284.11422307197</v>
      </c>
      <c r="K3740" s="5">
        <v>0.14630931266658556</v>
      </c>
      <c r="L3740" s="10">
        <v>168293.39929999999</v>
      </c>
    </row>
    <row r="3741" spans="1:12" x14ac:dyDescent="0.25">
      <c r="A3741">
        <v>3740</v>
      </c>
      <c r="B3741" s="3">
        <v>0.12461707897037702</v>
      </c>
      <c r="C3741" s="3">
        <v>7.2733791044180152E-2</v>
      </c>
      <c r="D3741" s="1">
        <v>184456.09930968421</v>
      </c>
      <c r="E3741" s="1">
        <v>5878997</v>
      </c>
      <c r="F3741" s="1">
        <v>21806031</v>
      </c>
      <c r="G3741" s="16">
        <v>15128.320164311732</v>
      </c>
      <c r="H3741">
        <v>50.52</v>
      </c>
      <c r="I3741" s="1">
        <v>216.20000000000002</v>
      </c>
      <c r="J3741" s="16">
        <v>199584.41947399595</v>
      </c>
      <c r="K3741" s="5">
        <v>5.972230861927242E-2</v>
      </c>
      <c r="L3741" s="10">
        <v>120526.2503</v>
      </c>
    </row>
    <row r="3742" spans="1:12" x14ac:dyDescent="0.25">
      <c r="A3742">
        <v>3741</v>
      </c>
      <c r="B3742" s="3">
        <v>0.22230255333476617</v>
      </c>
      <c r="C3742" s="3">
        <v>5.8923569101229645E-2</v>
      </c>
      <c r="D3742" s="1">
        <v>78219.531218086398</v>
      </c>
      <c r="E3742" s="1">
        <v>3112330</v>
      </c>
      <c r="F3742" s="1">
        <v>14228219</v>
      </c>
      <c r="G3742" s="16">
        <v>14046.743486322881</v>
      </c>
      <c r="H3742">
        <v>95.55</v>
      </c>
      <c r="I3742" s="1">
        <v>352.98999999999995</v>
      </c>
      <c r="J3742" s="16">
        <v>92266.274704409283</v>
      </c>
      <c r="K3742" s="5">
        <v>0.15458136682319495</v>
      </c>
      <c r="L3742" s="10">
        <v>175828.42490000001</v>
      </c>
    </row>
    <row r="3743" spans="1:12" x14ac:dyDescent="0.25">
      <c r="A3743">
        <v>3742</v>
      </c>
      <c r="B3743" s="3">
        <v>0.1477828694823301</v>
      </c>
      <c r="C3743" s="3">
        <v>2.4380420873683882E-2</v>
      </c>
      <c r="D3743" s="1">
        <v>194238.61145544503</v>
      </c>
      <c r="E3743" s="1">
        <v>6891875</v>
      </c>
      <c r="F3743" s="1">
        <v>29296290</v>
      </c>
      <c r="G3743" s="16">
        <v>60193.109486857749</v>
      </c>
      <c r="H3743">
        <v>325.67</v>
      </c>
      <c r="I3743" s="1">
        <v>962.95</v>
      </c>
      <c r="J3743" s="16">
        <v>254431.72094230278</v>
      </c>
      <c r="K3743" s="5">
        <v>0.19630928371466891</v>
      </c>
      <c r="L3743" s="10">
        <v>1787861.8695</v>
      </c>
    </row>
    <row r="3744" spans="1:12" x14ac:dyDescent="0.25">
      <c r="A3744">
        <v>3743</v>
      </c>
      <c r="B3744" s="3">
        <v>0.23314760293748585</v>
      </c>
      <c r="C3744" s="3">
        <v>2.2954126844212289E-2</v>
      </c>
      <c r="D3744" s="1">
        <v>148552.92578844959</v>
      </c>
      <c r="E3744" s="1">
        <v>8039653</v>
      </c>
      <c r="F3744" s="1">
        <v>30713006</v>
      </c>
      <c r="G3744" s="16">
        <v>11671.69442082444</v>
      </c>
      <c r="H3744">
        <v>86.28</v>
      </c>
      <c r="I3744" s="1">
        <v>270.13</v>
      </c>
      <c r="J3744" s="16">
        <v>160224.62020927403</v>
      </c>
      <c r="K3744" s="5">
        <v>8.1756862770840266E-2</v>
      </c>
      <c r="L3744" s="10">
        <v>499168.77130000002</v>
      </c>
    </row>
    <row r="3745" spans="1:12" x14ac:dyDescent="0.25">
      <c r="A3745">
        <v>3744</v>
      </c>
      <c r="B3745" s="3">
        <v>0.19683787229718219</v>
      </c>
      <c r="C3745" s="3">
        <v>3.4053492050943122E-2</v>
      </c>
      <c r="D3745" s="1">
        <v>138589.32700176307</v>
      </c>
      <c r="E3745" s="1">
        <v>5006374</v>
      </c>
      <c r="F3745" s="1">
        <v>20735509</v>
      </c>
      <c r="G3745" s="16">
        <v>38933.640431538879</v>
      </c>
      <c r="H3745">
        <v>338.14</v>
      </c>
      <c r="I3745" s="1">
        <v>1064.1199999999999</v>
      </c>
      <c r="J3745" s="16">
        <v>177522.96743330196</v>
      </c>
      <c r="K3745" s="5">
        <v>0.22375842263845075</v>
      </c>
      <c r="L3745" s="10">
        <v>937322.90789999999</v>
      </c>
    </row>
    <row r="3746" spans="1:12" x14ac:dyDescent="0.25">
      <c r="A3746">
        <v>3745</v>
      </c>
      <c r="B3746" s="3">
        <v>0.15432887730684866</v>
      </c>
      <c r="C3746" s="3">
        <v>4.2168258697351926E-2</v>
      </c>
      <c r="D3746" s="1">
        <v>194654.91367291214</v>
      </c>
      <c r="E3746" s="1">
        <v>7122990</v>
      </c>
      <c r="F3746" s="1">
        <v>33167458</v>
      </c>
      <c r="G3746" s="16">
        <v>28923.366605188672</v>
      </c>
      <c r="H3746">
        <v>118.99</v>
      </c>
      <c r="I3746" s="1">
        <v>349.40000000000003</v>
      </c>
      <c r="J3746" s="16">
        <v>223578.28027810081</v>
      </c>
      <c r="K3746" s="5">
        <v>7.9005040149619038E-2</v>
      </c>
      <c r="L3746" s="10">
        <v>361676.57280000002</v>
      </c>
    </row>
    <row r="3747" spans="1:12" x14ac:dyDescent="0.25">
      <c r="A3747">
        <v>3746</v>
      </c>
      <c r="B3747" s="3">
        <v>0.24320556379657854</v>
      </c>
      <c r="C3747" s="3">
        <v>3.85396904817909E-2</v>
      </c>
      <c r="D3747" s="1">
        <v>92450.463602724514</v>
      </c>
      <c r="E3747" s="1">
        <v>3991894</v>
      </c>
      <c r="F3747" s="1">
        <v>15804947</v>
      </c>
      <c r="G3747" s="16">
        <v>16032.872588777049</v>
      </c>
      <c r="H3747">
        <v>128.19999999999999</v>
      </c>
      <c r="I3747" s="1">
        <v>338.99</v>
      </c>
      <c r="J3747" s="16">
        <v>108483.33619150156</v>
      </c>
      <c r="K3747" s="5">
        <v>0.16624072961187802</v>
      </c>
      <c r="L3747" s="10">
        <v>373014.72590000002</v>
      </c>
    </row>
    <row r="3748" spans="1:12" x14ac:dyDescent="0.25">
      <c r="A3748">
        <v>3747</v>
      </c>
      <c r="B3748" s="3">
        <v>0.12300361369645722</v>
      </c>
      <c r="C3748" s="3">
        <v>2.4565377087862772E-2</v>
      </c>
      <c r="D3748" s="1">
        <v>157327.2492037036</v>
      </c>
      <c r="E3748" s="1">
        <v>4977551</v>
      </c>
      <c r="F3748" s="1">
        <v>22383333</v>
      </c>
      <c r="G3748" s="16">
        <v>95188.123860151754</v>
      </c>
      <c r="H3748">
        <v>408.98</v>
      </c>
      <c r="I3748" s="1">
        <v>1081.6500000000001</v>
      </c>
      <c r="J3748" s="16">
        <v>252515.37306385534</v>
      </c>
      <c r="K3748" s="5">
        <v>-1.8206838910815697E-3</v>
      </c>
      <c r="L3748" s="10">
        <v>18915.6335</v>
      </c>
    </row>
    <row r="3749" spans="1:12" x14ac:dyDescent="0.25">
      <c r="A3749">
        <v>3748</v>
      </c>
      <c r="B3749" s="3">
        <v>0.1829744478486332</v>
      </c>
      <c r="C3749" s="3">
        <v>5.5027672732917685E-2</v>
      </c>
      <c r="D3749" s="1">
        <v>53822.150825921191</v>
      </c>
      <c r="E3749" s="1">
        <v>1846957</v>
      </c>
      <c r="F3749" s="1">
        <v>15455075</v>
      </c>
      <c r="G3749" s="16">
        <v>15574.749840423337</v>
      </c>
      <c r="H3749">
        <v>78.680000000000007</v>
      </c>
      <c r="I3749" s="1">
        <v>233.9</v>
      </c>
      <c r="J3749" s="16">
        <v>69396.900666344533</v>
      </c>
      <c r="K3749" s="5">
        <v>8.0586543139171102E-2</v>
      </c>
      <c r="L3749" s="10">
        <v>89819.189799999993</v>
      </c>
    </row>
    <row r="3750" spans="1:12" x14ac:dyDescent="0.25">
      <c r="A3750">
        <v>3749</v>
      </c>
      <c r="B3750" s="3">
        <v>0.16379458111503592</v>
      </c>
      <c r="C3750" s="3">
        <v>6.7188492093278734E-2</v>
      </c>
      <c r="D3750" s="1">
        <v>307764.88845663075</v>
      </c>
      <c r="E3750" s="1">
        <v>14088240</v>
      </c>
      <c r="F3750" s="1">
        <v>63905925</v>
      </c>
      <c r="G3750" s="16">
        <v>32486.285858780087</v>
      </c>
      <c r="H3750">
        <v>170.94</v>
      </c>
      <c r="I3750" s="1">
        <v>467.26</v>
      </c>
      <c r="J3750" s="16">
        <v>340251.17431541084</v>
      </c>
      <c r="K3750" s="5">
        <v>0.26621192186359699</v>
      </c>
      <c r="L3750" s="10">
        <v>951697.1692</v>
      </c>
    </row>
    <row r="3751" spans="1:12" x14ac:dyDescent="0.25">
      <c r="A3751">
        <v>3750</v>
      </c>
      <c r="B3751" s="3">
        <v>0.24492918588324136</v>
      </c>
      <c r="C3751" s="3">
        <v>4.6319157762154332E-2</v>
      </c>
      <c r="D3751" s="1">
        <v>99046.488997682376</v>
      </c>
      <c r="E3751" s="1">
        <v>5702840</v>
      </c>
      <c r="F3751" s="1">
        <v>24909708</v>
      </c>
      <c r="G3751" s="16">
        <v>16413.547224112357</v>
      </c>
      <c r="H3751">
        <v>233.46</v>
      </c>
      <c r="I3751" s="1">
        <v>773.19</v>
      </c>
      <c r="J3751" s="16">
        <v>115460.03622179473</v>
      </c>
      <c r="K3751" s="5">
        <v>8.9558560648678731E-2</v>
      </c>
      <c r="L3751" s="10">
        <v>181090.77540000001</v>
      </c>
    </row>
    <row r="3752" spans="1:12" x14ac:dyDescent="0.25">
      <c r="A3752">
        <v>3751</v>
      </c>
      <c r="B3752" s="3">
        <v>0.20809630501765886</v>
      </c>
      <c r="C3752" s="3">
        <v>5.8138223184465584E-2</v>
      </c>
      <c r="D3752" s="1">
        <v>96244.962030743467</v>
      </c>
      <c r="E3752" s="1">
        <v>3627134</v>
      </c>
      <c r="F3752" s="1">
        <v>21315207</v>
      </c>
      <c r="G3752" s="16">
        <v>11323.828995001244</v>
      </c>
      <c r="H3752">
        <v>69.02</v>
      </c>
      <c r="I3752" s="1">
        <v>195.03999999999996</v>
      </c>
      <c r="J3752" s="16">
        <v>107568.79102574471</v>
      </c>
      <c r="K3752" s="5">
        <v>-0.10738662702231473</v>
      </c>
      <c r="L3752" s="10">
        <v>-118740.44130000001</v>
      </c>
    </row>
    <row r="3753" spans="1:12" x14ac:dyDescent="0.25">
      <c r="A3753">
        <v>3752</v>
      </c>
      <c r="B3753" s="3">
        <v>0.14445101522826212</v>
      </c>
      <c r="C3753" s="3">
        <v>2.2627618677675414E-2</v>
      </c>
      <c r="D3753" s="1">
        <v>149493.04468293834</v>
      </c>
      <c r="E3753" s="1">
        <v>4467758</v>
      </c>
      <c r="F3753" s="1">
        <v>20775188</v>
      </c>
      <c r="G3753" s="16">
        <v>19356.38677546586</v>
      </c>
      <c r="H3753">
        <v>74.22</v>
      </c>
      <c r="I3753" s="1">
        <v>198.97</v>
      </c>
      <c r="J3753" s="16">
        <v>168849.4314584042</v>
      </c>
      <c r="K3753" s="5">
        <v>1.8097643288792327E-2</v>
      </c>
      <c r="L3753" s="10">
        <v>143845.42310000001</v>
      </c>
    </row>
    <row r="3754" spans="1:12" x14ac:dyDescent="0.25">
      <c r="A3754">
        <v>3753</v>
      </c>
      <c r="B3754" s="3">
        <v>0.15171421383999473</v>
      </c>
      <c r="C3754" s="3">
        <v>4.4859068393594784E-2</v>
      </c>
      <c r="D3754" s="1">
        <v>262115.18518990316</v>
      </c>
      <c r="E3754" s="1">
        <v>11168223</v>
      </c>
      <c r="F3754" s="1">
        <v>44818469</v>
      </c>
      <c r="G3754" s="16">
        <v>46016.900920903106</v>
      </c>
      <c r="H3754">
        <v>219.03</v>
      </c>
      <c r="I3754" s="1">
        <v>641.24</v>
      </c>
      <c r="J3754" s="16">
        <v>308132.08611080627</v>
      </c>
      <c r="K3754" s="5">
        <v>6.8785675614434522E-2</v>
      </c>
      <c r="L3754" s="10">
        <v>408437.38500000001</v>
      </c>
    </row>
    <row r="3755" spans="1:12" x14ac:dyDescent="0.25">
      <c r="A3755">
        <v>3754</v>
      </c>
      <c r="B3755" s="3">
        <v>0.18664275362495911</v>
      </c>
      <c r="C3755" s="3">
        <v>5.7887968920270302E-2</v>
      </c>
      <c r="D3755" s="1">
        <v>95127.635659317923</v>
      </c>
      <c r="E3755" s="1">
        <v>3308764</v>
      </c>
      <c r="F3755" s="1">
        <v>19172890</v>
      </c>
      <c r="G3755" s="16">
        <v>50268.924855928621</v>
      </c>
      <c r="H3755">
        <v>394.68</v>
      </c>
      <c r="I3755" s="1">
        <v>1084.6399999999999</v>
      </c>
      <c r="J3755" s="16">
        <v>145396.56051524653</v>
      </c>
      <c r="K3755" s="5">
        <v>-3.4876038204657026E-2</v>
      </c>
      <c r="L3755" s="10">
        <v>-19014.185600000001</v>
      </c>
    </row>
    <row r="3756" spans="1:12" x14ac:dyDescent="0.25">
      <c r="A3756">
        <v>3755</v>
      </c>
      <c r="B3756" s="3">
        <v>0.18376065314479734</v>
      </c>
      <c r="C3756" s="3">
        <v>6.0214027213893087E-2</v>
      </c>
      <c r="D3756" s="1">
        <v>81138.945995623813</v>
      </c>
      <c r="E3756" s="1">
        <v>2792418</v>
      </c>
      <c r="F3756" s="1">
        <v>14588703</v>
      </c>
      <c r="G3756" s="16">
        <v>20411.354851322292</v>
      </c>
      <c r="H3756">
        <v>127.21</v>
      </c>
      <c r="I3756" s="1">
        <v>478.17999999999995</v>
      </c>
      <c r="J3756" s="16">
        <v>101550.30084694611</v>
      </c>
      <c r="K3756" s="5">
        <v>0.13169460065949004</v>
      </c>
      <c r="L3756" s="10">
        <v>188471.65770000001</v>
      </c>
    </row>
    <row r="3757" spans="1:12" x14ac:dyDescent="0.25">
      <c r="A3757">
        <v>3756</v>
      </c>
      <c r="B3757" s="3">
        <v>0.16392880864438508</v>
      </c>
      <c r="C3757" s="3">
        <v>2.3973652789486113E-2</v>
      </c>
      <c r="D3757" s="1">
        <v>169847.47781585169</v>
      </c>
      <c r="E3757" s="1">
        <v>5439164</v>
      </c>
      <c r="F3757" s="1">
        <v>18619397</v>
      </c>
      <c r="G3757" s="16">
        <v>12186.181491352027</v>
      </c>
      <c r="H3757">
        <v>53.8</v>
      </c>
      <c r="I3757" s="1">
        <v>201.17000000000002</v>
      </c>
      <c r="J3757" s="16">
        <v>182033.65930720372</v>
      </c>
      <c r="K3757" s="5">
        <v>0.13164166945874156</v>
      </c>
      <c r="L3757" s="10">
        <v>860850.78529999999</v>
      </c>
    </row>
    <row r="3758" spans="1:12" x14ac:dyDescent="0.25">
      <c r="A3758">
        <v>3757</v>
      </c>
      <c r="B3758" s="3">
        <v>0.1877264944091456</v>
      </c>
      <c r="C3758" s="3">
        <v>5.2755798546145885E-2</v>
      </c>
      <c r="D3758" s="1">
        <v>99109.095735800482</v>
      </c>
      <c r="E3758" s="1">
        <v>4260960</v>
      </c>
      <c r="F3758" s="1">
        <v>22548008</v>
      </c>
      <c r="G3758" s="16">
        <v>19737.554044743403</v>
      </c>
      <c r="H3758">
        <v>103.23</v>
      </c>
      <c r="I3758" s="1">
        <v>309.60000000000002</v>
      </c>
      <c r="J3758" s="16">
        <v>118846.64978054388</v>
      </c>
      <c r="K3758" s="5">
        <v>6.2550948989994568E-2</v>
      </c>
      <c r="L3758" s="10">
        <v>110127.0151</v>
      </c>
    </row>
    <row r="3759" spans="1:12" x14ac:dyDescent="0.25">
      <c r="A3759">
        <v>3758</v>
      </c>
      <c r="B3759" s="3">
        <v>0.10468289600946583</v>
      </c>
      <c r="C3759" s="3">
        <v>6.2800720235705293E-2</v>
      </c>
      <c r="D3759" s="1">
        <v>187465.95050549952</v>
      </c>
      <c r="E3759" s="1">
        <v>5460314</v>
      </c>
      <c r="F3759" s="1">
        <v>31421827</v>
      </c>
      <c r="G3759" s="16">
        <v>21061.047256682694</v>
      </c>
      <c r="H3759">
        <v>61.53</v>
      </c>
      <c r="I3759" s="1">
        <v>295.08999999999997</v>
      </c>
      <c r="J3759" s="16">
        <v>208526.9977621822</v>
      </c>
      <c r="K3759" s="5">
        <v>0.14809147379195214</v>
      </c>
      <c r="L3759" s="10">
        <v>345526.40220000001</v>
      </c>
    </row>
    <row r="3760" spans="1:12" x14ac:dyDescent="0.25">
      <c r="A3760">
        <v>3759</v>
      </c>
      <c r="B3760" s="3">
        <v>0.13378686008725571</v>
      </c>
      <c r="C3760" s="3">
        <v>4.2184187428518406E-2</v>
      </c>
      <c r="D3760" s="1">
        <v>204367.13675864725</v>
      </c>
      <c r="E3760" s="1">
        <v>6793829</v>
      </c>
      <c r="F3760" s="1">
        <v>24262256</v>
      </c>
      <c r="G3760" s="16">
        <v>33366.12532861295</v>
      </c>
      <c r="H3760">
        <v>137.19999999999999</v>
      </c>
      <c r="I3760" s="1">
        <v>388.18</v>
      </c>
      <c r="J3760" s="16">
        <v>237733.2620872602</v>
      </c>
      <c r="K3760" s="5">
        <v>0.23583993169592543</v>
      </c>
      <c r="L3760" s="10">
        <v>1015026.3245</v>
      </c>
    </row>
    <row r="3761" spans="1:12" x14ac:dyDescent="0.25">
      <c r="A3761">
        <v>3760</v>
      </c>
      <c r="B3761" s="3">
        <v>0.14048814196635381</v>
      </c>
      <c r="C3761" s="3">
        <v>4.1596585399418642E-2</v>
      </c>
      <c r="D3761" s="1">
        <v>842075.59063270246</v>
      </c>
      <c r="E3761" s="1">
        <v>39087916</v>
      </c>
      <c r="F3761" s="1">
        <v>96342028</v>
      </c>
      <c r="G3761" s="16">
        <v>10970.191379035441</v>
      </c>
      <c r="H3761">
        <v>35.21</v>
      </c>
      <c r="I3761" s="1">
        <v>134.55000000000001</v>
      </c>
      <c r="J3761" s="16">
        <v>853045.78201173793</v>
      </c>
      <c r="K3761" s="5">
        <v>4.6608921022944158E-2</v>
      </c>
      <c r="L3761" s="10">
        <v>709587.07180000003</v>
      </c>
    </row>
    <row r="3762" spans="1:12" x14ac:dyDescent="0.25">
      <c r="A3762">
        <v>3761</v>
      </c>
      <c r="B3762" s="3">
        <v>0.20741721925341444</v>
      </c>
      <c r="C3762" s="3">
        <v>5.817380134095132E-2</v>
      </c>
      <c r="D3762" s="1">
        <v>133211.02904929689</v>
      </c>
      <c r="E3762" s="1">
        <v>6317781</v>
      </c>
      <c r="F3762" s="1">
        <v>32124692</v>
      </c>
      <c r="G3762" s="16">
        <v>24909.683763571193</v>
      </c>
      <c r="H3762">
        <v>190.65</v>
      </c>
      <c r="I3762" s="1">
        <v>491.05000000000007</v>
      </c>
      <c r="J3762" s="16">
        <v>158120.71281286809</v>
      </c>
      <c r="K3762" s="5">
        <v>0.10272945758322857</v>
      </c>
      <c r="L3762" s="10">
        <v>230539.99290000001</v>
      </c>
    </row>
    <row r="3763" spans="1:12" x14ac:dyDescent="0.25">
      <c r="A3763">
        <v>3762</v>
      </c>
      <c r="B3763" s="3">
        <v>0.16975649360247408</v>
      </c>
      <c r="C3763" s="3">
        <v>7.5313090853826536E-2</v>
      </c>
      <c r="D3763" s="1">
        <v>175743.97267708831</v>
      </c>
      <c r="E3763" s="1">
        <v>6922469</v>
      </c>
      <c r="F3763" s="1">
        <v>32367954</v>
      </c>
      <c r="G3763" s="16">
        <v>44427.32521682349</v>
      </c>
      <c r="H3763">
        <v>245.67</v>
      </c>
      <c r="I3763" s="1">
        <v>676.58</v>
      </c>
      <c r="J3763" s="16">
        <v>220171.2978939118</v>
      </c>
      <c r="K3763" s="5">
        <v>0.11280720712016272</v>
      </c>
      <c r="L3763" s="10">
        <v>232535.37539999999</v>
      </c>
    </row>
    <row r="3764" spans="1:12" x14ac:dyDescent="0.25">
      <c r="A3764">
        <v>3763</v>
      </c>
      <c r="B3764" s="3">
        <v>0.23849537206541629</v>
      </c>
      <c r="C3764" s="3">
        <v>6.9564677519370899E-2</v>
      </c>
      <c r="D3764" s="1">
        <v>127196.25677609238</v>
      </c>
      <c r="E3764" s="1">
        <v>7079249</v>
      </c>
      <c r="F3764" s="1">
        <v>36911969</v>
      </c>
      <c r="G3764" s="16">
        <v>12288.402809466572</v>
      </c>
      <c r="H3764">
        <v>124.44</v>
      </c>
      <c r="I3764" s="1">
        <v>425.88</v>
      </c>
      <c r="J3764" s="16">
        <v>139484.65958555895</v>
      </c>
      <c r="K3764" s="5">
        <v>7.2966687448181494E-2</v>
      </c>
      <c r="L3764" s="10">
        <v>130644.0702</v>
      </c>
    </row>
    <row r="3765" spans="1:12" x14ac:dyDescent="0.25">
      <c r="A3765">
        <v>3764</v>
      </c>
      <c r="B3765" s="3">
        <v>0.15622034908009164</v>
      </c>
      <c r="C3765" s="3">
        <v>3.6864114965553807E-2</v>
      </c>
      <c r="D3765" s="1">
        <v>173489.78443458764</v>
      </c>
      <c r="E3765" s="1">
        <v>6405607</v>
      </c>
      <c r="F3765" s="1">
        <v>29675289</v>
      </c>
      <c r="G3765" s="16">
        <v>35236.523738382319</v>
      </c>
      <c r="H3765">
        <v>174.25</v>
      </c>
      <c r="I3765" s="1">
        <v>519.74</v>
      </c>
      <c r="J3765" s="16">
        <v>208726.30817296996</v>
      </c>
      <c r="K3765" s="5">
        <v>0.28996713211588654</v>
      </c>
      <c r="L3765" s="10">
        <v>1320232.8748999999</v>
      </c>
    </row>
    <row r="3766" spans="1:12" x14ac:dyDescent="0.25">
      <c r="A3766">
        <v>3765</v>
      </c>
      <c r="B3766" s="3">
        <v>0.16677628964508245</v>
      </c>
      <c r="C3766" s="3">
        <v>6.1977958587706425E-2</v>
      </c>
      <c r="D3766" s="1">
        <v>300590.74455157557</v>
      </c>
      <c r="E3766" s="1">
        <v>11671656</v>
      </c>
      <c r="F3766" s="1">
        <v>36596145</v>
      </c>
      <c r="G3766" s="16">
        <v>25691.583241007156</v>
      </c>
      <c r="H3766">
        <v>138.79</v>
      </c>
      <c r="I3766" s="1">
        <v>517.09</v>
      </c>
      <c r="J3766" s="16">
        <v>326282.32779258274</v>
      </c>
      <c r="K3766" s="5">
        <v>9.4020299856283268E-2</v>
      </c>
      <c r="L3766" s="10">
        <v>335387.4056</v>
      </c>
    </row>
    <row r="3767" spans="1:12" x14ac:dyDescent="0.25">
      <c r="A3767">
        <v>3766</v>
      </c>
      <c r="B3767" s="3">
        <v>0.17878071202799867</v>
      </c>
      <c r="C3767" s="3">
        <v>6.9993116064554467E-2</v>
      </c>
      <c r="D3767" s="1">
        <v>119377.08318778525</v>
      </c>
      <c r="E3767" s="1">
        <v>4912324</v>
      </c>
      <c r="F3767" s="1">
        <v>32896789</v>
      </c>
      <c r="G3767" s="16">
        <v>28062.464025440568</v>
      </c>
      <c r="H3767">
        <v>167.56</v>
      </c>
      <c r="I3767" s="1">
        <v>575.97</v>
      </c>
      <c r="J3767" s="16">
        <v>147439.5472132258</v>
      </c>
      <c r="K3767" s="5">
        <v>0.14427069171488771</v>
      </c>
      <c r="L3767" s="10">
        <v>247801.03159999999</v>
      </c>
    </row>
    <row r="3768" spans="1:12" x14ac:dyDescent="0.25">
      <c r="A3768">
        <v>3767</v>
      </c>
      <c r="B3768" s="3">
        <v>0.12814534235054917</v>
      </c>
      <c r="C3768" s="3">
        <v>2.4161255763867594E-2</v>
      </c>
      <c r="D3768" s="1">
        <v>96328.456395071888</v>
      </c>
      <c r="E3768" s="1">
        <v>2720353</v>
      </c>
      <c r="F3768" s="1">
        <v>20832106</v>
      </c>
      <c r="G3768" s="16">
        <v>17439.908707846258</v>
      </c>
      <c r="H3768">
        <v>59.84</v>
      </c>
      <c r="I3768" s="1">
        <v>267.42</v>
      </c>
      <c r="J3768" s="16">
        <v>113768.36510291815</v>
      </c>
      <c r="K3768" s="5">
        <v>2.0697298030731351E-3</v>
      </c>
      <c r="L3768" s="10">
        <v>43836.454899999997</v>
      </c>
    </row>
    <row r="3769" spans="1:12" x14ac:dyDescent="0.25">
      <c r="A3769">
        <v>3768</v>
      </c>
      <c r="B3769" s="3">
        <v>0.18666125908427844</v>
      </c>
      <c r="C3769" s="3">
        <v>7.1932147349228245E-2</v>
      </c>
      <c r="D3769" s="1">
        <v>157313.96693992606</v>
      </c>
      <c r="E3769" s="1">
        <v>5472120</v>
      </c>
      <c r="F3769" s="1">
        <v>18353438</v>
      </c>
      <c r="G3769" s="16">
        <v>15587.783173605379</v>
      </c>
      <c r="H3769">
        <v>80.930000000000007</v>
      </c>
      <c r="I3769" s="1">
        <v>277.81</v>
      </c>
      <c r="J3769" s="16">
        <v>172901.75011353145</v>
      </c>
      <c r="K3769" s="5">
        <v>0.1055553753307665</v>
      </c>
      <c r="L3769" s="10">
        <v>162112.43179999999</v>
      </c>
    </row>
    <row r="3770" spans="1:12" x14ac:dyDescent="0.25">
      <c r="A3770">
        <v>3769</v>
      </c>
      <c r="B3770" s="3">
        <v>0.15846031031826519</v>
      </c>
      <c r="C3770" s="3">
        <v>2.3464985092620461E-2</v>
      </c>
      <c r="D3770" s="1">
        <v>200177.83663862591</v>
      </c>
      <c r="E3770" s="1">
        <v>8876582</v>
      </c>
      <c r="F3770" s="1">
        <v>42981148</v>
      </c>
      <c r="G3770" s="16">
        <v>24758.250853603178</v>
      </c>
      <c r="H3770">
        <v>124.55</v>
      </c>
      <c r="I3770" s="1">
        <v>386.17</v>
      </c>
      <c r="J3770" s="16">
        <v>224936.0874922291</v>
      </c>
      <c r="K3770" s="5">
        <v>-4.7476117604184652E-2</v>
      </c>
      <c r="L3770" s="10">
        <v>-352846.44549999997</v>
      </c>
    </row>
    <row r="3771" spans="1:12" x14ac:dyDescent="0.25">
      <c r="A3771">
        <v>3770</v>
      </c>
      <c r="B3771" s="3">
        <v>0.20898171854805989</v>
      </c>
      <c r="C3771" s="3">
        <v>5.7724402727381136E-2</v>
      </c>
      <c r="D3771" s="1">
        <v>111517.25916862229</v>
      </c>
      <c r="E3771" s="1">
        <v>4216826</v>
      </c>
      <c r="F3771" s="1">
        <v>19598867</v>
      </c>
      <c r="G3771" s="16">
        <v>9277.515075973939</v>
      </c>
      <c r="H3771">
        <v>57</v>
      </c>
      <c r="I3771" s="1">
        <v>215.8</v>
      </c>
      <c r="J3771" s="16">
        <v>120794.77424459622</v>
      </c>
      <c r="K3771" s="5">
        <v>0.2055099390756478</v>
      </c>
      <c r="L3771" s="10">
        <v>296975.9302</v>
      </c>
    </row>
    <row r="3772" spans="1:12" x14ac:dyDescent="0.25">
      <c r="A3772">
        <v>3771</v>
      </c>
      <c r="B3772" s="3">
        <v>0.20508382420302138</v>
      </c>
      <c r="C3772" s="3">
        <v>4.0228197649494618E-2</v>
      </c>
      <c r="D3772" s="1">
        <v>73042.867073482586</v>
      </c>
      <c r="E3772" s="1">
        <v>3423694</v>
      </c>
      <c r="F3772" s="1">
        <v>23566265</v>
      </c>
      <c r="G3772" s="16">
        <v>16997.110463144665</v>
      </c>
      <c r="H3772">
        <v>101.43</v>
      </c>
      <c r="I3772" s="1">
        <v>290.48</v>
      </c>
      <c r="J3772" s="16">
        <v>90039.977536627252</v>
      </c>
      <c r="K3772" s="5">
        <v>5.4207174787568861E-2</v>
      </c>
      <c r="L3772" s="10">
        <v>148734.7127</v>
      </c>
    </row>
    <row r="3773" spans="1:12" x14ac:dyDescent="0.25">
      <c r="A3773">
        <v>3772</v>
      </c>
      <c r="B3773" s="3">
        <v>0.1064055715183915</v>
      </c>
      <c r="C3773" s="3">
        <v>4.9362593143134258E-2</v>
      </c>
      <c r="D3773" s="1">
        <v>314226.32315085223</v>
      </c>
      <c r="E3773" s="1">
        <v>9223243</v>
      </c>
      <c r="F3773" s="1">
        <v>32085961</v>
      </c>
      <c r="G3773" s="16">
        <v>35222.804995056926</v>
      </c>
      <c r="H3773">
        <v>104.17</v>
      </c>
      <c r="I3773" s="1">
        <v>376.57</v>
      </c>
      <c r="J3773" s="16">
        <v>349449.12814590917</v>
      </c>
      <c r="K3773" s="5">
        <v>6.2068232611722063E-2</v>
      </c>
      <c r="L3773" s="10">
        <v>294683.64159999997</v>
      </c>
    </row>
    <row r="3774" spans="1:12" x14ac:dyDescent="0.25">
      <c r="A3774">
        <v>3773</v>
      </c>
      <c r="B3774" s="3">
        <v>0.16144798446561523</v>
      </c>
      <c r="C3774" s="3">
        <v>4.8606597454812467E-2</v>
      </c>
      <c r="D3774" s="1">
        <v>59767.513166909361</v>
      </c>
      <c r="E3774" s="1">
        <v>1897051</v>
      </c>
      <c r="F3774" s="1">
        <v>14736410</v>
      </c>
      <c r="G3774" s="16">
        <v>13444.397907378132</v>
      </c>
      <c r="H3774">
        <v>58.18</v>
      </c>
      <c r="I3774" s="1">
        <v>233.94</v>
      </c>
      <c r="J3774" s="16">
        <v>73211.911074287491</v>
      </c>
      <c r="K3774" s="5">
        <v>9.0331572665616602E-2</v>
      </c>
      <c r="L3774" s="10">
        <v>127870.81359999999</v>
      </c>
    </row>
    <row r="3775" spans="1:12" x14ac:dyDescent="0.25">
      <c r="A3775">
        <v>3774</v>
      </c>
      <c r="B3775" s="3">
        <v>0.15641469369162883</v>
      </c>
      <c r="C3775" s="3">
        <v>4.6525321586019047E-2</v>
      </c>
      <c r="D3775" s="1">
        <v>95230.768844129096</v>
      </c>
      <c r="E3775" s="1">
        <v>2968886</v>
      </c>
      <c r="F3775" s="1">
        <v>18885836</v>
      </c>
      <c r="G3775" s="16">
        <v>23637.197543542115</v>
      </c>
      <c r="H3775">
        <v>98.72</v>
      </c>
      <c r="I3775" s="1">
        <v>302.88</v>
      </c>
      <c r="J3775" s="16">
        <v>118867.96638767121</v>
      </c>
      <c r="K3775" s="5">
        <v>7.3949159827042948E-2</v>
      </c>
      <c r="L3775" s="10">
        <v>174760.02660000001</v>
      </c>
    </row>
    <row r="3776" spans="1:12" x14ac:dyDescent="0.25">
      <c r="A3776">
        <v>3775</v>
      </c>
      <c r="B3776" s="3">
        <v>0.13950001219289881</v>
      </c>
      <c r="C3776" s="3">
        <v>2.7052424602833035E-2</v>
      </c>
      <c r="D3776" s="1">
        <v>86380.224411646501</v>
      </c>
      <c r="E3776" s="1">
        <v>2537260</v>
      </c>
      <c r="F3776" s="1">
        <v>20349463</v>
      </c>
      <c r="G3776" s="16">
        <v>29445.63536501522</v>
      </c>
      <c r="H3776">
        <v>126.88</v>
      </c>
      <c r="I3776" s="1">
        <v>412.14</v>
      </c>
      <c r="J3776" s="16">
        <v>115825.85977666172</v>
      </c>
      <c r="K3776" s="5">
        <v>0.13060041294271085</v>
      </c>
      <c r="L3776" s="10">
        <v>481688.94420000003</v>
      </c>
    </row>
    <row r="3777" spans="1:12" x14ac:dyDescent="0.25">
      <c r="A3777">
        <v>3776</v>
      </c>
      <c r="B3777" s="3">
        <v>0.11787261481538952</v>
      </c>
      <c r="C3777" s="3">
        <v>3.8602655272805125E-2</v>
      </c>
      <c r="D3777" s="1">
        <v>459467.82768316602</v>
      </c>
      <c r="E3777" s="1">
        <v>16099102</v>
      </c>
      <c r="F3777" s="1">
        <v>45730693</v>
      </c>
      <c r="G3777" s="16">
        <v>20814.569295981888</v>
      </c>
      <c r="H3777">
        <v>66.56</v>
      </c>
      <c r="I3777" s="1">
        <v>215.99</v>
      </c>
      <c r="J3777" s="16">
        <v>480282.39697914792</v>
      </c>
      <c r="K3777" s="5">
        <v>2.8736246332900992E-2</v>
      </c>
      <c r="L3777" s="10">
        <v>310797.60190000001</v>
      </c>
    </row>
    <row r="3778" spans="1:12" x14ac:dyDescent="0.25">
      <c r="A3778">
        <v>3777</v>
      </c>
      <c r="B3778" s="3">
        <v>0.22283684549996141</v>
      </c>
      <c r="C3778" s="3">
        <v>3.0884554344438091E-2</v>
      </c>
      <c r="D3778" s="1">
        <v>101847.3550217367</v>
      </c>
      <c r="E3778" s="1">
        <v>5225211</v>
      </c>
      <c r="F3778" s="1">
        <v>22295370</v>
      </c>
      <c r="G3778" s="16">
        <v>31619.071002875986</v>
      </c>
      <c r="H3778">
        <v>277.76</v>
      </c>
      <c r="I3778" s="1">
        <v>739.23</v>
      </c>
      <c r="J3778" s="16">
        <v>133466.42602461268</v>
      </c>
      <c r="K3778" s="5">
        <v>0.22108174759729232</v>
      </c>
      <c r="L3778" s="10">
        <v>844744.32609999995</v>
      </c>
    </row>
    <row r="3779" spans="1:12" x14ac:dyDescent="0.25">
      <c r="A3779">
        <v>3778</v>
      </c>
      <c r="B3779" s="3">
        <v>0.19133870931088037</v>
      </c>
      <c r="C3779" s="3">
        <v>7.9350582053191246E-2</v>
      </c>
      <c r="D3779" s="1">
        <v>53831.040869499659</v>
      </c>
      <c r="E3779" s="1">
        <v>1540640</v>
      </c>
      <c r="F3779" s="1">
        <v>7385907</v>
      </c>
      <c r="G3779" s="16">
        <v>23642.885229853051</v>
      </c>
      <c r="H3779">
        <v>157.1</v>
      </c>
      <c r="I3779" s="1">
        <v>556.5</v>
      </c>
      <c r="J3779" s="16">
        <v>77473.926099352713</v>
      </c>
      <c r="K3779" s="5">
        <v>0.25900949363272613</v>
      </c>
      <c r="L3779" s="10">
        <v>160443.47409999999</v>
      </c>
    </row>
    <row r="3780" spans="1:12" x14ac:dyDescent="0.25">
      <c r="A3780">
        <v>3779</v>
      </c>
      <c r="B3780" s="3">
        <v>0.12749906393470975</v>
      </c>
      <c r="C3780" s="3">
        <v>4.7484870705925185E-2</v>
      </c>
      <c r="D3780" s="1">
        <v>85438.182903974914</v>
      </c>
      <c r="E3780" s="1">
        <v>2407450</v>
      </c>
      <c r="F3780" s="1">
        <v>10831517</v>
      </c>
      <c r="G3780" s="16">
        <v>21709.559419714533</v>
      </c>
      <c r="H3780">
        <v>73.94</v>
      </c>
      <c r="I3780" s="1">
        <v>300.31</v>
      </c>
      <c r="J3780" s="16">
        <v>107147.74232368945</v>
      </c>
      <c r="K3780" s="5">
        <v>7.7166145057301516E-2</v>
      </c>
      <c r="L3780" s="10">
        <v>133511.52590000001</v>
      </c>
    </row>
    <row r="3781" spans="1:12" x14ac:dyDescent="0.25">
      <c r="A3781">
        <v>3780</v>
      </c>
      <c r="B3781" s="3">
        <v>0.13488836856265973</v>
      </c>
      <c r="C3781" s="3">
        <v>4.2855871132467624E-2</v>
      </c>
      <c r="D3781" s="1">
        <v>323983.64860425849</v>
      </c>
      <c r="E3781" s="1">
        <v>10825228</v>
      </c>
      <c r="F3781" s="1">
        <v>36223816</v>
      </c>
      <c r="G3781" s="16">
        <v>72620.927323743948</v>
      </c>
      <c r="H3781">
        <v>348.43</v>
      </c>
      <c r="I3781" s="1">
        <v>898.48</v>
      </c>
      <c r="J3781" s="16">
        <v>396604.57592800242</v>
      </c>
      <c r="K3781" s="5">
        <v>3.6904269067730228E-2</v>
      </c>
      <c r="L3781" s="10">
        <v>313973.3014</v>
      </c>
    </row>
    <row r="3782" spans="1:12" x14ac:dyDescent="0.25">
      <c r="A3782">
        <v>3781</v>
      </c>
      <c r="B3782" s="3">
        <v>0.19866950367710842</v>
      </c>
      <c r="C3782" s="3">
        <v>2.9065219827708277E-2</v>
      </c>
      <c r="D3782" s="1">
        <v>255110.93099884311</v>
      </c>
      <c r="E3782" s="1">
        <v>14450203</v>
      </c>
      <c r="F3782" s="1">
        <v>53619025</v>
      </c>
      <c r="G3782" s="16">
        <v>36554.184898094361</v>
      </c>
      <c r="H3782">
        <v>259.18</v>
      </c>
      <c r="I3782" s="1">
        <v>722.94</v>
      </c>
      <c r="J3782" s="16">
        <v>291665.11589693744</v>
      </c>
      <c r="K3782" s="5">
        <v>-8.2774570167909456E-3</v>
      </c>
      <c r="L3782" s="10">
        <v>-22238.3753</v>
      </c>
    </row>
    <row r="3783" spans="1:12" x14ac:dyDescent="0.25">
      <c r="A3783">
        <v>3782</v>
      </c>
      <c r="B3783" s="3">
        <v>0.16930964311803792</v>
      </c>
      <c r="C3783" s="3">
        <v>3.4569484349071963E-2</v>
      </c>
      <c r="D3783" s="1">
        <v>314769.03977166803</v>
      </c>
      <c r="E3783" s="1">
        <v>14893585</v>
      </c>
      <c r="F3783" s="1">
        <v>51565538</v>
      </c>
      <c r="G3783" s="16">
        <v>23028.120114805344</v>
      </c>
      <c r="H3783">
        <v>105.35</v>
      </c>
      <c r="I3783" s="1">
        <v>302.39999999999998</v>
      </c>
      <c r="J3783" s="16">
        <v>337797.15988647338</v>
      </c>
      <c r="K3783" s="5">
        <v>2.7687493920201332E-2</v>
      </c>
      <c r="L3783" s="10">
        <v>268870.73979999998</v>
      </c>
    </row>
    <row r="3784" spans="1:12" x14ac:dyDescent="0.25">
      <c r="A3784">
        <v>3783</v>
      </c>
      <c r="B3784" s="3">
        <v>0.13603995711530251</v>
      </c>
      <c r="C3784" s="3">
        <v>7.2810599130285786E-2</v>
      </c>
      <c r="D3784" s="1">
        <v>139584.5889786387</v>
      </c>
      <c r="E3784" s="1">
        <v>4050977</v>
      </c>
      <c r="F3784" s="1">
        <v>19498319</v>
      </c>
      <c r="G3784" s="16">
        <v>63606.885985775974</v>
      </c>
      <c r="H3784">
        <v>266.19</v>
      </c>
      <c r="I3784" s="1">
        <v>719.35</v>
      </c>
      <c r="J3784" s="16">
        <v>203191.47496441467</v>
      </c>
      <c r="K3784" s="5">
        <v>0.17594814347587673</v>
      </c>
      <c r="L3784" s="10">
        <v>328440.57829999999</v>
      </c>
    </row>
    <row r="3785" spans="1:12" x14ac:dyDescent="0.25">
      <c r="A3785">
        <v>3784</v>
      </c>
      <c r="B3785" s="3">
        <v>0.19980426545336402</v>
      </c>
      <c r="C3785" s="3">
        <v>6.6506517882984686E-2</v>
      </c>
      <c r="D3785" s="1">
        <v>135994.5656181158</v>
      </c>
      <c r="E3785" s="1">
        <v>6207828</v>
      </c>
      <c r="F3785" s="1">
        <v>22785989</v>
      </c>
      <c r="G3785" s="16">
        <v>35960.181521146122</v>
      </c>
      <c r="H3785">
        <v>257.86</v>
      </c>
      <c r="I3785" s="1">
        <v>712.82999999999993</v>
      </c>
      <c r="J3785" s="16">
        <v>171954.74713926192</v>
      </c>
      <c r="K3785" s="5">
        <v>0.11579587140737342</v>
      </c>
      <c r="L3785" s="10">
        <v>219632.40729999999</v>
      </c>
    </row>
    <row r="3786" spans="1:12" x14ac:dyDescent="0.25">
      <c r="A3786">
        <v>3785</v>
      </c>
      <c r="B3786" s="3">
        <v>0.23628010179218281</v>
      </c>
      <c r="C3786" s="3">
        <v>3.9905454491943881E-2</v>
      </c>
      <c r="D3786" s="1">
        <v>178218.6484336445</v>
      </c>
      <c r="E3786" s="1">
        <v>9804357</v>
      </c>
      <c r="F3786" s="1">
        <v>38265648</v>
      </c>
      <c r="G3786" s="16">
        <v>17677.798275491245</v>
      </c>
      <c r="H3786">
        <v>175.69</v>
      </c>
      <c r="I3786" s="1">
        <v>456.46</v>
      </c>
      <c r="J3786" s="16">
        <v>195896.44670913575</v>
      </c>
      <c r="K3786" s="5">
        <v>0.16063125103678413</v>
      </c>
      <c r="L3786" s="10">
        <v>656254.06140000001</v>
      </c>
    </row>
    <row r="3787" spans="1:12" x14ac:dyDescent="0.25">
      <c r="A3787">
        <v>3786</v>
      </c>
      <c r="B3787" s="3">
        <v>0.21183388101228129</v>
      </c>
      <c r="C3787" s="3">
        <v>2.1060130802810027E-2</v>
      </c>
      <c r="D3787" s="1">
        <v>168351.0775297262</v>
      </c>
      <c r="E3787" s="1">
        <v>8164838</v>
      </c>
      <c r="F3787" s="1">
        <v>29165487</v>
      </c>
      <c r="G3787" s="16">
        <v>28396.627268734082</v>
      </c>
      <c r="H3787">
        <v>286.55</v>
      </c>
      <c r="I3787" s="1">
        <v>772.73</v>
      </c>
      <c r="J3787" s="16">
        <v>196747.7047984603</v>
      </c>
      <c r="K3787" s="5">
        <v>0.23863783057162458</v>
      </c>
      <c r="L3787" s="10">
        <v>1997619.9898000001</v>
      </c>
    </row>
    <row r="3788" spans="1:12" x14ac:dyDescent="0.25">
      <c r="A3788">
        <v>3787</v>
      </c>
      <c r="B3788" s="3">
        <v>0.1082991641641913</v>
      </c>
      <c r="C3788" s="3">
        <v>7.3185216581255569E-2</v>
      </c>
      <c r="D3788" s="1">
        <v>219525.73748783258</v>
      </c>
      <c r="E3788" s="1">
        <v>7287739</v>
      </c>
      <c r="F3788" s="1">
        <v>48057287</v>
      </c>
      <c r="G3788" s="16">
        <v>43287.791214052755</v>
      </c>
      <c r="H3788">
        <v>145.38</v>
      </c>
      <c r="I3788" s="1">
        <v>549.38</v>
      </c>
      <c r="J3788" s="16">
        <v>262813.52870188531</v>
      </c>
      <c r="K3788" s="5">
        <v>8.4731542927502373E-3</v>
      </c>
      <c r="L3788" s="10">
        <v>96737.632299999997</v>
      </c>
    </row>
    <row r="3789" spans="1:12" x14ac:dyDescent="0.25">
      <c r="A3789">
        <v>3788</v>
      </c>
      <c r="B3789" s="3">
        <v>0.19313409230076906</v>
      </c>
      <c r="C3789" s="3">
        <v>5.245176827626892E-2</v>
      </c>
      <c r="D3789" s="1">
        <v>219804.18997617831</v>
      </c>
      <c r="E3789" s="1">
        <v>9705843</v>
      </c>
      <c r="F3789" s="1">
        <v>37937670</v>
      </c>
      <c r="G3789" s="16">
        <v>65644.733490754297</v>
      </c>
      <c r="H3789">
        <v>550.55999999999995</v>
      </c>
      <c r="I3789" s="1">
        <v>1374.03</v>
      </c>
      <c r="J3789" s="16">
        <v>285448.92346693261</v>
      </c>
      <c r="K3789" s="5">
        <v>0.22728933503193102</v>
      </c>
      <c r="L3789" s="10">
        <v>869614.88930000004</v>
      </c>
    </row>
    <row r="3790" spans="1:12" x14ac:dyDescent="0.25">
      <c r="A3790">
        <v>3789</v>
      </c>
      <c r="B3790" s="3">
        <v>0.10172135983487557</v>
      </c>
      <c r="C3790" s="3">
        <v>6.8147809688387476E-2</v>
      </c>
      <c r="D3790" s="1">
        <v>121932.32129037232</v>
      </c>
      <c r="E3790" s="1">
        <v>3148385</v>
      </c>
      <c r="F3790" s="1">
        <v>14086377</v>
      </c>
      <c r="G3790" s="16">
        <v>63195.396773474233</v>
      </c>
      <c r="H3790">
        <v>201.61</v>
      </c>
      <c r="I3790" s="1">
        <v>645.78</v>
      </c>
      <c r="J3790" s="16">
        <v>185127.71806384655</v>
      </c>
      <c r="K3790" s="5">
        <v>0.13221901425566512</v>
      </c>
      <c r="L3790" s="10">
        <v>260840.97940000001</v>
      </c>
    </row>
    <row r="3791" spans="1:12" x14ac:dyDescent="0.25">
      <c r="A3791">
        <v>3790</v>
      </c>
      <c r="B3791" s="3">
        <v>0.13072773662415149</v>
      </c>
      <c r="C3791" s="3">
        <v>3.3097738011534379E-2</v>
      </c>
      <c r="D3791" s="1">
        <v>268725.29450969107</v>
      </c>
      <c r="E3791" s="1">
        <v>8808209</v>
      </c>
      <c r="F3791" s="1">
        <v>37515521</v>
      </c>
      <c r="G3791" s="16">
        <v>36539.975796253726</v>
      </c>
      <c r="H3791">
        <v>146.55000000000001</v>
      </c>
      <c r="I3791" s="1">
        <v>433.38</v>
      </c>
      <c r="J3791" s="16">
        <v>305265.27030594478</v>
      </c>
      <c r="K3791" s="5">
        <v>8.5829864420621543E-2</v>
      </c>
      <c r="L3791" s="10">
        <v>640982.27960000001</v>
      </c>
    </row>
    <row r="3792" spans="1:12" x14ac:dyDescent="0.25">
      <c r="A3792">
        <v>3791</v>
      </c>
      <c r="B3792" s="3">
        <v>0.15840492508499343</v>
      </c>
      <c r="C3792" s="3">
        <v>4.7110673406519962E-2</v>
      </c>
      <c r="D3792" s="1">
        <v>110006.44797011372</v>
      </c>
      <c r="E3792" s="1">
        <v>3453914</v>
      </c>
      <c r="F3792" s="1">
        <v>14446980</v>
      </c>
      <c r="G3792" s="16">
        <v>11551.736812804807</v>
      </c>
      <c r="H3792">
        <v>41.15</v>
      </c>
      <c r="I3792" s="1">
        <v>176.38000000000002</v>
      </c>
      <c r="J3792" s="16">
        <v>121558.18478291853</v>
      </c>
      <c r="K3792" s="5">
        <v>-4.9852247929779853E-3</v>
      </c>
      <c r="L3792" s="10">
        <v>-5894.3182999999999</v>
      </c>
    </row>
    <row r="3793" spans="1:12" x14ac:dyDescent="0.25">
      <c r="A3793">
        <v>3792</v>
      </c>
      <c r="B3793" s="3">
        <v>0.15957696267318722</v>
      </c>
      <c r="C3793" s="3">
        <v>3.5290783870607814E-2</v>
      </c>
      <c r="D3793" s="1">
        <v>145674.56207111309</v>
      </c>
      <c r="E3793" s="1">
        <v>5465061</v>
      </c>
      <c r="F3793" s="1">
        <v>28622013</v>
      </c>
      <c r="G3793" s="16">
        <v>39989.793336155082</v>
      </c>
      <c r="H3793">
        <v>203.14</v>
      </c>
      <c r="I3793" s="1">
        <v>652.42000000000007</v>
      </c>
      <c r="J3793" s="16">
        <v>185664.35540726816</v>
      </c>
      <c r="K3793" s="5">
        <v>-6.7784139752730149E-2</v>
      </c>
      <c r="L3793" s="10">
        <v>-291922.0111</v>
      </c>
    </row>
    <row r="3794" spans="1:12" x14ac:dyDescent="0.25">
      <c r="A3794">
        <v>3793</v>
      </c>
      <c r="B3794" s="3">
        <v>0.10531588476078019</v>
      </c>
      <c r="C3794" s="3">
        <v>5.1333616701801699E-2</v>
      </c>
      <c r="D3794" s="1">
        <v>156000.2781914401</v>
      </c>
      <c r="E3794" s="1">
        <v>4076795</v>
      </c>
      <c r="F3794" s="1">
        <v>19221330</v>
      </c>
      <c r="G3794" s="16">
        <v>42388.775187513551</v>
      </c>
      <c r="H3794">
        <v>139.07</v>
      </c>
      <c r="I3794" s="1">
        <v>418.06</v>
      </c>
      <c r="J3794" s="16">
        <v>198389.05337895366</v>
      </c>
      <c r="K3794" s="5">
        <v>0.2516969988286118</v>
      </c>
      <c r="L3794" s="10">
        <v>734608.18729999999</v>
      </c>
    </row>
    <row r="3795" spans="1:12" x14ac:dyDescent="0.25">
      <c r="A3795">
        <v>3794</v>
      </c>
      <c r="B3795" s="3">
        <v>0.22156624745910825</v>
      </c>
      <c r="C3795" s="3">
        <v>3.9500433922008957E-2</v>
      </c>
      <c r="D3795" s="1">
        <v>100945.90182956519</v>
      </c>
      <c r="E3795" s="1">
        <v>4005223</v>
      </c>
      <c r="F3795" s="1">
        <v>16812346</v>
      </c>
      <c r="G3795" s="16">
        <v>14612.357754544619</v>
      </c>
      <c r="H3795">
        <v>127.1</v>
      </c>
      <c r="I3795" s="1">
        <v>435.86</v>
      </c>
      <c r="J3795" s="16">
        <v>115558.25958410981</v>
      </c>
      <c r="K3795" s="5">
        <v>0.10086958916324047</v>
      </c>
      <c r="L3795" s="10">
        <v>250481.0539</v>
      </c>
    </row>
    <row r="3796" spans="1:12" x14ac:dyDescent="0.25">
      <c r="A3796">
        <v>3795</v>
      </c>
      <c r="B3796" s="3">
        <v>0.16616634013844553</v>
      </c>
      <c r="C3796" s="3">
        <v>7.1022867401115658E-2</v>
      </c>
      <c r="D3796" s="1">
        <v>91530.25358686308</v>
      </c>
      <c r="E3796" s="1">
        <v>2954806</v>
      </c>
      <c r="F3796" s="1">
        <v>13618616</v>
      </c>
      <c r="G3796" s="16">
        <v>26209.615645300248</v>
      </c>
      <c r="H3796">
        <v>140.74</v>
      </c>
      <c r="I3796" s="1">
        <v>415.23</v>
      </c>
      <c r="J3796" s="16">
        <v>117739.86923216333</v>
      </c>
      <c r="K3796" s="5">
        <v>9.7094436732007072E-2</v>
      </c>
      <c r="L3796" s="10">
        <v>115846.9953</v>
      </c>
    </row>
    <row r="3797" spans="1:12" x14ac:dyDescent="0.25">
      <c r="A3797">
        <v>3796</v>
      </c>
      <c r="B3797" s="3">
        <v>0.11911999756572833</v>
      </c>
      <c r="C3797" s="3">
        <v>4.9334750787167536E-2</v>
      </c>
      <c r="D3797" s="1">
        <v>92583.432061741478</v>
      </c>
      <c r="E3797" s="1">
        <v>2535044</v>
      </c>
      <c r="F3797" s="1">
        <v>15841258</v>
      </c>
      <c r="G3797" s="16">
        <v>75886.124289282394</v>
      </c>
      <c r="H3797">
        <v>277.57</v>
      </c>
      <c r="I3797" s="1">
        <v>652.13</v>
      </c>
      <c r="J3797" s="16">
        <v>168469.55635102387</v>
      </c>
      <c r="K3797" s="5">
        <v>7.3821969943990956E-2</v>
      </c>
      <c r="L3797" s="10">
        <v>222406.85699999999</v>
      </c>
    </row>
    <row r="3798" spans="1:12" x14ac:dyDescent="0.25">
      <c r="A3798">
        <v>3797</v>
      </c>
      <c r="B3798" s="3">
        <v>0.10747059293795705</v>
      </c>
      <c r="C3798" s="3">
        <v>7.6250874010060699E-2</v>
      </c>
      <c r="D3798" s="1">
        <v>36228.282118423042</v>
      </c>
      <c r="E3798" s="1">
        <v>851149</v>
      </c>
      <c r="F3798" s="1">
        <v>7736167</v>
      </c>
      <c r="G3798" s="16">
        <v>84831.630345381185</v>
      </c>
      <c r="H3798">
        <v>317.04000000000002</v>
      </c>
      <c r="I3798" s="1">
        <v>894.13000000000011</v>
      </c>
      <c r="J3798" s="16">
        <v>121059.91246380423</v>
      </c>
      <c r="K3798" s="5">
        <v>6.7438431998809625E-2</v>
      </c>
      <c r="L3798" s="10">
        <v>92848.5674</v>
      </c>
    </row>
    <row r="3799" spans="1:12" x14ac:dyDescent="0.25">
      <c r="A3799">
        <v>3798</v>
      </c>
      <c r="B3799" s="3">
        <v>0.16591093755631581</v>
      </c>
      <c r="C3799" s="3">
        <v>3.9774007794204119E-2</v>
      </c>
      <c r="D3799" s="1">
        <v>88883.505102646741</v>
      </c>
      <c r="E3799" s="1">
        <v>2866728</v>
      </c>
      <c r="F3799" s="1">
        <v>15848754</v>
      </c>
      <c r="G3799" s="16">
        <v>18594.922262284832</v>
      </c>
      <c r="H3799">
        <v>83.05</v>
      </c>
      <c r="I3799" s="1">
        <v>268.11</v>
      </c>
      <c r="J3799" s="16">
        <v>107478.42736493157</v>
      </c>
      <c r="K3799" s="5">
        <v>-4.1105580434104949E-2</v>
      </c>
      <c r="L3799" s="10">
        <v>-77055.383400000006</v>
      </c>
    </row>
    <row r="3800" spans="1:12" x14ac:dyDescent="0.25">
      <c r="A3800">
        <v>3799</v>
      </c>
      <c r="B3800" s="3">
        <v>0.12763422632120491</v>
      </c>
      <c r="C3800" s="3">
        <v>3.150260305557679E-2</v>
      </c>
      <c r="D3800" s="1">
        <v>170276.09649829651</v>
      </c>
      <c r="E3800" s="1">
        <v>5502525</v>
      </c>
      <c r="F3800" s="1">
        <v>27731483</v>
      </c>
      <c r="G3800" s="16">
        <v>42462.371929257075</v>
      </c>
      <c r="H3800">
        <v>166.2</v>
      </c>
      <c r="I3800" s="1">
        <v>520.22</v>
      </c>
      <c r="J3800" s="16">
        <v>212738.4684275536</v>
      </c>
      <c r="K3800" s="5">
        <v>0.27104115249645899</v>
      </c>
      <c r="L3800" s="10">
        <v>1526194.3181</v>
      </c>
    </row>
    <row r="3801" spans="1:12" x14ac:dyDescent="0.25">
      <c r="A3801">
        <v>3800</v>
      </c>
      <c r="B3801" s="3">
        <v>0.21701861616979251</v>
      </c>
      <c r="C3801" s="3">
        <v>2.386660408929606E-2</v>
      </c>
      <c r="D3801" s="1">
        <v>69093.468822177398</v>
      </c>
      <c r="E3801" s="1">
        <v>2693919</v>
      </c>
      <c r="F3801" s="1">
        <v>18417113</v>
      </c>
      <c r="G3801" s="16">
        <v>31472.068062383907</v>
      </c>
      <c r="H3801">
        <v>335.22</v>
      </c>
      <c r="I3801" s="1">
        <v>852.92000000000007</v>
      </c>
      <c r="J3801" s="16">
        <v>100565.5368845613</v>
      </c>
      <c r="K3801" s="5">
        <v>0.20123516407572795</v>
      </c>
      <c r="L3801" s="10">
        <v>758160.72699999996</v>
      </c>
    </row>
    <row r="3802" spans="1:12" x14ac:dyDescent="0.25">
      <c r="A3802">
        <v>3801</v>
      </c>
      <c r="B3802" s="3">
        <v>0.17331667379494736</v>
      </c>
      <c r="C3802" s="3">
        <v>7.6514366647351242E-2</v>
      </c>
      <c r="D3802" s="1">
        <v>44097.866175131683</v>
      </c>
      <c r="E3802" s="1">
        <v>1460841</v>
      </c>
      <c r="F3802" s="1">
        <v>13297168</v>
      </c>
      <c r="G3802" s="16">
        <v>58656.421946146671</v>
      </c>
      <c r="H3802">
        <v>404.52</v>
      </c>
      <c r="I3802" s="1">
        <v>1282.49</v>
      </c>
      <c r="J3802" s="16">
        <v>102754.28812127835</v>
      </c>
      <c r="K3802" s="5">
        <v>5.9110026589453239E-2</v>
      </c>
      <c r="L3802" s="10">
        <v>69680.367700000003</v>
      </c>
    </row>
    <row r="3803" spans="1:12" x14ac:dyDescent="0.25">
      <c r="A3803">
        <v>3802</v>
      </c>
      <c r="B3803" s="3">
        <v>0.14382374676813303</v>
      </c>
      <c r="C3803" s="3">
        <v>7.9172416152011732E-2</v>
      </c>
      <c r="D3803" s="1">
        <v>119459.92113243544</v>
      </c>
      <c r="E3803" s="1">
        <v>3562341</v>
      </c>
      <c r="F3803" s="1">
        <v>13934927</v>
      </c>
      <c r="G3803" s="16">
        <v>49494.68731909505</v>
      </c>
      <c r="H3803">
        <v>220.54</v>
      </c>
      <c r="I3803" s="1">
        <v>607.78</v>
      </c>
      <c r="J3803" s="16">
        <v>168954.60845153048</v>
      </c>
      <c r="K3803" s="5">
        <v>7.0364196351535915E-2</v>
      </c>
      <c r="L3803" s="10">
        <v>93014.094200000007</v>
      </c>
    </row>
    <row r="3804" spans="1:12" x14ac:dyDescent="0.25">
      <c r="A3804">
        <v>3803</v>
      </c>
      <c r="B3804" s="3">
        <v>0.14046344906355301</v>
      </c>
      <c r="C3804" s="3">
        <v>7.4441375191185225E-2</v>
      </c>
      <c r="D3804" s="1">
        <v>109732.30276813464</v>
      </c>
      <c r="E3804" s="1">
        <v>3762535</v>
      </c>
      <c r="F3804" s="1">
        <v>24409349</v>
      </c>
      <c r="G3804" s="16">
        <v>25035.081613048595</v>
      </c>
      <c r="H3804">
        <v>93.44</v>
      </c>
      <c r="I3804" s="1">
        <v>343.05</v>
      </c>
      <c r="J3804" s="16">
        <v>134767.38438118325</v>
      </c>
      <c r="K3804" s="5">
        <v>0.1894295876302422</v>
      </c>
      <c r="L3804" s="10">
        <v>240569.41380000001</v>
      </c>
    </row>
    <row r="3805" spans="1:12" x14ac:dyDescent="0.25">
      <c r="A3805">
        <v>3804</v>
      </c>
      <c r="B3805" s="3">
        <v>0.12007482731527139</v>
      </c>
      <c r="C3805" s="3">
        <v>7.3479339756868836E-2</v>
      </c>
      <c r="D3805" s="1">
        <v>223745.06912649973</v>
      </c>
      <c r="E3805" s="1">
        <v>6985111</v>
      </c>
      <c r="F3805" s="1">
        <v>26628414</v>
      </c>
      <c r="G3805" s="16">
        <v>62206.889264980186</v>
      </c>
      <c r="H3805">
        <v>229.2</v>
      </c>
      <c r="I3805" s="1">
        <v>741.85000000000014</v>
      </c>
      <c r="J3805" s="16">
        <v>285951.95839147992</v>
      </c>
      <c r="K3805" s="5">
        <v>3.9644109792357329E-2</v>
      </c>
      <c r="L3805" s="10">
        <v>118056.02039999999</v>
      </c>
    </row>
    <row r="3806" spans="1:12" x14ac:dyDescent="0.25">
      <c r="A3806">
        <v>3805</v>
      </c>
      <c r="B3806" s="3">
        <v>0.10451473206735244</v>
      </c>
      <c r="C3806" s="3">
        <v>3.3970459176096257E-2</v>
      </c>
      <c r="D3806" s="1">
        <v>218570.62754416768</v>
      </c>
      <c r="E3806" s="1">
        <v>6361522</v>
      </c>
      <c r="F3806" s="1">
        <v>25089583</v>
      </c>
      <c r="G3806" s="16">
        <v>42416.99134008259</v>
      </c>
      <c r="H3806">
        <v>137.97999999999999</v>
      </c>
      <c r="I3806" s="1">
        <v>511.81999999999994</v>
      </c>
      <c r="J3806" s="16">
        <v>260987.61888425029</v>
      </c>
      <c r="K3806" s="5">
        <v>0.14134888466941456</v>
      </c>
      <c r="L3806" s="10">
        <v>855837.46939999994</v>
      </c>
    </row>
    <row r="3807" spans="1:12" x14ac:dyDescent="0.25">
      <c r="A3807">
        <v>3806</v>
      </c>
      <c r="B3807" s="3">
        <v>0.22686621669472926</v>
      </c>
      <c r="C3807" s="3">
        <v>4.9479007899315239E-2</v>
      </c>
      <c r="D3807" s="1">
        <v>223998.85669686354</v>
      </c>
      <c r="E3807" s="1">
        <v>11733565</v>
      </c>
      <c r="F3807" s="1">
        <v>40653929</v>
      </c>
      <c r="G3807" s="16">
        <v>30558.124181784846</v>
      </c>
      <c r="H3807">
        <v>359.83</v>
      </c>
      <c r="I3807" s="1">
        <v>917.27</v>
      </c>
      <c r="J3807" s="16">
        <v>254556.98087864838</v>
      </c>
      <c r="K3807" s="5">
        <v>0.11587636619029955</v>
      </c>
      <c r="L3807" s="10">
        <v>436979.48580000002</v>
      </c>
    </row>
    <row r="3808" spans="1:12" x14ac:dyDescent="0.25">
      <c r="A3808">
        <v>3807</v>
      </c>
      <c r="B3808" s="3">
        <v>0.20605961879168638</v>
      </c>
      <c r="C3808" s="3">
        <v>2.6940584889665303E-2</v>
      </c>
      <c r="D3808" s="1">
        <v>130561.35945372633</v>
      </c>
      <c r="E3808" s="1">
        <v>4882631</v>
      </c>
      <c r="F3808" s="1">
        <v>20689096</v>
      </c>
      <c r="G3808" s="16">
        <v>8202.3226788849843</v>
      </c>
      <c r="H3808">
        <v>39.17</v>
      </c>
      <c r="I3808" s="1">
        <v>171.14</v>
      </c>
      <c r="J3808" s="16">
        <v>138763.68213261131</v>
      </c>
      <c r="K3808" s="5">
        <v>0.20880125634120919</v>
      </c>
      <c r="L3808" s="10">
        <v>904557.58700000006</v>
      </c>
    </row>
    <row r="3809" spans="1:12" x14ac:dyDescent="0.25">
      <c r="A3809">
        <v>3808</v>
      </c>
      <c r="B3809" s="3">
        <v>0.13191144033749583</v>
      </c>
      <c r="C3809" s="3">
        <v>5.1651400385778701E-2</v>
      </c>
      <c r="D3809" s="1">
        <v>191077.82649035502</v>
      </c>
      <c r="E3809" s="1">
        <v>5466647</v>
      </c>
      <c r="F3809" s="1">
        <v>20735237</v>
      </c>
      <c r="G3809" s="16">
        <v>57014.39464349347</v>
      </c>
      <c r="H3809">
        <v>230.91</v>
      </c>
      <c r="I3809" s="1">
        <v>760.03</v>
      </c>
      <c r="J3809" s="16">
        <v>248092.22113384848</v>
      </c>
      <c r="K3809" s="5">
        <v>0.26732926256953743</v>
      </c>
      <c r="L3809" s="10">
        <v>906187.40079999994</v>
      </c>
    </row>
    <row r="3810" spans="1:12" x14ac:dyDescent="0.25">
      <c r="A3810">
        <v>3809</v>
      </c>
      <c r="B3810" s="3">
        <v>0.18730068925530874</v>
      </c>
      <c r="C3810" s="3">
        <v>7.9287430999018083E-2</v>
      </c>
      <c r="D3810" s="1">
        <v>213600.08263448352</v>
      </c>
      <c r="E3810" s="1">
        <v>9163996</v>
      </c>
      <c r="F3810" s="1">
        <v>42296803</v>
      </c>
      <c r="G3810" s="16">
        <v>13255.66878052163</v>
      </c>
      <c r="H3810">
        <v>69.23</v>
      </c>
      <c r="I3810" s="1">
        <v>248.47000000000003</v>
      </c>
      <c r="J3810" s="16">
        <v>226855.75141500516</v>
      </c>
      <c r="K3810" s="5">
        <v>0.11481061380274292</v>
      </c>
      <c r="L3810" s="10">
        <v>242388.4737</v>
      </c>
    </row>
    <row r="3811" spans="1:12" x14ac:dyDescent="0.25">
      <c r="A3811">
        <v>3810</v>
      </c>
      <c r="B3811" s="3">
        <v>0.22304569144537209</v>
      </c>
      <c r="C3811" s="3">
        <v>7.9492391202465387E-2</v>
      </c>
      <c r="D3811" s="1">
        <v>54832.223483426176</v>
      </c>
      <c r="E3811" s="1">
        <v>2188024</v>
      </c>
      <c r="F3811" s="1">
        <v>18557597</v>
      </c>
      <c r="G3811" s="16">
        <v>24991.565778652464</v>
      </c>
      <c r="H3811">
        <v>282.79000000000002</v>
      </c>
      <c r="I3811" s="1">
        <v>786.67000000000007</v>
      </c>
      <c r="J3811" s="16">
        <v>79823.789262078644</v>
      </c>
      <c r="K3811" s="5">
        <v>-1.4386874229326677E-2</v>
      </c>
      <c r="L3811" s="10">
        <v>15984.0038</v>
      </c>
    </row>
    <row r="3812" spans="1:12" x14ac:dyDescent="0.25">
      <c r="A3812">
        <v>3811</v>
      </c>
      <c r="B3812" s="3">
        <v>0.19718581572879662</v>
      </c>
      <c r="C3812" s="3">
        <v>4.4273372589195753E-2</v>
      </c>
      <c r="D3812" s="1">
        <v>73148.851281270836</v>
      </c>
      <c r="E3812" s="1">
        <v>2645849</v>
      </c>
      <c r="F3812" s="1">
        <v>15630707</v>
      </c>
      <c r="G3812" s="16">
        <v>30615.040894982678</v>
      </c>
      <c r="H3812">
        <v>214.42</v>
      </c>
      <c r="I3812" s="1">
        <v>713.64</v>
      </c>
      <c r="J3812" s="16">
        <v>103763.89217625352</v>
      </c>
      <c r="K3812" s="5">
        <v>0.10585624059799693</v>
      </c>
      <c r="L3812" s="10">
        <v>223596.2597</v>
      </c>
    </row>
    <row r="3813" spans="1:12" x14ac:dyDescent="0.25">
      <c r="A3813">
        <v>3812</v>
      </c>
      <c r="B3813" s="3">
        <v>0.13104583228372052</v>
      </c>
      <c r="C3813" s="3">
        <v>6.7949742727814053E-2</v>
      </c>
      <c r="D3813" s="1">
        <v>280943.12833402277</v>
      </c>
      <c r="E3813" s="1">
        <v>10612969</v>
      </c>
      <c r="F3813" s="1">
        <v>46916595</v>
      </c>
      <c r="G3813" s="16">
        <v>25430.238332024564</v>
      </c>
      <c r="H3813">
        <v>88.95</v>
      </c>
      <c r="I3813" s="1">
        <v>261.89999999999998</v>
      </c>
      <c r="J3813" s="16">
        <v>306373.36666604731</v>
      </c>
      <c r="K3813" s="5">
        <v>9.5423935306833546E-2</v>
      </c>
      <c r="L3813" s="10">
        <v>293389.38630000001</v>
      </c>
    </row>
    <row r="3814" spans="1:12" x14ac:dyDescent="0.25">
      <c r="A3814">
        <v>3813</v>
      </c>
      <c r="B3814" s="3">
        <v>0.10383781550526613</v>
      </c>
      <c r="C3814" s="3">
        <v>3.9962924931661113E-2</v>
      </c>
      <c r="D3814" s="1">
        <v>231924.62532559116</v>
      </c>
      <c r="E3814" s="1">
        <v>6729827</v>
      </c>
      <c r="F3814" s="1">
        <v>27513606</v>
      </c>
      <c r="G3814" s="16">
        <v>40777.052006398124</v>
      </c>
      <c r="H3814">
        <v>118.43</v>
      </c>
      <c r="I3814" s="1">
        <v>356.26</v>
      </c>
      <c r="J3814" s="16">
        <v>272701.67733198928</v>
      </c>
      <c r="K3814" s="5">
        <v>0.12365214501863278</v>
      </c>
      <c r="L3814" s="10">
        <v>629616.77029999997</v>
      </c>
    </row>
    <row r="3815" spans="1:12" x14ac:dyDescent="0.25">
      <c r="A3815">
        <v>3814</v>
      </c>
      <c r="B3815" s="3">
        <v>0.20945996957467528</v>
      </c>
      <c r="C3815" s="3">
        <v>6.7186199315613745E-2</v>
      </c>
      <c r="D3815" s="1">
        <v>86406.814414097404</v>
      </c>
      <c r="E3815" s="1">
        <v>3273248</v>
      </c>
      <c r="F3815" s="1">
        <v>16656667</v>
      </c>
      <c r="G3815" s="16">
        <v>15920.825620808029</v>
      </c>
      <c r="H3815">
        <v>124.07</v>
      </c>
      <c r="I3815" s="1">
        <v>441.15</v>
      </c>
      <c r="J3815" s="16">
        <v>102327.64003490543</v>
      </c>
      <c r="K3815" s="5">
        <v>0.13011520010328925</v>
      </c>
      <c r="L3815" s="10">
        <v>150458.60200000001</v>
      </c>
    </row>
    <row r="3816" spans="1:12" x14ac:dyDescent="0.25">
      <c r="A3816">
        <v>3815</v>
      </c>
      <c r="B3816" s="3">
        <v>0.16028611125342027</v>
      </c>
      <c r="C3816" s="3">
        <v>6.224178516476403E-2</v>
      </c>
      <c r="D3816" s="1">
        <v>106686.41841084154</v>
      </c>
      <c r="E3816" s="1">
        <v>4015933</v>
      </c>
      <c r="F3816" s="1">
        <v>21747378</v>
      </c>
      <c r="G3816" s="16">
        <v>18839.964359209429</v>
      </c>
      <c r="H3816">
        <v>80.94</v>
      </c>
      <c r="I3816" s="1">
        <v>290.8</v>
      </c>
      <c r="J3816" s="16">
        <v>125526.38277005096</v>
      </c>
      <c r="K3816" s="5">
        <v>8.7712645184484808E-2</v>
      </c>
      <c r="L3816" s="10">
        <v>137423.87820000001</v>
      </c>
    </row>
    <row r="3817" spans="1:12" x14ac:dyDescent="0.25">
      <c r="A3817">
        <v>3816</v>
      </c>
      <c r="B3817" s="3">
        <v>0.18994327429976177</v>
      </c>
      <c r="C3817" s="3">
        <v>4.4983109808719689E-2</v>
      </c>
      <c r="D3817" s="1">
        <v>68719.015113114263</v>
      </c>
      <c r="E3817" s="1">
        <v>2419547</v>
      </c>
      <c r="F3817" s="1">
        <v>14864015</v>
      </c>
      <c r="G3817" s="16">
        <v>18729.749125446317</v>
      </c>
      <c r="H3817">
        <v>122.95</v>
      </c>
      <c r="I3817" s="1">
        <v>384.65999999999997</v>
      </c>
      <c r="J3817" s="16">
        <v>87448.764238560572</v>
      </c>
      <c r="K3817" s="5">
        <v>0.14546857371559857</v>
      </c>
      <c r="L3817" s="10">
        <v>241720.2536</v>
      </c>
    </row>
    <row r="3818" spans="1:12" x14ac:dyDescent="0.25">
      <c r="A3818">
        <v>3817</v>
      </c>
      <c r="B3818" s="3">
        <v>0.21565345646631542</v>
      </c>
      <c r="C3818" s="3">
        <v>6.1193214581807223E-2</v>
      </c>
      <c r="D3818" s="1">
        <v>74014.580129469352</v>
      </c>
      <c r="E3818" s="1">
        <v>2870750</v>
      </c>
      <c r="F3818" s="1">
        <v>12023704</v>
      </c>
      <c r="G3818" s="16">
        <v>32180.544205730974</v>
      </c>
      <c r="H3818">
        <v>265.27999999999997</v>
      </c>
      <c r="I3818" s="1">
        <v>733.29</v>
      </c>
      <c r="J3818" s="16">
        <v>106195.12433520032</v>
      </c>
      <c r="K3818" s="5">
        <v>-1.2765005158459488E-2</v>
      </c>
      <c r="L3818" s="10">
        <v>837.20159999999998</v>
      </c>
    </row>
    <row r="3819" spans="1:12" x14ac:dyDescent="0.25">
      <c r="A3819">
        <v>3818</v>
      </c>
      <c r="B3819" s="3">
        <v>0.10703040004297398</v>
      </c>
      <c r="C3819" s="3">
        <v>3.6845023081455E-2</v>
      </c>
      <c r="D3819" s="1">
        <v>248211.79429327112</v>
      </c>
      <c r="E3819" s="1">
        <v>7305980</v>
      </c>
      <c r="F3819" s="1">
        <v>31525571</v>
      </c>
      <c r="G3819" s="16">
        <v>67214.752909604722</v>
      </c>
      <c r="H3819">
        <v>223.37</v>
      </c>
      <c r="I3819" s="1">
        <v>633.75</v>
      </c>
      <c r="J3819" s="16">
        <v>315426.54720287584</v>
      </c>
      <c r="K3819" s="5">
        <v>0.13663900655547201</v>
      </c>
      <c r="L3819" s="10">
        <v>938993.73380000005</v>
      </c>
    </row>
    <row r="3820" spans="1:12" x14ac:dyDescent="0.25">
      <c r="A3820">
        <v>3819</v>
      </c>
      <c r="B3820" s="3">
        <v>0.13112827383943287</v>
      </c>
      <c r="C3820" s="3">
        <v>3.022928425840482E-2</v>
      </c>
      <c r="D3820" s="1">
        <v>260626.53999320924</v>
      </c>
      <c r="E3820" s="1">
        <v>8558527</v>
      </c>
      <c r="F3820" s="1">
        <v>37420275</v>
      </c>
      <c r="G3820" s="16">
        <v>11264.88165045934</v>
      </c>
      <c r="H3820">
        <v>39.39</v>
      </c>
      <c r="I3820" s="1">
        <v>219.01999999999998</v>
      </c>
      <c r="J3820" s="16">
        <v>271891.42164366855</v>
      </c>
      <c r="K3820" s="5">
        <v>4.8650721960591933E-2</v>
      </c>
      <c r="L3820" s="10">
        <v>395491.21260000003</v>
      </c>
    </row>
    <row r="3821" spans="1:12" x14ac:dyDescent="0.25">
      <c r="A3821">
        <v>3820</v>
      </c>
      <c r="B3821" s="3">
        <v>0.13651351960812977</v>
      </c>
      <c r="C3821" s="3">
        <v>7.4721781992342556E-2</v>
      </c>
      <c r="D3821" s="1">
        <v>181140.10863664746</v>
      </c>
      <c r="E3821" s="1">
        <v>5265630</v>
      </c>
      <c r="F3821" s="1">
        <v>19387066</v>
      </c>
      <c r="G3821" s="16">
        <v>15145.610263004241</v>
      </c>
      <c r="H3821">
        <v>47.53</v>
      </c>
      <c r="I3821" s="1">
        <v>179.3</v>
      </c>
      <c r="J3821" s="16">
        <v>196285.71889965169</v>
      </c>
      <c r="K3821" s="5">
        <v>3.9756368400404231E-2</v>
      </c>
      <c r="L3821" s="10">
        <v>64379.909899999999</v>
      </c>
    </row>
    <row r="3822" spans="1:12" x14ac:dyDescent="0.25">
      <c r="A3822">
        <v>3821</v>
      </c>
      <c r="B3822" s="3">
        <v>0.15717337724415414</v>
      </c>
      <c r="C3822" s="3">
        <v>5.7706646694742653E-2</v>
      </c>
      <c r="D3822" s="1">
        <v>128377.39044696222</v>
      </c>
      <c r="E3822" s="1">
        <v>4761443</v>
      </c>
      <c r="F3822" s="1">
        <v>25723963</v>
      </c>
      <c r="G3822" s="16">
        <v>54338.302969306773</v>
      </c>
      <c r="H3822">
        <v>320.95999999999998</v>
      </c>
      <c r="I3822" s="1">
        <v>801.26</v>
      </c>
      <c r="J3822" s="16">
        <v>182715.693416269</v>
      </c>
      <c r="K3822" s="5">
        <v>5.3064433793003928E-2</v>
      </c>
      <c r="L3822" s="10">
        <v>121221.1588</v>
      </c>
    </row>
    <row r="3823" spans="1:12" x14ac:dyDescent="0.25">
      <c r="A3823">
        <v>3822</v>
      </c>
      <c r="B3823" s="3">
        <v>0.16029638394616738</v>
      </c>
      <c r="C3823" s="3">
        <v>4.5923115845876307E-2</v>
      </c>
      <c r="D3823" s="1">
        <v>107912.50587818299</v>
      </c>
      <c r="E3823" s="1">
        <v>3411118</v>
      </c>
      <c r="F3823" s="1">
        <v>17782043</v>
      </c>
      <c r="G3823" s="16">
        <v>50461.477000500949</v>
      </c>
      <c r="H3823">
        <v>307.55</v>
      </c>
      <c r="I3823" s="1">
        <v>821.22</v>
      </c>
      <c r="J3823" s="16">
        <v>158373.98287868395</v>
      </c>
      <c r="K3823" s="5">
        <v>0.11574488868708488</v>
      </c>
      <c r="L3823" s="10">
        <v>306166.3444</v>
      </c>
    </row>
    <row r="3824" spans="1:12" x14ac:dyDescent="0.25">
      <c r="A3824">
        <v>3823</v>
      </c>
      <c r="B3824" s="3">
        <v>0.18037544123626512</v>
      </c>
      <c r="C3824" s="3">
        <v>3.3241002187374684E-2</v>
      </c>
      <c r="D3824" s="1">
        <v>202189.85858051112</v>
      </c>
      <c r="E3824" s="1">
        <v>8384994</v>
      </c>
      <c r="F3824" s="1">
        <v>41971537</v>
      </c>
      <c r="G3824" s="16">
        <v>27122.486404518604</v>
      </c>
      <c r="H3824">
        <v>134.71</v>
      </c>
      <c r="I3824" s="1">
        <v>356.39</v>
      </c>
      <c r="J3824" s="16">
        <v>229312.34498502972</v>
      </c>
      <c r="K3824" s="5">
        <v>5.5010216257570244E-2</v>
      </c>
      <c r="L3824" s="10">
        <v>350502.45250000001</v>
      </c>
    </row>
    <row r="3825" spans="1:12" x14ac:dyDescent="0.25">
      <c r="A3825">
        <v>3824</v>
      </c>
      <c r="B3825" s="3">
        <v>0.24746031111842409</v>
      </c>
      <c r="C3825" s="3">
        <v>7.3538158840614543E-2</v>
      </c>
      <c r="D3825" s="1">
        <v>206074.4419624499</v>
      </c>
      <c r="E3825" s="1">
        <v>15980122</v>
      </c>
      <c r="F3825" s="1">
        <v>47161314</v>
      </c>
      <c r="G3825" s="16">
        <v>23738.023503169035</v>
      </c>
      <c r="H3825">
        <v>347.39</v>
      </c>
      <c r="I3825" s="1">
        <v>1072.2199999999998</v>
      </c>
      <c r="J3825" s="16">
        <v>229812.46546561894</v>
      </c>
      <c r="K3825" s="5">
        <v>0.11834106807487298</v>
      </c>
      <c r="L3825" s="10">
        <v>261139.6551</v>
      </c>
    </row>
    <row r="3826" spans="1:12" x14ac:dyDescent="0.25">
      <c r="A3826">
        <v>3825</v>
      </c>
      <c r="B3826" s="3">
        <v>0.23152739446529519</v>
      </c>
      <c r="C3826" s="3">
        <v>7.6283087945112626E-2</v>
      </c>
      <c r="D3826" s="1">
        <v>88014.719037709496</v>
      </c>
      <c r="E3826" s="1">
        <v>4723285</v>
      </c>
      <c r="F3826" s="1">
        <v>28563602</v>
      </c>
      <c r="G3826" s="16">
        <v>10233.417709177353</v>
      </c>
      <c r="H3826">
        <v>74.83</v>
      </c>
      <c r="I3826" s="1">
        <v>247.82</v>
      </c>
      <c r="J3826" s="16">
        <v>98248.136746886856</v>
      </c>
      <c r="K3826" s="5">
        <v>-5.4639744965776532E-2</v>
      </c>
      <c r="L3826" s="10">
        <v>-51868.823700000001</v>
      </c>
    </row>
    <row r="3827" spans="1:12" x14ac:dyDescent="0.25">
      <c r="A3827">
        <v>3826</v>
      </c>
      <c r="B3827" s="3">
        <v>0.22958055068696134</v>
      </c>
      <c r="C3827" s="3">
        <v>5.8152120403204915E-2</v>
      </c>
      <c r="D3827" s="1">
        <v>102792.72683574817</v>
      </c>
      <c r="E3827" s="1">
        <v>5460803</v>
      </c>
      <c r="F3827" s="1">
        <v>25356276</v>
      </c>
      <c r="G3827" s="16">
        <v>13573.036638137821</v>
      </c>
      <c r="H3827">
        <v>126.69</v>
      </c>
      <c r="I3827" s="1">
        <v>444.49</v>
      </c>
      <c r="J3827" s="16">
        <v>116365.76347388599</v>
      </c>
      <c r="K3827" s="5">
        <v>8.0529667613768063E-2</v>
      </c>
      <c r="L3827" s="10">
        <v>125137.5616</v>
      </c>
    </row>
    <row r="3828" spans="1:12" x14ac:dyDescent="0.25">
      <c r="A3828">
        <v>3827</v>
      </c>
      <c r="B3828" s="3">
        <v>0.15929799484398852</v>
      </c>
      <c r="C3828" s="3">
        <v>4.3613111294885806E-2</v>
      </c>
      <c r="D3828" s="1">
        <v>63001.796547043828</v>
      </c>
      <c r="E3828" s="1">
        <v>1984400</v>
      </c>
      <c r="F3828" s="1">
        <v>12386750</v>
      </c>
      <c r="G3828" s="16">
        <v>45297.707562604883</v>
      </c>
      <c r="H3828">
        <v>273.23</v>
      </c>
      <c r="I3828" s="1">
        <v>785.73</v>
      </c>
      <c r="J3828" s="16">
        <v>108299.50410964871</v>
      </c>
      <c r="K3828" s="5">
        <v>6.3883353341334465E-2</v>
      </c>
      <c r="L3828" s="10">
        <v>130775.7932</v>
      </c>
    </row>
    <row r="3829" spans="1:12" x14ac:dyDescent="0.25">
      <c r="A3829">
        <v>3828</v>
      </c>
      <c r="B3829" s="3">
        <v>0.14615245287790246</v>
      </c>
      <c r="C3829" s="3">
        <v>3.5072704982027081E-2</v>
      </c>
      <c r="D3829" s="1">
        <v>302360.13443621417</v>
      </c>
      <c r="E3829" s="1">
        <v>12468833</v>
      </c>
      <c r="F3829" s="1">
        <v>58814775</v>
      </c>
      <c r="G3829" s="16">
        <v>48834.081617223128</v>
      </c>
      <c r="H3829">
        <v>222.44</v>
      </c>
      <c r="I3829" s="1">
        <v>537.64</v>
      </c>
      <c r="J3829" s="16">
        <v>351194.21605343733</v>
      </c>
      <c r="K3829" s="5">
        <v>7.5630640687345152E-2</v>
      </c>
      <c r="L3829" s="10">
        <v>678142.53020000004</v>
      </c>
    </row>
    <row r="3830" spans="1:12" x14ac:dyDescent="0.25">
      <c r="A3830">
        <v>3829</v>
      </c>
      <c r="B3830" s="3">
        <v>0.18607501806981611</v>
      </c>
      <c r="C3830" s="3">
        <v>3.8236435593657317E-2</v>
      </c>
      <c r="D3830" s="1">
        <v>79404.95438722572</v>
      </c>
      <c r="E3830" s="1">
        <v>2756117</v>
      </c>
      <c r="F3830" s="1">
        <v>11828316</v>
      </c>
      <c r="G3830" s="16">
        <v>28873.967607291808</v>
      </c>
      <c r="H3830">
        <v>183.35</v>
      </c>
      <c r="I3830" s="1">
        <v>546.27</v>
      </c>
      <c r="J3830" s="16">
        <v>108278.92199451753</v>
      </c>
      <c r="K3830" s="5">
        <v>0.14138399140241753</v>
      </c>
      <c r="L3830" s="10">
        <v>337658.47940000001</v>
      </c>
    </row>
    <row r="3831" spans="1:12" x14ac:dyDescent="0.25">
      <c r="A3831">
        <v>3830</v>
      </c>
      <c r="B3831" s="3">
        <v>0.13686989747400197</v>
      </c>
      <c r="C3831" s="3">
        <v>4.9767327238837616E-2</v>
      </c>
      <c r="D3831" s="1">
        <v>109478.43979074407</v>
      </c>
      <c r="E3831" s="1">
        <v>3186417</v>
      </c>
      <c r="F3831" s="1">
        <v>18251840</v>
      </c>
      <c r="G3831" s="16">
        <v>20066.367239559779</v>
      </c>
      <c r="H3831">
        <v>73.11</v>
      </c>
      <c r="I3831" s="1">
        <v>255.99</v>
      </c>
      <c r="J3831" s="16">
        <v>129544.80703030385</v>
      </c>
      <c r="K3831" s="5">
        <v>-8.1668206989510689E-3</v>
      </c>
      <c r="L3831" s="10">
        <v>10693.294599999999</v>
      </c>
    </row>
    <row r="3832" spans="1:12" x14ac:dyDescent="0.25">
      <c r="A3832">
        <v>3831</v>
      </c>
      <c r="B3832" s="3">
        <v>0.13455135739329743</v>
      </c>
      <c r="C3832" s="3">
        <v>5.7603734665178166E-2</v>
      </c>
      <c r="D3832" s="1">
        <v>153945.42940625563</v>
      </c>
      <c r="E3832" s="1">
        <v>5135751</v>
      </c>
      <c r="F3832" s="1">
        <v>22946597</v>
      </c>
      <c r="G3832" s="16">
        <v>14127.380030760578</v>
      </c>
      <c r="H3832">
        <v>50.47</v>
      </c>
      <c r="I3832" s="1">
        <v>193.14</v>
      </c>
      <c r="J3832" s="16">
        <v>168072.8094370162</v>
      </c>
      <c r="K3832" s="5">
        <v>0.16730683364100427</v>
      </c>
      <c r="L3832" s="10">
        <v>335226.02370000002</v>
      </c>
    </row>
    <row r="3833" spans="1:12" x14ac:dyDescent="0.25">
      <c r="A3833">
        <v>3832</v>
      </c>
      <c r="B3833" s="3">
        <v>0.14118288923375805</v>
      </c>
      <c r="C3833" s="3">
        <v>3.3854661165294501E-2</v>
      </c>
      <c r="D3833" s="1">
        <v>341422.44865841226</v>
      </c>
      <c r="E3833" s="1">
        <v>13677006</v>
      </c>
      <c r="F3833" s="1">
        <v>45339600</v>
      </c>
      <c r="G3833" s="16">
        <v>12267.981022308768</v>
      </c>
      <c r="H3833">
        <v>39.47</v>
      </c>
      <c r="I3833" s="1">
        <v>161.53</v>
      </c>
      <c r="J3833" s="16">
        <v>353690.42968072102</v>
      </c>
      <c r="K3833" s="5">
        <v>0.11877401916619626</v>
      </c>
      <c r="L3833" s="10">
        <v>1023278.5971</v>
      </c>
    </row>
    <row r="3834" spans="1:12" x14ac:dyDescent="0.25">
      <c r="A3834">
        <v>3833</v>
      </c>
      <c r="B3834" s="3">
        <v>0.12564549081075738</v>
      </c>
      <c r="C3834" s="3">
        <v>5.2998396576744752E-2</v>
      </c>
      <c r="D3834" s="1">
        <v>263547.33194477455</v>
      </c>
      <c r="E3834" s="1">
        <v>8439395</v>
      </c>
      <c r="F3834" s="1">
        <v>37741299</v>
      </c>
      <c r="G3834" s="16">
        <v>41913.819075656967</v>
      </c>
      <c r="H3834">
        <v>184.51</v>
      </c>
      <c r="I3834" s="1">
        <v>830.14</v>
      </c>
      <c r="J3834" s="16">
        <v>305461.15102043154</v>
      </c>
      <c r="K3834" s="5">
        <v>2.6317274507608512E-2</v>
      </c>
      <c r="L3834" s="10">
        <v>113835.70359999999</v>
      </c>
    </row>
    <row r="3835" spans="1:12" x14ac:dyDescent="0.25">
      <c r="A3835">
        <v>3834</v>
      </c>
      <c r="B3835" s="3">
        <v>0.11999880438079981</v>
      </c>
      <c r="C3835" s="3">
        <v>2.7716641591845861E-2</v>
      </c>
      <c r="D3835" s="1">
        <v>275140.5124570998</v>
      </c>
      <c r="E3835" s="1">
        <v>8586653</v>
      </c>
      <c r="F3835" s="1">
        <v>38111173</v>
      </c>
      <c r="G3835" s="16">
        <v>35131.716666493681</v>
      </c>
      <c r="H3835">
        <v>129.34</v>
      </c>
      <c r="I3835" s="1">
        <v>425.99</v>
      </c>
      <c r="J3835" s="16">
        <v>310272.22912359348</v>
      </c>
      <c r="K3835" s="5">
        <v>2.9543250019354265E-2</v>
      </c>
      <c r="L3835" s="10">
        <v>289230.74430000002</v>
      </c>
    </row>
    <row r="3836" spans="1:12" x14ac:dyDescent="0.25">
      <c r="A3836">
        <v>3835</v>
      </c>
      <c r="B3836" s="3">
        <v>0.10348042257563238</v>
      </c>
      <c r="C3836" s="3">
        <v>5.8368888473305208E-2</v>
      </c>
      <c r="D3836" s="1">
        <v>39874.444307316706</v>
      </c>
      <c r="E3836" s="1">
        <v>928490</v>
      </c>
      <c r="F3836" s="1">
        <v>8087400</v>
      </c>
      <c r="G3836" s="16">
        <v>38226.985614226607</v>
      </c>
      <c r="H3836">
        <v>123.49</v>
      </c>
      <c r="I3836" s="1">
        <v>385.26</v>
      </c>
      <c r="J3836" s="16">
        <v>78101.429921543313</v>
      </c>
      <c r="K3836" s="5">
        <v>5.5823126709821931E-2</v>
      </c>
      <c r="L3836" s="10">
        <v>70626.390700000004</v>
      </c>
    </row>
    <row r="3837" spans="1:12" x14ac:dyDescent="0.25">
      <c r="A3837">
        <v>3836</v>
      </c>
      <c r="B3837" s="3">
        <v>0.19111646199235222</v>
      </c>
      <c r="C3837" s="3">
        <v>4.1573249399115872E-2</v>
      </c>
      <c r="D3837" s="1">
        <v>168805.91560550217</v>
      </c>
      <c r="E3837" s="1">
        <v>7379831</v>
      </c>
      <c r="F3837" s="1">
        <v>31141171</v>
      </c>
      <c r="G3837" s="16">
        <v>12112.942268926799</v>
      </c>
      <c r="H3837">
        <v>64.989999999999995</v>
      </c>
      <c r="I3837" s="1">
        <v>270.3</v>
      </c>
      <c r="J3837" s="16">
        <v>180918.85787442897</v>
      </c>
      <c r="K3837" s="5">
        <v>6.7855362910353156E-2</v>
      </c>
      <c r="L3837" s="10">
        <v>261493.02970000001</v>
      </c>
    </row>
    <row r="3838" spans="1:12" x14ac:dyDescent="0.25">
      <c r="A3838">
        <v>3837</v>
      </c>
      <c r="B3838" s="3">
        <v>0.11990472018197965</v>
      </c>
      <c r="C3838" s="3">
        <v>7.7282479259062439E-2</v>
      </c>
      <c r="D3838" s="1">
        <v>92229.770251090333</v>
      </c>
      <c r="E3838" s="1">
        <v>2532122</v>
      </c>
      <c r="F3838" s="1">
        <v>12210679</v>
      </c>
      <c r="G3838" s="16">
        <v>39613.073187520509</v>
      </c>
      <c r="H3838">
        <v>145.58000000000001</v>
      </c>
      <c r="I3838" s="1">
        <v>460.88</v>
      </c>
      <c r="J3838" s="16">
        <v>131842.84343861084</v>
      </c>
      <c r="K3838" s="5">
        <v>9.6287360265237015E-2</v>
      </c>
      <c r="L3838" s="10">
        <v>116285.39659999999</v>
      </c>
    </row>
    <row r="3839" spans="1:12" x14ac:dyDescent="0.25">
      <c r="A3839">
        <v>3838</v>
      </c>
      <c r="B3839" s="3">
        <v>0.12392182534560402</v>
      </c>
      <c r="C3839" s="3">
        <v>2.4802996936714346E-2</v>
      </c>
      <c r="D3839" s="1">
        <v>132591.44514363402</v>
      </c>
      <c r="E3839" s="1">
        <v>4212573</v>
      </c>
      <c r="F3839" s="1">
        <v>22632551</v>
      </c>
      <c r="G3839" s="16">
        <v>31097.45611331275</v>
      </c>
      <c r="H3839">
        <v>103.81</v>
      </c>
      <c r="I3839" s="1">
        <v>298.47000000000003</v>
      </c>
      <c r="J3839" s="16">
        <v>163688.90125694676</v>
      </c>
      <c r="K3839" s="5">
        <v>0.28919837147593835</v>
      </c>
      <c r="L3839" s="10">
        <v>1660769.2287000001</v>
      </c>
    </row>
    <row r="3840" spans="1:12" x14ac:dyDescent="0.25">
      <c r="A3840">
        <v>3839</v>
      </c>
      <c r="B3840" s="3">
        <v>0.19507565245083563</v>
      </c>
      <c r="C3840" s="3">
        <v>5.6485604280400614E-2</v>
      </c>
      <c r="D3840" s="1">
        <v>100251.34185942983</v>
      </c>
      <c r="E3840" s="1">
        <v>3597727</v>
      </c>
      <c r="F3840" s="1">
        <v>15208313</v>
      </c>
      <c r="G3840" s="16">
        <v>41244.336091325815</v>
      </c>
      <c r="H3840">
        <v>283.68</v>
      </c>
      <c r="I3840" s="1">
        <v>740.69</v>
      </c>
      <c r="J3840" s="16">
        <v>141495.67795075563</v>
      </c>
      <c r="K3840" s="5">
        <v>0.30022072535330313</v>
      </c>
      <c r="L3840" s="10">
        <v>531160.62300000002</v>
      </c>
    </row>
    <row r="3841" spans="1:12" x14ac:dyDescent="0.25">
      <c r="A3841">
        <v>3840</v>
      </c>
      <c r="B3841" s="3">
        <v>0.22761866787902263</v>
      </c>
      <c r="C3841" s="3">
        <v>4.6413669925554887E-2</v>
      </c>
      <c r="D3841" s="1">
        <v>92871.241130457813</v>
      </c>
      <c r="E3841" s="1">
        <v>4883791</v>
      </c>
      <c r="F3841" s="1">
        <v>23189744</v>
      </c>
      <c r="G3841" s="16">
        <v>14512.441051541806</v>
      </c>
      <c r="H3841">
        <v>133.03</v>
      </c>
      <c r="I3841" s="1">
        <v>413.69000000000005</v>
      </c>
      <c r="J3841" s="16">
        <v>107383.68218199961</v>
      </c>
      <c r="K3841" s="5">
        <v>5.5271274543899629E-2</v>
      </c>
      <c r="L3841" s="10">
        <v>119355.20480000001</v>
      </c>
    </row>
    <row r="3842" spans="1:12" x14ac:dyDescent="0.25">
      <c r="A3842">
        <v>3841</v>
      </c>
      <c r="B3842" s="3">
        <v>0.1745883086496835</v>
      </c>
      <c r="C3842" s="3">
        <v>6.4911277481019714E-2</v>
      </c>
      <c r="D3842" s="1">
        <v>118021.458416776</v>
      </c>
      <c r="E3842" s="1">
        <v>4758633</v>
      </c>
      <c r="F3842" s="1">
        <v>24374743</v>
      </c>
      <c r="G3842" s="16">
        <v>21278.221339741332</v>
      </c>
      <c r="H3842">
        <v>101.14</v>
      </c>
      <c r="I3842" s="1">
        <v>349.5</v>
      </c>
      <c r="J3842" s="16">
        <v>139299.67975651735</v>
      </c>
      <c r="K3842" s="5">
        <v>2.5956910738039879E-3</v>
      </c>
      <c r="L3842" s="10">
        <v>-8085.6621999999998</v>
      </c>
    </row>
    <row r="3843" spans="1:12" x14ac:dyDescent="0.25">
      <c r="A3843">
        <v>3842</v>
      </c>
      <c r="B3843" s="3">
        <v>0.24233151066311293</v>
      </c>
      <c r="C3843" s="3">
        <v>3.5328361384186165E-2</v>
      </c>
      <c r="D3843" s="1">
        <v>33568.850833266515</v>
      </c>
      <c r="E3843" s="1">
        <v>1444449</v>
      </c>
      <c r="F3843" s="1">
        <v>11826255</v>
      </c>
      <c r="G3843" s="16">
        <v>8077.3214005877526</v>
      </c>
      <c r="H3843">
        <v>64.25</v>
      </c>
      <c r="I3843" s="1">
        <v>299.95000000000005</v>
      </c>
      <c r="J3843" s="16">
        <v>41646.172233854268</v>
      </c>
      <c r="K3843" s="5">
        <v>0.10159161016646416</v>
      </c>
      <c r="L3843" s="10">
        <v>120577.06269999999</v>
      </c>
    </row>
    <row r="3844" spans="1:12" x14ac:dyDescent="0.25">
      <c r="A3844">
        <v>3843</v>
      </c>
      <c r="B3844" s="3">
        <v>0.24281038578373804</v>
      </c>
      <c r="C3844" s="3">
        <v>6.5301082992471685E-2</v>
      </c>
      <c r="D3844" s="1">
        <v>100691.05495556626</v>
      </c>
      <c r="E3844" s="1">
        <v>5732907</v>
      </c>
      <c r="F3844" s="1">
        <v>26266534</v>
      </c>
      <c r="G3844" s="16">
        <v>22963.35473002974</v>
      </c>
      <c r="H3844">
        <v>241.88</v>
      </c>
      <c r="I3844" s="1">
        <v>755.23</v>
      </c>
      <c r="J3844" s="16">
        <v>123654.40968559599</v>
      </c>
      <c r="K3844" s="5">
        <v>8.7933332172670381E-4</v>
      </c>
      <c r="L3844" s="10">
        <v>48630.917699999998</v>
      </c>
    </row>
    <row r="3845" spans="1:12" x14ac:dyDescent="0.25">
      <c r="A3845">
        <v>3844</v>
      </c>
      <c r="B3845" s="3">
        <v>0.20374462871080365</v>
      </c>
      <c r="C3845" s="3">
        <v>6.276001524508408E-2</v>
      </c>
      <c r="D3845" s="1">
        <v>95854.228432463424</v>
      </c>
      <c r="E3845" s="1">
        <v>3553507</v>
      </c>
      <c r="F3845" s="1">
        <v>16857426</v>
      </c>
      <c r="G3845" s="16">
        <v>20595.440429966118</v>
      </c>
      <c r="H3845">
        <v>152.68</v>
      </c>
      <c r="I3845" s="1">
        <v>678.57999999999993</v>
      </c>
      <c r="J3845" s="16">
        <v>116449.66886242953</v>
      </c>
      <c r="K3845" s="5">
        <v>3.4856814610707873E-2</v>
      </c>
      <c r="L3845" s="10">
        <v>50182.037499999999</v>
      </c>
    </row>
    <row r="3846" spans="1:12" x14ac:dyDescent="0.25">
      <c r="A3846">
        <v>3845</v>
      </c>
      <c r="B3846" s="3">
        <v>0.16303278199035698</v>
      </c>
      <c r="C3846" s="3">
        <v>5.7678146385377008E-2</v>
      </c>
      <c r="D3846" s="1">
        <v>183857.73294552785</v>
      </c>
      <c r="E3846" s="1">
        <v>7012142</v>
      </c>
      <c r="F3846" s="1">
        <v>27568689</v>
      </c>
      <c r="G3846" s="16">
        <v>36853.485500653005</v>
      </c>
      <c r="H3846">
        <v>193.11</v>
      </c>
      <c r="I3846" s="1">
        <v>497.62</v>
      </c>
      <c r="J3846" s="16">
        <v>220711.21844618086</v>
      </c>
      <c r="K3846" s="5">
        <v>6.8969404386850369E-2</v>
      </c>
      <c r="L3846" s="10">
        <v>221602.6868</v>
      </c>
    </row>
    <row r="3847" spans="1:12" x14ac:dyDescent="0.25">
      <c r="A3847">
        <v>3846</v>
      </c>
      <c r="B3847" s="3">
        <v>0.17207541778045171</v>
      </c>
      <c r="C3847" s="3">
        <v>7.5942930042428164E-2</v>
      </c>
      <c r="D3847" s="1">
        <v>234093.21464822249</v>
      </c>
      <c r="E3847" s="1">
        <v>9324555</v>
      </c>
      <c r="F3847" s="1">
        <v>28285781</v>
      </c>
      <c r="G3847" s="16">
        <v>53506.277644429596</v>
      </c>
      <c r="H3847">
        <v>364.48</v>
      </c>
      <c r="I3847" s="1">
        <v>990.01</v>
      </c>
      <c r="J3847" s="16">
        <v>287599.49229265208</v>
      </c>
      <c r="K3847" s="5">
        <v>1.4598203759753264E-2</v>
      </c>
      <c r="L3847" s="10">
        <v>46458.482900000003</v>
      </c>
    </row>
    <row r="3848" spans="1:12" x14ac:dyDescent="0.25">
      <c r="A3848">
        <v>3847</v>
      </c>
      <c r="B3848" s="3">
        <v>0.13575895203009769</v>
      </c>
      <c r="C3848" s="3">
        <v>7.7724520732266739E-2</v>
      </c>
      <c r="D3848" s="1">
        <v>264157.75006742467</v>
      </c>
      <c r="E3848" s="1">
        <v>8861890</v>
      </c>
      <c r="F3848" s="1">
        <v>37711535</v>
      </c>
      <c r="G3848" s="16">
        <v>49660.688033906365</v>
      </c>
      <c r="H3848">
        <v>207.52</v>
      </c>
      <c r="I3848" s="1">
        <v>568.98</v>
      </c>
      <c r="J3848" s="16">
        <v>313818.438101331</v>
      </c>
      <c r="K3848" s="5">
        <v>0.1180826545249242</v>
      </c>
      <c r="L3848" s="10">
        <v>356277.82780000003</v>
      </c>
    </row>
    <row r="3849" spans="1:12" x14ac:dyDescent="0.25">
      <c r="A3849">
        <v>3848</v>
      </c>
      <c r="B3849" s="3">
        <v>0.1297633557697575</v>
      </c>
      <c r="C3849" s="3">
        <v>6.316326231937773E-2</v>
      </c>
      <c r="D3849" s="1">
        <v>25209.858735404487</v>
      </c>
      <c r="E3849" s="1">
        <v>623016</v>
      </c>
      <c r="F3849" s="1">
        <v>7724904</v>
      </c>
      <c r="G3849" s="16">
        <v>27360.741231531265</v>
      </c>
      <c r="H3849">
        <v>94.78</v>
      </c>
      <c r="I3849" s="1">
        <v>298.02</v>
      </c>
      <c r="J3849" s="16">
        <v>52570.599966935755</v>
      </c>
      <c r="K3849" s="5">
        <v>0.13355595466633857</v>
      </c>
      <c r="L3849" s="10">
        <v>91148.4139</v>
      </c>
    </row>
    <row r="3850" spans="1:12" x14ac:dyDescent="0.25">
      <c r="A3850">
        <v>3849</v>
      </c>
      <c r="B3850" s="3">
        <v>0.118141237071293</v>
      </c>
      <c r="C3850" s="3">
        <v>6.4166687817234988E-2</v>
      </c>
      <c r="D3850" s="1">
        <v>144467.89032901742</v>
      </c>
      <c r="E3850" s="1">
        <v>4470728</v>
      </c>
      <c r="F3850" s="1">
        <v>22120047</v>
      </c>
      <c r="G3850" s="16">
        <v>58685.869817372877</v>
      </c>
      <c r="H3850">
        <v>212.83</v>
      </c>
      <c r="I3850" s="1">
        <v>671.18000000000006</v>
      </c>
      <c r="J3850" s="16">
        <v>203153.7601463903</v>
      </c>
      <c r="K3850" s="5">
        <v>0.17948502625763918</v>
      </c>
      <c r="L3850" s="10">
        <v>420255.5281</v>
      </c>
    </row>
    <row r="3851" spans="1:12" x14ac:dyDescent="0.25">
      <c r="A3851">
        <v>3850</v>
      </c>
      <c r="B3851" s="3">
        <v>0.12024660659555914</v>
      </c>
      <c r="C3851" s="3">
        <v>6.2675074213889681E-2</v>
      </c>
      <c r="D3851" s="1">
        <v>52824.809312255245</v>
      </c>
      <c r="E3851" s="1">
        <v>1277380</v>
      </c>
      <c r="F3851" s="1">
        <v>10067876</v>
      </c>
      <c r="G3851" s="16">
        <v>47877.930113632341</v>
      </c>
      <c r="H3851">
        <v>176.6</v>
      </c>
      <c r="I3851" s="1">
        <v>592.95000000000005</v>
      </c>
      <c r="J3851" s="16">
        <v>100702.73942588759</v>
      </c>
      <c r="K3851" s="5">
        <v>0.24855973209096327</v>
      </c>
      <c r="L3851" s="10">
        <v>286831.28259999998</v>
      </c>
    </row>
    <row r="3852" spans="1:12" x14ac:dyDescent="0.25">
      <c r="A3852">
        <v>3851</v>
      </c>
      <c r="B3852" s="3">
        <v>0.20120022757518274</v>
      </c>
      <c r="C3852" s="3">
        <v>4.1912691595600987E-2</v>
      </c>
      <c r="D3852" s="1">
        <v>146543.4872620675</v>
      </c>
      <c r="E3852" s="1">
        <v>5380916</v>
      </c>
      <c r="F3852" s="1">
        <v>20022161</v>
      </c>
      <c r="G3852" s="16">
        <v>17068.164198511779</v>
      </c>
      <c r="H3852">
        <v>123.74</v>
      </c>
      <c r="I3852" s="1">
        <v>404.46999999999997</v>
      </c>
      <c r="J3852" s="16">
        <v>163611.65146057928</v>
      </c>
      <c r="K3852" s="5">
        <v>7.3812256832726908E-2</v>
      </c>
      <c r="L3852" s="10">
        <v>246808.40729999999</v>
      </c>
    </row>
    <row r="3853" spans="1:12" x14ac:dyDescent="0.25">
      <c r="A3853">
        <v>3852</v>
      </c>
      <c r="B3853" s="3">
        <v>0.20893318269295147</v>
      </c>
      <c r="C3853" s="3">
        <v>5.8373538516841447E-2</v>
      </c>
      <c r="D3853" s="1">
        <v>97155.511277235521</v>
      </c>
      <c r="E3853" s="1">
        <v>3673080</v>
      </c>
      <c r="F3853" s="1">
        <v>16477561</v>
      </c>
      <c r="G3853" s="16">
        <v>57807.89326636168</v>
      </c>
      <c r="H3853">
        <v>567.39</v>
      </c>
      <c r="I3853" s="1">
        <v>1254.95</v>
      </c>
      <c r="J3853" s="16">
        <v>154963.40454359719</v>
      </c>
      <c r="K3853" s="5">
        <v>7.8631103485228143E-2</v>
      </c>
      <c r="L3853" s="10">
        <v>150602.24239999999</v>
      </c>
    </row>
    <row r="3854" spans="1:12" x14ac:dyDescent="0.25">
      <c r="A3854">
        <v>3853</v>
      </c>
      <c r="B3854" s="3">
        <v>0.22905242144846585</v>
      </c>
      <c r="C3854" s="3">
        <v>7.2671272443123963E-2</v>
      </c>
      <c r="D3854" s="1">
        <v>85062.519681094622</v>
      </c>
      <c r="E3854" s="1">
        <v>3474300</v>
      </c>
      <c r="F3854" s="1">
        <v>17484968</v>
      </c>
      <c r="G3854" s="16">
        <v>26374.42911744252</v>
      </c>
      <c r="H3854">
        <v>245.02</v>
      </c>
      <c r="I3854" s="1">
        <v>620.16999999999996</v>
      </c>
      <c r="J3854" s="16">
        <v>111436.94879853714</v>
      </c>
      <c r="K3854" s="5">
        <v>0.15113558364160426</v>
      </c>
      <c r="L3854" s="10">
        <v>164407.82579999999</v>
      </c>
    </row>
    <row r="3855" spans="1:12" x14ac:dyDescent="0.25">
      <c r="A3855">
        <v>3854</v>
      </c>
      <c r="B3855" s="3">
        <v>0.20233865267411089</v>
      </c>
      <c r="C3855" s="3">
        <v>4.7576105915723046E-2</v>
      </c>
      <c r="D3855" s="1">
        <v>88413.178715515634</v>
      </c>
      <c r="E3855" s="1">
        <v>4087384</v>
      </c>
      <c r="F3855" s="1">
        <v>27549819</v>
      </c>
      <c r="G3855" s="16">
        <v>58314.558480410356</v>
      </c>
      <c r="H3855">
        <v>535.16999999999996</v>
      </c>
      <c r="I3855" s="1">
        <v>1295.9099999999999</v>
      </c>
      <c r="J3855" s="16">
        <v>146727.73719592599</v>
      </c>
      <c r="K3855" s="5">
        <v>3.8086727883223669E-2</v>
      </c>
      <c r="L3855" s="10">
        <v>108393.9316</v>
      </c>
    </row>
    <row r="3856" spans="1:12" x14ac:dyDescent="0.25">
      <c r="A3856">
        <v>3855</v>
      </c>
      <c r="B3856" s="3">
        <v>0.24861684937336581</v>
      </c>
      <c r="C3856" s="3">
        <v>5.7074346005263343E-2</v>
      </c>
      <c r="D3856" s="1">
        <v>69314.884498806277</v>
      </c>
      <c r="E3856" s="1">
        <v>4069897</v>
      </c>
      <c r="F3856" s="1">
        <v>21507172</v>
      </c>
      <c r="G3856" s="16">
        <v>8396.8174078498796</v>
      </c>
      <c r="H3856">
        <v>70.3</v>
      </c>
      <c r="I3856" s="1">
        <v>256.17999999999995</v>
      </c>
      <c r="J3856" s="16">
        <v>77711.701906656162</v>
      </c>
      <c r="K3856" s="5">
        <v>-1.1227393240006045E-2</v>
      </c>
      <c r="L3856" s="10">
        <v>13949.035</v>
      </c>
    </row>
    <row r="3857" spans="1:12" x14ac:dyDescent="0.25">
      <c r="A3857">
        <v>3856</v>
      </c>
      <c r="B3857" s="3">
        <v>0.11919839024673295</v>
      </c>
      <c r="C3857" s="3">
        <v>5.5420160721116662E-2</v>
      </c>
      <c r="D3857" s="1">
        <v>195841.7257222452</v>
      </c>
      <c r="E3857" s="1">
        <v>6089700</v>
      </c>
      <c r="F3857" s="1">
        <v>22328289</v>
      </c>
      <c r="G3857" s="16">
        <v>41621.359487298359</v>
      </c>
      <c r="H3857">
        <v>133.97</v>
      </c>
      <c r="I3857" s="1">
        <v>380.03999999999996</v>
      </c>
      <c r="J3857" s="16">
        <v>237463.08520954355</v>
      </c>
      <c r="K3857" s="5">
        <v>-2.944095540446141E-2</v>
      </c>
      <c r="L3857" s="10">
        <v>-60393.716999999997</v>
      </c>
    </row>
    <row r="3858" spans="1:12" x14ac:dyDescent="0.25">
      <c r="A3858">
        <v>3857</v>
      </c>
      <c r="B3858" s="3">
        <v>0.15884788383800891</v>
      </c>
      <c r="C3858" s="3">
        <v>3.0693602573775604E-2</v>
      </c>
      <c r="D3858" s="1">
        <v>50173.26778865845</v>
      </c>
      <c r="E3858" s="1">
        <v>1327165</v>
      </c>
      <c r="F3858" s="1">
        <v>10015117</v>
      </c>
      <c r="G3858" s="16">
        <v>39986.311185851337</v>
      </c>
      <c r="H3858">
        <v>201.81</v>
      </c>
      <c r="I3858" s="1">
        <v>482.43</v>
      </c>
      <c r="J3858" s="16">
        <v>90159.578974509786</v>
      </c>
      <c r="K3858" s="5">
        <v>-2.304763426227871E-2</v>
      </c>
      <c r="L3858" s="10">
        <v>-49320.982600000003</v>
      </c>
    </row>
    <row r="3859" spans="1:12" x14ac:dyDescent="0.25">
      <c r="A3859">
        <v>3858</v>
      </c>
      <c r="B3859" s="3">
        <v>0.22107791255866585</v>
      </c>
      <c r="C3859" s="3">
        <v>4.9000037299621456E-2</v>
      </c>
      <c r="D3859" s="1">
        <v>106618.19666115398</v>
      </c>
      <c r="E3859" s="1">
        <v>6959275</v>
      </c>
      <c r="F3859" s="1">
        <v>45297722</v>
      </c>
      <c r="G3859" s="16">
        <v>6359.8011999458377</v>
      </c>
      <c r="H3859">
        <v>42.76</v>
      </c>
      <c r="I3859" s="1">
        <v>207.32999999999998</v>
      </c>
      <c r="J3859" s="16">
        <v>112977.99786109982</v>
      </c>
      <c r="K3859" s="5">
        <v>0.15511945768798938</v>
      </c>
      <c r="L3859" s="10">
        <v>328617.5428</v>
      </c>
    </row>
    <row r="3860" spans="1:12" x14ac:dyDescent="0.25">
      <c r="A3860">
        <v>3859</v>
      </c>
      <c r="B3860" s="3">
        <v>0.24232716653769015</v>
      </c>
      <c r="C3860" s="3">
        <v>6.0286152437822885E-2</v>
      </c>
      <c r="D3860" s="1">
        <v>188425.37323988177</v>
      </c>
      <c r="E3860" s="1">
        <v>10700778</v>
      </c>
      <c r="F3860" s="1">
        <v>38361792</v>
      </c>
      <c r="G3860" s="16">
        <v>26209.471006946744</v>
      </c>
      <c r="H3860">
        <v>275.25</v>
      </c>
      <c r="I3860" s="1">
        <v>683.48</v>
      </c>
      <c r="J3860" s="16">
        <v>214634.84424682852</v>
      </c>
      <c r="K3860" s="5">
        <v>0.13483650920633072</v>
      </c>
      <c r="L3860" s="10">
        <v>338203.55089999997</v>
      </c>
    </row>
    <row r="3861" spans="1:12" x14ac:dyDescent="0.25">
      <c r="A3861">
        <v>3860</v>
      </c>
      <c r="B3861" s="3">
        <v>0.1697746813506496</v>
      </c>
      <c r="C3861" s="3">
        <v>6.4850456125600739E-2</v>
      </c>
      <c r="D3861" s="1">
        <v>28720.503061385698</v>
      </c>
      <c r="E3861" s="1">
        <v>779836</v>
      </c>
      <c r="F3861" s="1">
        <v>8863631</v>
      </c>
      <c r="G3861" s="16">
        <v>10452.406603684982</v>
      </c>
      <c r="H3861">
        <v>47.9</v>
      </c>
      <c r="I3861" s="1">
        <v>200.23000000000002</v>
      </c>
      <c r="J3861" s="16">
        <v>39172.909665070678</v>
      </c>
      <c r="K3861" s="5">
        <v>0.14259850182987319</v>
      </c>
      <c r="L3861" s="10">
        <v>81178.211200000005</v>
      </c>
    </row>
    <row r="3862" spans="1:12" x14ac:dyDescent="0.25">
      <c r="A3862">
        <v>3861</v>
      </c>
      <c r="B3862" s="3">
        <v>0.19589379460332304</v>
      </c>
      <c r="C3862" s="3">
        <v>3.4478127694064067E-2</v>
      </c>
      <c r="D3862" s="1">
        <v>234238.20854462721</v>
      </c>
      <c r="E3862" s="1">
        <v>10485935</v>
      </c>
      <c r="F3862" s="1">
        <v>40615067</v>
      </c>
      <c r="G3862" s="16">
        <v>11513.093932195286</v>
      </c>
      <c r="H3862">
        <v>63.95</v>
      </c>
      <c r="I3862" s="1">
        <v>247.72000000000003</v>
      </c>
      <c r="J3862" s="16">
        <v>245751.30247682249</v>
      </c>
      <c r="K3862" s="5">
        <v>7.6133901687130662E-2</v>
      </c>
      <c r="L3862" s="10">
        <v>488936.99339999998</v>
      </c>
    </row>
    <row r="3863" spans="1:12" x14ac:dyDescent="0.25">
      <c r="A3863">
        <v>3862</v>
      </c>
      <c r="B3863" s="3">
        <v>0.17650432209172412</v>
      </c>
      <c r="C3863" s="3">
        <v>4.1362767958445873E-2</v>
      </c>
      <c r="D3863" s="1">
        <v>220154.18964644859</v>
      </c>
      <c r="E3863" s="1">
        <v>8959523</v>
      </c>
      <c r="F3863" s="1">
        <v>36348616</v>
      </c>
      <c r="G3863" s="16">
        <v>32723.361912542317</v>
      </c>
      <c r="H3863">
        <v>191.8</v>
      </c>
      <c r="I3863" s="1">
        <v>488.91</v>
      </c>
      <c r="J3863" s="16">
        <v>252877.5515589909</v>
      </c>
      <c r="K3863" s="5">
        <v>-6.1872326599070493E-2</v>
      </c>
      <c r="L3863" s="10">
        <v>-254766.79319999999</v>
      </c>
    </row>
    <row r="3864" spans="1:12" x14ac:dyDescent="0.25">
      <c r="A3864">
        <v>3863</v>
      </c>
      <c r="B3864" s="3">
        <v>0.20664389048968146</v>
      </c>
      <c r="C3864" s="3">
        <v>2.9720446622226122E-2</v>
      </c>
      <c r="D3864" s="1">
        <v>63878.521373644791</v>
      </c>
      <c r="E3864" s="1">
        <v>2394158</v>
      </c>
      <c r="F3864" s="1">
        <v>15456061</v>
      </c>
      <c r="G3864" s="16">
        <v>33862.705960468804</v>
      </c>
      <c r="H3864">
        <v>258.07</v>
      </c>
      <c r="I3864" s="1">
        <v>634.75</v>
      </c>
      <c r="J3864" s="16">
        <v>97741.227334113588</v>
      </c>
      <c r="K3864" s="5">
        <v>0.1138676687897907</v>
      </c>
      <c r="L3864" s="10">
        <v>300552.3847</v>
      </c>
    </row>
    <row r="3865" spans="1:12" x14ac:dyDescent="0.25">
      <c r="A3865">
        <v>3864</v>
      </c>
      <c r="B3865" s="3">
        <v>0.2321867041942865</v>
      </c>
      <c r="C3865" s="3">
        <v>5.7004374197790711E-2</v>
      </c>
      <c r="D3865" s="1">
        <v>141066.26980155296</v>
      </c>
      <c r="E3865" s="1">
        <v>7596328</v>
      </c>
      <c r="F3865" s="1">
        <v>28672085</v>
      </c>
      <c r="G3865" s="16">
        <v>22738.147073560431</v>
      </c>
      <c r="H3865">
        <v>217.6</v>
      </c>
      <c r="I3865" s="1">
        <v>613.61</v>
      </c>
      <c r="J3865" s="16">
        <v>163804.41687511338</v>
      </c>
      <c r="K3865" s="5">
        <v>0.12987285369787016</v>
      </c>
      <c r="L3865" s="10">
        <v>273814.39649999997</v>
      </c>
    </row>
    <row r="3866" spans="1:12" x14ac:dyDescent="0.25">
      <c r="A3866">
        <v>3865</v>
      </c>
      <c r="B3866" s="3">
        <v>0.23875414793233837</v>
      </c>
      <c r="C3866" s="3">
        <v>4.3674034899773347E-2</v>
      </c>
      <c r="D3866" s="1">
        <v>117927.13127572437</v>
      </c>
      <c r="E3866" s="1">
        <v>8633599</v>
      </c>
      <c r="F3866" s="1">
        <v>43512471</v>
      </c>
      <c r="G3866" s="16">
        <v>10702.363245957384</v>
      </c>
      <c r="H3866">
        <v>108.69</v>
      </c>
      <c r="I3866" s="1">
        <v>400.94</v>
      </c>
      <c r="J3866" s="16">
        <v>128629.49452168176</v>
      </c>
      <c r="K3866" s="5">
        <v>0.12199133315177173</v>
      </c>
      <c r="L3866" s="10">
        <v>303211.7634</v>
      </c>
    </row>
    <row r="3867" spans="1:12" x14ac:dyDescent="0.25">
      <c r="A3867">
        <v>3866</v>
      </c>
      <c r="B3867" s="3">
        <v>0.14668989693701984</v>
      </c>
      <c r="C3867" s="3">
        <v>5.2429875444090668E-2</v>
      </c>
      <c r="D3867" s="1">
        <v>214950.02161829307</v>
      </c>
      <c r="E3867" s="1">
        <v>7587747</v>
      </c>
      <c r="F3867" s="1">
        <v>28495910</v>
      </c>
      <c r="G3867" s="16">
        <v>24561.95347559141</v>
      </c>
      <c r="H3867">
        <v>95.69</v>
      </c>
      <c r="I3867" s="1">
        <v>300.62</v>
      </c>
      <c r="J3867" s="16">
        <v>239511.97509388448</v>
      </c>
      <c r="K3867" s="5">
        <v>0.24110168852346828</v>
      </c>
      <c r="L3867" s="10">
        <v>798350.25780000002</v>
      </c>
    </row>
    <row r="3868" spans="1:12" x14ac:dyDescent="0.25">
      <c r="A3868">
        <v>3867</v>
      </c>
      <c r="B3868" s="3">
        <v>0.17856277160801237</v>
      </c>
      <c r="C3868" s="3">
        <v>5.1780707124514172E-2</v>
      </c>
      <c r="D3868" s="1">
        <v>220202.74033152335</v>
      </c>
      <c r="E3868" s="1">
        <v>9051656</v>
      </c>
      <c r="F3868" s="1">
        <v>33422582</v>
      </c>
      <c r="G3868" s="16">
        <v>41943.972838654976</v>
      </c>
      <c r="H3868">
        <v>304.83999999999997</v>
      </c>
      <c r="I3868" s="1">
        <v>898.22</v>
      </c>
      <c r="J3868" s="16">
        <v>262146.71317017835</v>
      </c>
      <c r="K3868" s="5">
        <v>2.9127104286885384E-2</v>
      </c>
      <c r="L3868" s="10">
        <v>132849.8279</v>
      </c>
    </row>
    <row r="3869" spans="1:12" x14ac:dyDescent="0.25">
      <c r="A3869">
        <v>3868</v>
      </c>
      <c r="B3869" s="3">
        <v>0.22866600957365105</v>
      </c>
      <c r="C3869" s="3">
        <v>6.482709847015565E-2</v>
      </c>
      <c r="D3869" s="1">
        <v>88287.270083752155</v>
      </c>
      <c r="E3869" s="1">
        <v>4668004</v>
      </c>
      <c r="F3869" s="1">
        <v>23750853</v>
      </c>
      <c r="G3869" s="16">
        <v>14662.632574961612</v>
      </c>
      <c r="H3869">
        <v>135.77000000000001</v>
      </c>
      <c r="I3869" s="1">
        <v>476.49</v>
      </c>
      <c r="J3869" s="16">
        <v>102949.90265871376</v>
      </c>
      <c r="K3869" s="5">
        <v>-1.8664987281728704E-3</v>
      </c>
      <c r="L3869" s="10">
        <v>26053.281299999999</v>
      </c>
    </row>
    <row r="3870" spans="1:12" x14ac:dyDescent="0.25">
      <c r="A3870">
        <v>3869</v>
      </c>
      <c r="B3870" s="3">
        <v>0.18330655608909743</v>
      </c>
      <c r="C3870" s="3">
        <v>3.3029015645511722E-2</v>
      </c>
      <c r="D3870" s="1">
        <v>72721.019835218947</v>
      </c>
      <c r="E3870" s="1">
        <v>2498539</v>
      </c>
      <c r="F3870" s="1">
        <v>13739260</v>
      </c>
      <c r="G3870" s="16">
        <v>40770.122385825802</v>
      </c>
      <c r="H3870">
        <v>309.94</v>
      </c>
      <c r="I3870" s="1">
        <v>799.36</v>
      </c>
      <c r="J3870" s="16">
        <v>113491.14222104475</v>
      </c>
      <c r="K3870" s="5">
        <v>0.11302683883705121</v>
      </c>
      <c r="L3870" s="10">
        <v>329486.54060000001</v>
      </c>
    </row>
    <row r="3871" spans="1:12" x14ac:dyDescent="0.25">
      <c r="A3871">
        <v>3870</v>
      </c>
      <c r="B3871" s="3">
        <v>0.11200631085995313</v>
      </c>
      <c r="C3871" s="3">
        <v>2.8044459989977129E-2</v>
      </c>
      <c r="D3871" s="1">
        <v>32186.542858463839</v>
      </c>
      <c r="E3871" s="1">
        <v>763939</v>
      </c>
      <c r="F3871" s="1">
        <v>5749634</v>
      </c>
      <c r="G3871" s="16">
        <v>64463.901378354785</v>
      </c>
      <c r="H3871">
        <v>222.52</v>
      </c>
      <c r="I3871" s="1">
        <v>571.22</v>
      </c>
      <c r="J3871" s="16">
        <v>96650.444236818628</v>
      </c>
      <c r="K3871" s="5">
        <v>-1.6307401704945303E-3</v>
      </c>
      <c r="L3871" s="10">
        <v>4520.2757000000001</v>
      </c>
    </row>
    <row r="3872" spans="1:12" x14ac:dyDescent="0.25">
      <c r="A3872">
        <v>3871</v>
      </c>
      <c r="B3872" s="3">
        <v>0.1680968637320161</v>
      </c>
      <c r="C3872" s="3">
        <v>5.81255190348927E-2</v>
      </c>
      <c r="D3872" s="1">
        <v>57550.098421846043</v>
      </c>
      <c r="E3872" s="1">
        <v>1870813</v>
      </c>
      <c r="F3872" s="1">
        <v>12306806</v>
      </c>
      <c r="G3872" s="16">
        <v>54336.224443077474</v>
      </c>
      <c r="H3872">
        <v>356.48</v>
      </c>
      <c r="I3872" s="1">
        <v>858.81000000000006</v>
      </c>
      <c r="J3872" s="16">
        <v>111886.32286492351</v>
      </c>
      <c r="K3872" s="5">
        <v>8.7288777962049938E-2</v>
      </c>
      <c r="L3872" s="10">
        <v>126212.6303</v>
      </c>
    </row>
    <row r="3873" spans="1:12" x14ac:dyDescent="0.25">
      <c r="A3873">
        <v>3872</v>
      </c>
      <c r="B3873" s="3">
        <v>0.10444857020334383</v>
      </c>
      <c r="C3873" s="3">
        <v>2.000820779568916E-2</v>
      </c>
      <c r="D3873" s="1">
        <v>141197.60270058605</v>
      </c>
      <c r="E3873" s="1">
        <v>3679240</v>
      </c>
      <c r="F3873" s="1">
        <v>19321095</v>
      </c>
      <c r="G3873" s="16">
        <v>42001.49101472037</v>
      </c>
      <c r="H3873">
        <v>122.66</v>
      </c>
      <c r="I3873" s="1">
        <v>317.39</v>
      </c>
      <c r="J3873" s="16">
        <v>183199.09371530643</v>
      </c>
      <c r="K3873" s="5">
        <v>-2.7261107685365507E-2</v>
      </c>
      <c r="L3873" s="10">
        <v>-173777.8394</v>
      </c>
    </row>
    <row r="3874" spans="1:12" x14ac:dyDescent="0.25">
      <c r="A3874">
        <v>3873</v>
      </c>
      <c r="B3874" s="3">
        <v>0.10626166665688561</v>
      </c>
      <c r="C3874" s="3">
        <v>5.7785836143408043E-2</v>
      </c>
      <c r="D3874" s="1">
        <v>413340.48126019101</v>
      </c>
      <c r="E3874" s="1">
        <v>12124660</v>
      </c>
      <c r="F3874" s="1">
        <v>34076614</v>
      </c>
      <c r="G3874" s="16">
        <v>42081.814966427031</v>
      </c>
      <c r="H3874">
        <v>139.1</v>
      </c>
      <c r="I3874" s="1">
        <v>493.76</v>
      </c>
      <c r="J3874" s="16">
        <v>455422.29622661805</v>
      </c>
      <c r="K3874" s="5">
        <v>7.6099022013947637E-2</v>
      </c>
      <c r="L3874" s="10">
        <v>423911.78700000001</v>
      </c>
    </row>
    <row r="3875" spans="1:12" x14ac:dyDescent="0.25">
      <c r="A3875">
        <v>3874</v>
      </c>
      <c r="B3875" s="3">
        <v>0.16497805810820104</v>
      </c>
      <c r="C3875" s="3">
        <v>3.2856587572749146E-2</v>
      </c>
      <c r="D3875" s="1">
        <v>174256.28216373644</v>
      </c>
      <c r="E3875" s="1">
        <v>6708106</v>
      </c>
      <c r="F3875" s="1">
        <v>32882265</v>
      </c>
      <c r="G3875" s="16">
        <v>6590.2896936108173</v>
      </c>
      <c r="H3875">
        <v>24.42</v>
      </c>
      <c r="I3875" s="1">
        <v>102.49000000000001</v>
      </c>
      <c r="J3875" s="16">
        <v>180846.57185734727</v>
      </c>
      <c r="K3875" s="5">
        <v>7.8844557628374778E-2</v>
      </c>
      <c r="L3875" s="10">
        <v>396550.89740000002</v>
      </c>
    </row>
    <row r="3876" spans="1:12" x14ac:dyDescent="0.25">
      <c r="A3876">
        <v>3875</v>
      </c>
      <c r="B3876" s="3">
        <v>0.19836120761518028</v>
      </c>
      <c r="C3876" s="3">
        <v>3.056684413286407E-2</v>
      </c>
      <c r="D3876" s="1">
        <v>66104.187321349702</v>
      </c>
      <c r="E3876" s="1">
        <v>2401573</v>
      </c>
      <c r="F3876" s="1">
        <v>12188549</v>
      </c>
      <c r="G3876" s="16">
        <v>10412.121591547173</v>
      </c>
      <c r="H3876">
        <v>58.98</v>
      </c>
      <c r="I3876" s="1">
        <v>265.39</v>
      </c>
      <c r="J3876" s="16">
        <v>76516.308912896871</v>
      </c>
      <c r="K3876" s="5">
        <v>0.12517936055878007</v>
      </c>
      <c r="L3876" s="10">
        <v>271911.21960000001</v>
      </c>
    </row>
    <row r="3877" spans="1:12" x14ac:dyDescent="0.25">
      <c r="A3877">
        <v>3876</v>
      </c>
      <c r="B3877" s="3">
        <v>0.20053222912681462</v>
      </c>
      <c r="C3877" s="3">
        <v>3.3028023277735741E-2</v>
      </c>
      <c r="D3877" s="1">
        <v>120332.49241194656</v>
      </c>
      <c r="E3877" s="1">
        <v>5512926</v>
      </c>
      <c r="F3877" s="1">
        <v>28228586</v>
      </c>
      <c r="G3877" s="16">
        <v>21446.233585627499</v>
      </c>
      <c r="H3877">
        <v>154.53</v>
      </c>
      <c r="I3877" s="1">
        <v>546.4</v>
      </c>
      <c r="J3877" s="16">
        <v>141778.72599757405</v>
      </c>
      <c r="K3877" s="5">
        <v>-0.11351405658252328</v>
      </c>
      <c r="L3877" s="10">
        <v>-393278.05410000001</v>
      </c>
    </row>
    <row r="3878" spans="1:12" x14ac:dyDescent="0.25">
      <c r="A3878">
        <v>3877</v>
      </c>
      <c r="B3878" s="3">
        <v>0.23533095448932689</v>
      </c>
      <c r="C3878" s="3">
        <v>2.2420382696980851E-2</v>
      </c>
      <c r="D3878" s="1">
        <v>50886.280482001697</v>
      </c>
      <c r="E3878" s="1">
        <v>2130015</v>
      </c>
      <c r="F3878" s="1">
        <v>18938632</v>
      </c>
      <c r="G3878" s="16">
        <v>29013.66159608521</v>
      </c>
      <c r="H3878">
        <v>285.39</v>
      </c>
      <c r="I3878" s="1">
        <v>651.16</v>
      </c>
      <c r="J3878" s="16">
        <v>79899.942078086911</v>
      </c>
      <c r="K3878" s="5">
        <v>9.5472549916424662E-2</v>
      </c>
      <c r="L3878" s="10">
        <v>337212.10340000002</v>
      </c>
    </row>
    <row r="3879" spans="1:12" x14ac:dyDescent="0.25">
      <c r="A3879">
        <v>3878</v>
      </c>
      <c r="B3879" s="3">
        <v>0.23603877412439142</v>
      </c>
      <c r="C3879" s="3">
        <v>4.1752662503624548E-2</v>
      </c>
      <c r="D3879" s="1">
        <v>171132.43674678815</v>
      </c>
      <c r="E3879" s="1">
        <v>9402636</v>
      </c>
      <c r="F3879" s="1">
        <v>37212323</v>
      </c>
      <c r="G3879" s="16">
        <v>8014.6082407344275</v>
      </c>
      <c r="H3879">
        <v>60.63</v>
      </c>
      <c r="I3879" s="1">
        <v>291.28999999999996</v>
      </c>
      <c r="J3879" s="16">
        <v>179147.04498752259</v>
      </c>
      <c r="K3879" s="5">
        <v>0.11729911426870999</v>
      </c>
      <c r="L3879" s="10">
        <v>394723.7501</v>
      </c>
    </row>
    <row r="3880" spans="1:12" x14ac:dyDescent="0.25">
      <c r="A3880">
        <v>3879</v>
      </c>
      <c r="B3880" s="3">
        <v>0.120693261196056</v>
      </c>
      <c r="C3880" s="3">
        <v>5.1361546528600144E-2</v>
      </c>
      <c r="D3880" s="1">
        <v>336996.11713850737</v>
      </c>
      <c r="E3880" s="1">
        <v>10550337</v>
      </c>
      <c r="F3880" s="1">
        <v>33365368</v>
      </c>
      <c r="G3880" s="16">
        <v>55061.078384244218</v>
      </c>
      <c r="H3880">
        <v>203.76</v>
      </c>
      <c r="I3880" s="1">
        <v>600.56999999999994</v>
      </c>
      <c r="J3880" s="16">
        <v>392057.1955227516</v>
      </c>
      <c r="K3880" s="5">
        <v>0.20168560964036003</v>
      </c>
      <c r="L3880" s="10">
        <v>1088511.0919999999</v>
      </c>
    </row>
    <row r="3881" spans="1:12" x14ac:dyDescent="0.25">
      <c r="A3881">
        <v>3880</v>
      </c>
      <c r="B3881" s="3">
        <v>0.11161427793374819</v>
      </c>
      <c r="C3881" s="3">
        <v>2.6667701347034056E-2</v>
      </c>
      <c r="D3881" s="1">
        <v>437395.72923372488</v>
      </c>
      <c r="E3881" s="1">
        <v>14793452</v>
      </c>
      <c r="F3881" s="1">
        <v>45541182</v>
      </c>
      <c r="G3881" s="16">
        <v>19294.59822641889</v>
      </c>
      <c r="H3881">
        <v>52.48</v>
      </c>
      <c r="I3881" s="1">
        <v>187.41</v>
      </c>
      <c r="J3881" s="16">
        <v>456690.32746014377</v>
      </c>
      <c r="K3881" s="5">
        <v>5.9341671669567123E-2</v>
      </c>
      <c r="L3881" s="10">
        <v>861108.08259999997</v>
      </c>
    </row>
    <row r="3882" spans="1:12" x14ac:dyDescent="0.25">
      <c r="A3882">
        <v>3881</v>
      </c>
      <c r="B3882" s="3">
        <v>0.24757098673000349</v>
      </c>
      <c r="C3882" s="3">
        <v>3.6993783343508932E-2</v>
      </c>
      <c r="D3882" s="1">
        <v>182213.87811990469</v>
      </c>
      <c r="E3882" s="1">
        <v>14140230</v>
      </c>
      <c r="F3882" s="1">
        <v>44972515</v>
      </c>
      <c r="G3882" s="16">
        <v>11384.776774662538</v>
      </c>
      <c r="H3882">
        <v>125.47</v>
      </c>
      <c r="I3882" s="1">
        <v>485.15</v>
      </c>
      <c r="J3882" s="16">
        <v>193598.65489456724</v>
      </c>
      <c r="K3882" s="5">
        <v>0.17548261133261367</v>
      </c>
      <c r="L3882" s="10">
        <v>748585.06359999999</v>
      </c>
    </row>
    <row r="3883" spans="1:12" x14ac:dyDescent="0.25">
      <c r="A3883">
        <v>3882</v>
      </c>
      <c r="B3883" s="3">
        <v>0.11584859074358145</v>
      </c>
      <c r="C3883" s="3">
        <v>4.0779922416270792E-2</v>
      </c>
      <c r="D3883" s="1">
        <v>164483.49923187442</v>
      </c>
      <c r="E3883" s="1">
        <v>5037544</v>
      </c>
      <c r="F3883" s="1">
        <v>26510712</v>
      </c>
      <c r="G3883" s="16">
        <v>32552.562471827168</v>
      </c>
      <c r="H3883">
        <v>102.39</v>
      </c>
      <c r="I3883" s="1">
        <v>335.78</v>
      </c>
      <c r="J3883" s="16">
        <v>197036.06170370159</v>
      </c>
      <c r="K3883" s="5">
        <v>0.11324608278942644</v>
      </c>
      <c r="L3883" s="10">
        <v>435157.11119999998</v>
      </c>
    </row>
    <row r="3884" spans="1:12" x14ac:dyDescent="0.25">
      <c r="A3884">
        <v>3883</v>
      </c>
      <c r="B3884" s="3">
        <v>0.19280556212284744</v>
      </c>
      <c r="C3884" s="3">
        <v>3.2720110568457514E-2</v>
      </c>
      <c r="D3884" s="1">
        <v>123906.54624604629</v>
      </c>
      <c r="E3884" s="1">
        <v>5462412</v>
      </c>
      <c r="F3884" s="1">
        <v>27426926</v>
      </c>
      <c r="G3884" s="16">
        <v>17562.785927997724</v>
      </c>
      <c r="H3884">
        <v>95.47</v>
      </c>
      <c r="I3884" s="1">
        <v>350.91999999999996</v>
      </c>
      <c r="J3884" s="16">
        <v>141469.33217404402</v>
      </c>
      <c r="K3884" s="5">
        <v>-0.16251802233159626</v>
      </c>
      <c r="L3884" s="10">
        <v>-552088.2757</v>
      </c>
    </row>
    <row r="3885" spans="1:12" x14ac:dyDescent="0.25">
      <c r="A3885">
        <v>3884</v>
      </c>
      <c r="B3885" s="3">
        <v>0.20899839432848138</v>
      </c>
      <c r="C3885" s="3">
        <v>7.6104129652830713E-2</v>
      </c>
      <c r="D3885" s="1">
        <v>195534.6667927723</v>
      </c>
      <c r="E3885" s="1">
        <v>9347948</v>
      </c>
      <c r="F3885" s="1">
        <v>30639172</v>
      </c>
      <c r="G3885" s="16">
        <v>23949.109545504904</v>
      </c>
      <c r="H3885">
        <v>186.09</v>
      </c>
      <c r="I3885" s="1">
        <v>562.12</v>
      </c>
      <c r="J3885" s="16">
        <v>219483.77633827721</v>
      </c>
      <c r="K3885" s="5">
        <v>3.0826890380582811E-2</v>
      </c>
      <c r="L3885" s="10">
        <v>82980.795599999998</v>
      </c>
    </row>
    <row r="3886" spans="1:12" x14ac:dyDescent="0.25">
      <c r="A3886">
        <v>3885</v>
      </c>
      <c r="B3886" s="3">
        <v>0.10731949311448391</v>
      </c>
      <c r="C3886" s="3">
        <v>7.8801368779917405E-2</v>
      </c>
      <c r="D3886" s="1">
        <v>312976.71316281043</v>
      </c>
      <c r="E3886" s="1">
        <v>10333196</v>
      </c>
      <c r="F3886" s="1">
        <v>48741687</v>
      </c>
      <c r="G3886" s="16">
        <v>70542.249769239657</v>
      </c>
      <c r="H3886">
        <v>235.14</v>
      </c>
      <c r="I3886" s="1">
        <v>522.28</v>
      </c>
      <c r="J3886" s="16">
        <v>383518.96293205011</v>
      </c>
      <c r="K3886" s="5">
        <v>-3.1465696342970334E-3</v>
      </c>
      <c r="L3886" s="10">
        <v>-11615.027700000001</v>
      </c>
    </row>
    <row r="3887" spans="1:12" x14ac:dyDescent="0.25">
      <c r="A3887">
        <v>3886</v>
      </c>
      <c r="B3887" s="3">
        <v>0.1393741925114782</v>
      </c>
      <c r="C3887" s="3">
        <v>4.5722293794278557E-2</v>
      </c>
      <c r="D3887" s="1">
        <v>132365.40842149651</v>
      </c>
      <c r="E3887" s="1">
        <v>3886282</v>
      </c>
      <c r="F3887" s="1">
        <v>15018977</v>
      </c>
      <c r="G3887" s="16">
        <v>57076.83878898048</v>
      </c>
      <c r="H3887">
        <v>245.53</v>
      </c>
      <c r="I3887" s="1">
        <v>660.96</v>
      </c>
      <c r="J3887" s="16">
        <v>189442.24721047698</v>
      </c>
      <c r="K3887" s="5">
        <v>0.20093244642018324</v>
      </c>
      <c r="L3887" s="10">
        <v>622252.27190000005</v>
      </c>
    </row>
    <row r="3888" spans="1:12" x14ac:dyDescent="0.25">
      <c r="A3888">
        <v>3887</v>
      </c>
      <c r="B3888" s="3">
        <v>0.18368403801661437</v>
      </c>
      <c r="C3888" s="3">
        <v>6.7723936375271479E-2</v>
      </c>
      <c r="D3888" s="1">
        <v>135900.50286830936</v>
      </c>
      <c r="E3888" s="1">
        <v>4675722</v>
      </c>
      <c r="F3888" s="1">
        <v>17591999</v>
      </c>
      <c r="G3888" s="16">
        <v>32472.784859418061</v>
      </c>
      <c r="H3888">
        <v>202.55</v>
      </c>
      <c r="I3888" s="1">
        <v>564.83999999999992</v>
      </c>
      <c r="J3888" s="16">
        <v>168373.28772772741</v>
      </c>
      <c r="K3888" s="5">
        <v>0.15497535283797087</v>
      </c>
      <c r="L3888" s="10">
        <v>274400.3296</v>
      </c>
    </row>
    <row r="3889" spans="1:12" x14ac:dyDescent="0.25">
      <c r="A3889">
        <v>3888</v>
      </c>
      <c r="B3889" s="3">
        <v>0.23861500615929773</v>
      </c>
      <c r="C3889" s="3">
        <v>6.3397193571723284E-2</v>
      </c>
      <c r="D3889" s="1">
        <v>91350.909092931121</v>
      </c>
      <c r="E3889" s="1">
        <v>5087437</v>
      </c>
      <c r="F3889" s="1">
        <v>26681936</v>
      </c>
      <c r="G3889" s="16">
        <v>9019.8232649772071</v>
      </c>
      <c r="H3889">
        <v>69.61</v>
      </c>
      <c r="I3889" s="1">
        <v>320.89999999999998</v>
      </c>
      <c r="J3889" s="16">
        <v>100370.73235790833</v>
      </c>
      <c r="K3889" s="5">
        <v>0.32345680016216916</v>
      </c>
      <c r="L3889" s="10">
        <v>387915.84610000002</v>
      </c>
    </row>
    <row r="3890" spans="1:12" x14ac:dyDescent="0.25">
      <c r="A3890">
        <v>3889</v>
      </c>
      <c r="B3890" s="3">
        <v>0.19560738541684541</v>
      </c>
      <c r="C3890" s="3">
        <v>7.7323826494911485E-2</v>
      </c>
      <c r="D3890" s="1">
        <v>135062.78752755962</v>
      </c>
      <c r="E3890" s="1">
        <v>6037622</v>
      </c>
      <c r="F3890" s="1">
        <v>25022673</v>
      </c>
      <c r="G3890" s="16">
        <v>7995.6854828326195</v>
      </c>
      <c r="H3890">
        <v>35.68</v>
      </c>
      <c r="I3890" s="1">
        <v>184.14</v>
      </c>
      <c r="J3890" s="16">
        <v>143058.47301039225</v>
      </c>
      <c r="K3890" s="5">
        <v>-9.4023388843476691E-2</v>
      </c>
      <c r="L3890" s="10">
        <v>-87000.407800000001</v>
      </c>
    </row>
    <row r="3891" spans="1:12" x14ac:dyDescent="0.25">
      <c r="A3891">
        <v>3890</v>
      </c>
      <c r="B3891" s="3">
        <v>0.12138670857756403</v>
      </c>
      <c r="C3891" s="3">
        <v>7.3205703252322646E-2</v>
      </c>
      <c r="D3891" s="1">
        <v>323244.31061618525</v>
      </c>
      <c r="E3891" s="1">
        <v>11554332</v>
      </c>
      <c r="F3891" s="1">
        <v>45598916</v>
      </c>
      <c r="G3891" s="16">
        <v>24546.641890663992</v>
      </c>
      <c r="H3891">
        <v>80.239999999999995</v>
      </c>
      <c r="I3891" s="1">
        <v>210.84999999999997</v>
      </c>
      <c r="J3891" s="16">
        <v>347790.95250684925</v>
      </c>
      <c r="K3891" s="5">
        <v>1.7310802053945119E-2</v>
      </c>
      <c r="L3891" s="10">
        <v>82127.073499999999</v>
      </c>
    </row>
    <row r="3892" spans="1:12" x14ac:dyDescent="0.25">
      <c r="A3892">
        <v>3891</v>
      </c>
      <c r="B3892" s="3">
        <v>0.11050238175554782</v>
      </c>
      <c r="C3892" s="3">
        <v>3.9065920336014102E-2</v>
      </c>
      <c r="D3892" s="1">
        <v>152126.53045047136</v>
      </c>
      <c r="E3892" s="1">
        <v>4045515</v>
      </c>
      <c r="F3892" s="1">
        <v>20651646</v>
      </c>
      <c r="G3892" s="16">
        <v>41061.334762433566</v>
      </c>
      <c r="H3892">
        <v>140.12</v>
      </c>
      <c r="I3892" s="1">
        <v>447.52</v>
      </c>
      <c r="J3892" s="16">
        <v>193187.86521290493</v>
      </c>
      <c r="K3892" s="5">
        <v>-0.1182698876928176</v>
      </c>
      <c r="L3892" s="10">
        <v>-423546.78200000001</v>
      </c>
    </row>
    <row r="3893" spans="1:12" x14ac:dyDescent="0.25">
      <c r="A3893">
        <v>3892</v>
      </c>
      <c r="B3893" s="3">
        <v>0.20944399410231829</v>
      </c>
      <c r="C3893" s="3">
        <v>4.4818483797876826E-2</v>
      </c>
      <c r="D3893" s="1">
        <v>172863.79043855605</v>
      </c>
      <c r="E3893" s="1">
        <v>8282789</v>
      </c>
      <c r="F3893" s="1">
        <v>30954386</v>
      </c>
      <c r="G3893" s="16">
        <v>32620.002979956673</v>
      </c>
      <c r="H3893">
        <v>254.51</v>
      </c>
      <c r="I3893" s="1">
        <v>701.22</v>
      </c>
      <c r="J3893" s="16">
        <v>205483.79341851274</v>
      </c>
      <c r="K3893" s="5">
        <v>0.11028407264185527</v>
      </c>
      <c r="L3893" s="10">
        <v>401976.27889999998</v>
      </c>
    </row>
    <row r="3894" spans="1:12" x14ac:dyDescent="0.25">
      <c r="A3894">
        <v>3893</v>
      </c>
      <c r="B3894" s="3">
        <v>0.23834561991117667</v>
      </c>
      <c r="C3894" s="3">
        <v>3.6143178253183111E-2</v>
      </c>
      <c r="D3894" s="1">
        <v>152045.01230586838</v>
      </c>
      <c r="E3894" s="1">
        <v>11101579</v>
      </c>
      <c r="F3894" s="1">
        <v>45240075</v>
      </c>
      <c r="G3894" s="16">
        <v>16022.915369343102</v>
      </c>
      <c r="H3894">
        <v>162.19999999999999</v>
      </c>
      <c r="I3894" s="1">
        <v>443.53</v>
      </c>
      <c r="J3894" s="16">
        <v>168067.92767521148</v>
      </c>
      <c r="K3894" s="5">
        <v>0.12905477643684807</v>
      </c>
      <c r="L3894" s="10">
        <v>470792.38959999999</v>
      </c>
    </row>
    <row r="3895" spans="1:12" x14ac:dyDescent="0.25">
      <c r="A3895">
        <v>3894</v>
      </c>
      <c r="B3895" s="3">
        <v>0.17004677728042261</v>
      </c>
      <c r="C3895" s="3">
        <v>2.2727665827766849E-2</v>
      </c>
      <c r="D3895" s="1">
        <v>165453.54375160389</v>
      </c>
      <c r="E3895" s="1">
        <v>6526267</v>
      </c>
      <c r="F3895" s="1">
        <v>24600378</v>
      </c>
      <c r="G3895" s="16">
        <v>18365.5757628516</v>
      </c>
      <c r="H3895">
        <v>101.81</v>
      </c>
      <c r="I3895" s="1">
        <v>392.99999999999994</v>
      </c>
      <c r="J3895" s="16">
        <v>183819.11951445549</v>
      </c>
      <c r="K3895" s="5">
        <v>0.28888817762460317</v>
      </c>
      <c r="L3895" s="10">
        <v>2016466.1455999999</v>
      </c>
    </row>
    <row r="3896" spans="1:12" x14ac:dyDescent="0.25">
      <c r="A3896">
        <v>3895</v>
      </c>
      <c r="B3896" s="3">
        <v>0.20294474696902715</v>
      </c>
      <c r="C3896" s="3">
        <v>7.1088821418319709E-2</v>
      </c>
      <c r="D3896" s="1">
        <v>223545.61916101474</v>
      </c>
      <c r="E3896" s="1">
        <v>13005488</v>
      </c>
      <c r="F3896" s="1">
        <v>69563705</v>
      </c>
      <c r="G3896" s="16">
        <v>36325.475834375946</v>
      </c>
      <c r="H3896">
        <v>335.52</v>
      </c>
      <c r="I3896" s="1">
        <v>1033</v>
      </c>
      <c r="J3896" s="16">
        <v>259871.09499539068</v>
      </c>
      <c r="K3896" s="5">
        <v>8.0558454801389442E-2</v>
      </c>
      <c r="L3896" s="10">
        <v>224563.927</v>
      </c>
    </row>
    <row r="3897" spans="1:12" x14ac:dyDescent="0.25">
      <c r="A3897">
        <v>3896</v>
      </c>
      <c r="B3897" s="3">
        <v>0.18657969236734273</v>
      </c>
      <c r="C3897" s="3">
        <v>7.5753149638123879E-2</v>
      </c>
      <c r="D3897" s="1">
        <v>209433.85912217991</v>
      </c>
      <c r="E3897" s="1">
        <v>8953432</v>
      </c>
      <c r="F3897" s="1">
        <v>41759128</v>
      </c>
      <c r="G3897" s="16">
        <v>16726.114005223793</v>
      </c>
      <c r="H3897">
        <v>86.8</v>
      </c>
      <c r="I3897" s="1">
        <v>240.76</v>
      </c>
      <c r="J3897" s="16">
        <v>226159.9731274037</v>
      </c>
      <c r="K3897" s="5">
        <v>0.11387144053039969</v>
      </c>
      <c r="L3897" s="10">
        <v>221929.4791</v>
      </c>
    </row>
    <row r="3898" spans="1:12" x14ac:dyDescent="0.25">
      <c r="A3898">
        <v>3897</v>
      </c>
      <c r="B3898" s="3">
        <v>0.17001316731658417</v>
      </c>
      <c r="C3898" s="3">
        <v>4.0357347650800748E-2</v>
      </c>
      <c r="D3898" s="1">
        <v>44283.458799363572</v>
      </c>
      <c r="E3898" s="1">
        <v>1203097</v>
      </c>
      <c r="F3898" s="1">
        <v>7850823</v>
      </c>
      <c r="G3898" s="16">
        <v>63749.021138456286</v>
      </c>
      <c r="H3898">
        <v>425.62</v>
      </c>
      <c r="I3898" s="1">
        <v>988.92</v>
      </c>
      <c r="J3898" s="16">
        <v>108032.47993781985</v>
      </c>
      <c r="K3898" s="5">
        <v>4.3231024452612718E-2</v>
      </c>
      <c r="L3898" s="10">
        <v>104974.69500000001</v>
      </c>
    </row>
    <row r="3899" spans="1:12" x14ac:dyDescent="0.25">
      <c r="A3899">
        <v>3898</v>
      </c>
      <c r="B3899" s="3">
        <v>0.18681363637507525</v>
      </c>
      <c r="C3899" s="3">
        <v>2.4584112406976923E-2</v>
      </c>
      <c r="D3899" s="1">
        <v>337821.46758591692</v>
      </c>
      <c r="E3899" s="1">
        <v>17780328</v>
      </c>
      <c r="F3899" s="1">
        <v>70227233</v>
      </c>
      <c r="G3899" s="16">
        <v>38889.008697256933</v>
      </c>
      <c r="H3899">
        <v>305.45999999999998</v>
      </c>
      <c r="I3899" s="1">
        <v>822.19</v>
      </c>
      <c r="J3899" s="16">
        <v>376710.47628317383</v>
      </c>
      <c r="K3899" s="5">
        <v>0.18733191145106667</v>
      </c>
      <c r="L3899" s="10">
        <v>2470142.7826999999</v>
      </c>
    </row>
    <row r="3900" spans="1:12" x14ac:dyDescent="0.25">
      <c r="A3900">
        <v>3899</v>
      </c>
      <c r="B3900" s="3">
        <v>0.16850180178899371</v>
      </c>
      <c r="C3900" s="3">
        <v>5.9336523240006322E-2</v>
      </c>
      <c r="D3900" s="1">
        <v>91983.673603914503</v>
      </c>
      <c r="E3900" s="1">
        <v>3601372</v>
      </c>
      <c r="F3900" s="1">
        <v>22435507</v>
      </c>
      <c r="G3900" s="16">
        <v>30133.734679205114</v>
      </c>
      <c r="H3900">
        <v>164.92</v>
      </c>
      <c r="I3900" s="1">
        <v>566.45999999999992</v>
      </c>
      <c r="J3900" s="16">
        <v>122117.40828311961</v>
      </c>
      <c r="K3900" s="5">
        <v>9.634480862273799E-2</v>
      </c>
      <c r="L3900" s="10">
        <v>167466.0385</v>
      </c>
    </row>
    <row r="3901" spans="1:12" x14ac:dyDescent="0.25">
      <c r="A3901">
        <v>3900</v>
      </c>
      <c r="B3901" s="3">
        <v>0.18661185642598471</v>
      </c>
      <c r="C3901" s="3">
        <v>4.2489111414763053E-2</v>
      </c>
      <c r="D3901" s="1">
        <v>118162.20402809874</v>
      </c>
      <c r="E3901" s="1">
        <v>5052316</v>
      </c>
      <c r="F3901" s="1">
        <v>22959933</v>
      </c>
      <c r="G3901" s="16">
        <v>23570.516564984024</v>
      </c>
      <c r="H3901">
        <v>150.72999999999999</v>
      </c>
      <c r="I3901" s="1">
        <v>423.47</v>
      </c>
      <c r="J3901" s="16">
        <v>141732.72059308278</v>
      </c>
      <c r="K3901" s="5">
        <v>0.16620180541580257</v>
      </c>
      <c r="L3901" s="10">
        <v>486233.277</v>
      </c>
    </row>
    <row r="3902" spans="1:12" x14ac:dyDescent="0.25">
      <c r="A3902">
        <v>3901</v>
      </c>
      <c r="B3902" s="3">
        <v>0.24403805710391066</v>
      </c>
      <c r="C3902" s="3">
        <v>5.4660110870034501E-2</v>
      </c>
      <c r="D3902" s="1">
        <v>43625.144032479307</v>
      </c>
      <c r="E3902" s="1">
        <v>1889905</v>
      </c>
      <c r="F3902" s="1">
        <v>12435776</v>
      </c>
      <c r="G3902" s="16">
        <v>28680.061048959127</v>
      </c>
      <c r="H3902">
        <v>305.85000000000002</v>
      </c>
      <c r="I3902" s="1">
        <v>713.94</v>
      </c>
      <c r="J3902" s="16">
        <v>72305.205081438442</v>
      </c>
      <c r="K3902" s="5">
        <v>9.1020111346021504E-2</v>
      </c>
      <c r="L3902" s="10">
        <v>111428.8662</v>
      </c>
    </row>
    <row r="3903" spans="1:12" x14ac:dyDescent="0.25">
      <c r="A3903">
        <v>3902</v>
      </c>
      <c r="B3903" s="3">
        <v>0.14646973124302215</v>
      </c>
      <c r="C3903" s="3">
        <v>2.4584594948486194E-2</v>
      </c>
      <c r="D3903" s="1">
        <v>140030.28570902234</v>
      </c>
      <c r="E3903" s="1">
        <v>4937974</v>
      </c>
      <c r="F3903" s="1">
        <v>22607259</v>
      </c>
      <c r="G3903" s="16">
        <v>19689.867344248745</v>
      </c>
      <c r="H3903">
        <v>76.59</v>
      </c>
      <c r="I3903" s="1">
        <v>313.45000000000005</v>
      </c>
      <c r="J3903" s="16">
        <v>159720.15305327109</v>
      </c>
      <c r="K3903" s="5">
        <v>4.5451160311585019E-2</v>
      </c>
      <c r="L3903" s="10">
        <v>284556.44030000002</v>
      </c>
    </row>
    <row r="3904" spans="1:12" x14ac:dyDescent="0.25">
      <c r="A3904">
        <v>3903</v>
      </c>
      <c r="B3904" s="3">
        <v>0.20304619262132828</v>
      </c>
      <c r="C3904" s="3">
        <v>6.0268584735873695E-2</v>
      </c>
      <c r="D3904" s="1">
        <v>338249.9652315891</v>
      </c>
      <c r="E3904" s="1">
        <v>24708218</v>
      </c>
      <c r="F3904" s="1">
        <v>89504707</v>
      </c>
      <c r="G3904" s="16">
        <v>35549.29114488286</v>
      </c>
      <c r="H3904">
        <v>328.36</v>
      </c>
      <c r="I3904" s="1">
        <v>922.80000000000007</v>
      </c>
      <c r="J3904" s="16">
        <v>373799.25637647195</v>
      </c>
      <c r="K3904" s="5">
        <v>2.2951721302972343E-2</v>
      </c>
      <c r="L3904" s="10">
        <v>174590.08989999999</v>
      </c>
    </row>
    <row r="3905" spans="1:12" x14ac:dyDescent="0.25">
      <c r="A3905">
        <v>3904</v>
      </c>
      <c r="B3905" s="3">
        <v>0.15317496992057411</v>
      </c>
      <c r="C3905" s="3">
        <v>2.3157221769762367E-2</v>
      </c>
      <c r="D3905" s="1">
        <v>234987.24272205541</v>
      </c>
      <c r="E3905" s="1">
        <v>10098999</v>
      </c>
      <c r="F3905" s="1">
        <v>49836388</v>
      </c>
      <c r="G3905" s="16">
        <v>29986.27836475501</v>
      </c>
      <c r="H3905">
        <v>144.53</v>
      </c>
      <c r="I3905" s="1">
        <v>408.58000000000004</v>
      </c>
      <c r="J3905" s="16">
        <v>264973.52108681039</v>
      </c>
      <c r="K3905" s="5">
        <v>0.33049793992589716</v>
      </c>
      <c r="L3905" s="10">
        <v>3353324.1825999999</v>
      </c>
    </row>
    <row r="3906" spans="1:12" x14ac:dyDescent="0.25">
      <c r="A3906">
        <v>3905</v>
      </c>
      <c r="B3906" s="3">
        <v>0.11186225917153567</v>
      </c>
      <c r="C3906" s="3">
        <v>3.6612030422156092E-2</v>
      </c>
      <c r="D3906" s="1">
        <v>265058.49419241049</v>
      </c>
      <c r="E3906" s="1">
        <v>7973025</v>
      </c>
      <c r="F3906" s="1">
        <v>42379253</v>
      </c>
      <c r="G3906" s="16">
        <v>62949.301058628895</v>
      </c>
      <c r="H3906">
        <v>217.31</v>
      </c>
      <c r="I3906" s="1">
        <v>526.22</v>
      </c>
      <c r="J3906" s="16">
        <v>328007.79525103938</v>
      </c>
      <c r="K3906" s="5">
        <v>0.13193965907476388</v>
      </c>
      <c r="L3906" s="10">
        <v>952344.07259999996</v>
      </c>
    </row>
    <row r="3907" spans="1:12" x14ac:dyDescent="0.25">
      <c r="A3907">
        <v>3906</v>
      </c>
      <c r="B3907" s="3">
        <v>0.14604046077341926</v>
      </c>
      <c r="C3907" s="3">
        <v>5.6523126779113461E-2</v>
      </c>
      <c r="D3907" s="1">
        <v>53894.205516630223</v>
      </c>
      <c r="E3907" s="1">
        <v>1619697</v>
      </c>
      <c r="F3907" s="1">
        <v>11163339</v>
      </c>
      <c r="G3907" s="16">
        <v>37184.971731312726</v>
      </c>
      <c r="H3907">
        <v>168.79</v>
      </c>
      <c r="I3907" s="1">
        <v>423.38</v>
      </c>
      <c r="J3907" s="16">
        <v>91079.177247942949</v>
      </c>
      <c r="K3907" s="5">
        <v>7.9998883810367571E-2</v>
      </c>
      <c r="L3907" s="10">
        <v>119871.2653</v>
      </c>
    </row>
    <row r="3908" spans="1:12" x14ac:dyDescent="0.25">
      <c r="A3908">
        <v>3907</v>
      </c>
      <c r="B3908" s="3">
        <v>0.17853460940604948</v>
      </c>
      <c r="C3908" s="3">
        <v>3.431309030893509E-2</v>
      </c>
      <c r="D3908" s="1">
        <v>131258.92901186692</v>
      </c>
      <c r="E3908" s="1">
        <v>5394787</v>
      </c>
      <c r="F3908" s="1">
        <v>31173960</v>
      </c>
      <c r="G3908" s="16">
        <v>28405.45286797763</v>
      </c>
      <c r="H3908">
        <v>169.46</v>
      </c>
      <c r="I3908" s="1">
        <v>516.72</v>
      </c>
      <c r="J3908" s="16">
        <v>159664.38187984456</v>
      </c>
      <c r="K3908" s="5">
        <v>2.1676334708474063E-2</v>
      </c>
      <c r="L3908" s="10">
        <v>112115.0788</v>
      </c>
    </row>
    <row r="3909" spans="1:12" x14ac:dyDescent="0.25">
      <c r="A3909">
        <v>3908</v>
      </c>
      <c r="B3909" s="3">
        <v>0.14097869528977328</v>
      </c>
      <c r="C3909" s="3">
        <v>6.5699584625730806E-2</v>
      </c>
      <c r="D3909" s="1">
        <v>94017.572852900732</v>
      </c>
      <c r="E3909" s="1">
        <v>2775876</v>
      </c>
      <c r="F3909" s="1">
        <v>12967147</v>
      </c>
      <c r="G3909" s="16">
        <v>22112.195991947152</v>
      </c>
      <c r="H3909">
        <v>82.78</v>
      </c>
      <c r="I3909" s="1">
        <v>253.91</v>
      </c>
      <c r="J3909" s="16">
        <v>116129.76884484789</v>
      </c>
      <c r="K3909" s="5">
        <v>5.6425480191700142E-2</v>
      </c>
      <c r="L3909" s="10">
        <v>75325.680500000002</v>
      </c>
    </row>
    <row r="3910" spans="1:12" x14ac:dyDescent="0.25">
      <c r="A3910">
        <v>3909</v>
      </c>
      <c r="B3910" s="3">
        <v>0.11062525654434699</v>
      </c>
      <c r="C3910" s="3">
        <v>5.9052548318903414E-2</v>
      </c>
      <c r="D3910" s="1">
        <v>68460.660049045313</v>
      </c>
      <c r="E3910" s="1">
        <v>1821332</v>
      </c>
      <c r="F3910" s="1">
        <v>11181529</v>
      </c>
      <c r="G3910" s="16">
        <v>29363.361431736343</v>
      </c>
      <c r="H3910">
        <v>100.32</v>
      </c>
      <c r="I3910" s="1">
        <v>426.84000000000003</v>
      </c>
      <c r="J3910" s="16">
        <v>97824.021480781652</v>
      </c>
      <c r="K3910" s="5">
        <v>0.26687056934780151</v>
      </c>
      <c r="L3910" s="10">
        <v>310832.5528</v>
      </c>
    </row>
    <row r="3911" spans="1:12" x14ac:dyDescent="0.25">
      <c r="A3911">
        <v>3910</v>
      </c>
      <c r="B3911" s="3">
        <v>0.13866043843644571</v>
      </c>
      <c r="C3911" s="3">
        <v>7.6790142213611787E-2</v>
      </c>
      <c r="D3911" s="1">
        <v>174551.74581620764</v>
      </c>
      <c r="E3911" s="1">
        <v>5112155</v>
      </c>
      <c r="F3911" s="1">
        <v>21054262</v>
      </c>
      <c r="G3911" s="16">
        <v>33407.589771050276</v>
      </c>
      <c r="H3911">
        <v>122.96</v>
      </c>
      <c r="I3911" s="1">
        <v>378.72</v>
      </c>
      <c r="J3911" s="16">
        <v>207959.33558725793</v>
      </c>
      <c r="K3911" s="5">
        <v>-3.0358766905878048E-2</v>
      </c>
      <c r="L3911" s="10">
        <v>-53545.96</v>
      </c>
    </row>
    <row r="3912" spans="1:12" x14ac:dyDescent="0.25">
      <c r="A3912">
        <v>3911</v>
      </c>
      <c r="B3912" s="3">
        <v>0.23574479863583417</v>
      </c>
      <c r="C3912" s="3">
        <v>3.2537330060038547E-2</v>
      </c>
      <c r="D3912" s="1">
        <v>66974.173777427</v>
      </c>
      <c r="E3912" s="1">
        <v>2807986</v>
      </c>
      <c r="F3912" s="1">
        <v>14780225</v>
      </c>
      <c r="G3912" s="16">
        <v>20407.271597084968</v>
      </c>
      <c r="H3912">
        <v>201.3</v>
      </c>
      <c r="I3912" s="1">
        <v>510.21999999999997</v>
      </c>
      <c r="J3912" s="16">
        <v>87381.445374511968</v>
      </c>
      <c r="K3912" s="5">
        <v>5.5338999867694458E-3</v>
      </c>
      <c r="L3912" s="10">
        <v>46678.4683</v>
      </c>
    </row>
    <row r="3913" spans="1:12" x14ac:dyDescent="0.25">
      <c r="A3913">
        <v>3912</v>
      </c>
      <c r="B3913" s="3">
        <v>0.1393056127525501</v>
      </c>
      <c r="C3913" s="3">
        <v>3.7954679162387817E-2</v>
      </c>
      <c r="D3913" s="1">
        <v>61168.591667354805</v>
      </c>
      <c r="E3913" s="1">
        <v>1545374</v>
      </c>
      <c r="F3913" s="1">
        <v>9911839</v>
      </c>
      <c r="G3913" s="16">
        <v>24260.52775366063</v>
      </c>
      <c r="H3913">
        <v>104.27</v>
      </c>
      <c r="I3913" s="1">
        <v>472.95</v>
      </c>
      <c r="J3913" s="16">
        <v>85429.119421015435</v>
      </c>
      <c r="K3913" s="5">
        <v>0.16810141328284733</v>
      </c>
      <c r="L3913" s="10">
        <v>321748.96870000003</v>
      </c>
    </row>
    <row r="3914" spans="1:12" x14ac:dyDescent="0.25">
      <c r="A3914">
        <v>3913</v>
      </c>
      <c r="B3914" s="3">
        <v>0.1093541475721565</v>
      </c>
      <c r="C3914" s="3">
        <v>7.9651808173050093E-2</v>
      </c>
      <c r="D3914" s="1">
        <v>74199.955776854156</v>
      </c>
      <c r="E3914" s="1">
        <v>1965583</v>
      </c>
      <c r="F3914" s="1">
        <v>13845697</v>
      </c>
      <c r="G3914" s="16">
        <v>54810.121409424442</v>
      </c>
      <c r="H3914">
        <v>185.42</v>
      </c>
      <c r="I3914" s="1">
        <v>604.30999999999995</v>
      </c>
      <c r="J3914" s="16">
        <v>129010.07718627859</v>
      </c>
      <c r="K3914" s="5">
        <v>0.24499092404034156</v>
      </c>
      <c r="L3914" s="10">
        <v>271120.4474</v>
      </c>
    </row>
    <row r="3915" spans="1:12" x14ac:dyDescent="0.25">
      <c r="A3915">
        <v>3914</v>
      </c>
      <c r="B3915" s="3">
        <v>0.20186704891309493</v>
      </c>
      <c r="C3915" s="3">
        <v>7.1709063551381541E-2</v>
      </c>
      <c r="D3915" s="1">
        <v>156166.1254952969</v>
      </c>
      <c r="E3915" s="1">
        <v>7202583</v>
      </c>
      <c r="F3915" s="1">
        <v>23363653</v>
      </c>
      <c r="G3915" s="16">
        <v>4542.7787849604892</v>
      </c>
      <c r="H3915">
        <v>21.08</v>
      </c>
      <c r="I3915" s="1">
        <v>98.91</v>
      </c>
      <c r="J3915" s="16">
        <v>160708.90428025738</v>
      </c>
      <c r="K3915" s="5">
        <v>0.10977867321728035</v>
      </c>
      <c r="L3915" s="10">
        <v>173426.47</v>
      </c>
    </row>
    <row r="3916" spans="1:12" x14ac:dyDescent="0.25">
      <c r="A3916">
        <v>3915</v>
      </c>
      <c r="B3916" s="3">
        <v>0.1051462095133031</v>
      </c>
      <c r="C3916" s="3">
        <v>5.6368112705842494E-2</v>
      </c>
      <c r="D3916" s="1">
        <v>144629.2114627276</v>
      </c>
      <c r="E3916" s="1">
        <v>4221346</v>
      </c>
      <c r="F3916" s="1">
        <v>28717377</v>
      </c>
      <c r="G3916" s="16">
        <v>25405.729290102503</v>
      </c>
      <c r="H3916">
        <v>74.44</v>
      </c>
      <c r="I3916" s="1">
        <v>289.15999999999997</v>
      </c>
      <c r="J3916" s="16">
        <v>170034.94075283009</v>
      </c>
      <c r="K3916" s="5">
        <v>0.14889070553532427</v>
      </c>
      <c r="L3916" s="10">
        <v>334252.32520000002</v>
      </c>
    </row>
    <row r="3917" spans="1:12" x14ac:dyDescent="0.25">
      <c r="A3917">
        <v>3916</v>
      </c>
      <c r="B3917" s="3">
        <v>0.13928514131860045</v>
      </c>
      <c r="C3917" s="3">
        <v>4.4457691603955601E-2</v>
      </c>
      <c r="D3917" s="1">
        <v>106344.00129151638</v>
      </c>
      <c r="E3917" s="1">
        <v>3121314</v>
      </c>
      <c r="F3917" s="1">
        <v>16817848</v>
      </c>
      <c r="G3917" s="16">
        <v>19826.821584487716</v>
      </c>
      <c r="H3917">
        <v>73.349999999999994</v>
      </c>
      <c r="I3917" s="1">
        <v>256.77999999999997</v>
      </c>
      <c r="J3917" s="16">
        <v>126170.82287600409</v>
      </c>
      <c r="K3917" s="5">
        <v>0.12931630123867688</v>
      </c>
      <c r="L3917" s="10">
        <v>306529.24690000003</v>
      </c>
    </row>
    <row r="3918" spans="1:12" x14ac:dyDescent="0.25">
      <c r="A3918">
        <v>3917</v>
      </c>
      <c r="B3918" s="3">
        <v>0.14108033473626211</v>
      </c>
      <c r="C3918" s="3">
        <v>3.9999558947864833E-2</v>
      </c>
      <c r="D3918" s="1">
        <v>235418.80273494803</v>
      </c>
      <c r="E3918" s="1">
        <v>8095315</v>
      </c>
      <c r="F3918" s="1">
        <v>36965817</v>
      </c>
      <c r="G3918" s="16">
        <v>51028.273368361544</v>
      </c>
      <c r="H3918">
        <v>222.78</v>
      </c>
      <c r="I3918" s="1">
        <v>649.66</v>
      </c>
      <c r="J3918" s="16">
        <v>286447.07610330958</v>
      </c>
      <c r="K3918" s="5">
        <v>0.18149643766903431</v>
      </c>
      <c r="L3918" s="10">
        <v>1045351.8453</v>
      </c>
    </row>
    <row r="3919" spans="1:12" x14ac:dyDescent="0.25">
      <c r="A3919">
        <v>3918</v>
      </c>
      <c r="B3919" s="3">
        <v>0.12740789064990768</v>
      </c>
      <c r="C3919" s="3">
        <v>3.2852590004708207E-2</v>
      </c>
      <c r="D3919" s="1">
        <v>162427.94424174572</v>
      </c>
      <c r="E3919" s="1">
        <v>5243468</v>
      </c>
      <c r="F3919" s="1">
        <v>25175961</v>
      </c>
      <c r="G3919" s="16">
        <v>25066.875055970937</v>
      </c>
      <c r="H3919">
        <v>85.33</v>
      </c>
      <c r="I3919" s="1">
        <v>297.14999999999998</v>
      </c>
      <c r="J3919" s="16">
        <v>187494.81929771666</v>
      </c>
      <c r="K3919" s="5">
        <v>8.1633411428011393E-2</v>
      </c>
      <c r="L3919" s="10">
        <v>422361.05249999999</v>
      </c>
    </row>
    <row r="3920" spans="1:12" x14ac:dyDescent="0.25">
      <c r="A3920">
        <v>3919</v>
      </c>
      <c r="B3920" s="3">
        <v>0.23061676406760548</v>
      </c>
      <c r="C3920" s="3">
        <v>2.780767887535468E-2</v>
      </c>
      <c r="D3920" s="1">
        <v>111089.98903264555</v>
      </c>
      <c r="E3920" s="1">
        <v>5933442</v>
      </c>
      <c r="F3920" s="1">
        <v>23739755</v>
      </c>
      <c r="G3920" s="16">
        <v>10884.733663842884</v>
      </c>
      <c r="H3920">
        <v>60.78</v>
      </c>
      <c r="I3920" s="1">
        <v>184.8</v>
      </c>
      <c r="J3920" s="16">
        <v>121974.72269648843</v>
      </c>
      <c r="K3920" s="5">
        <v>0.12390029045209791</v>
      </c>
      <c r="L3920" s="10">
        <v>496021.4485</v>
      </c>
    </row>
    <row r="3921" spans="1:12" x14ac:dyDescent="0.25">
      <c r="A3921">
        <v>3920</v>
      </c>
      <c r="B3921" s="3">
        <v>0.15031101922166104</v>
      </c>
      <c r="C3921" s="3">
        <v>4.6229191925756918E-2</v>
      </c>
      <c r="D3921" s="1">
        <v>97309.851808067062</v>
      </c>
      <c r="E3921" s="1">
        <v>2968789</v>
      </c>
      <c r="F3921" s="1">
        <v>17519902</v>
      </c>
      <c r="G3921" s="16">
        <v>19048.471974934757</v>
      </c>
      <c r="H3921">
        <v>89.57</v>
      </c>
      <c r="I3921" s="1">
        <v>498</v>
      </c>
      <c r="J3921" s="16">
        <v>116358.32378300182</v>
      </c>
      <c r="K3921" s="5">
        <v>0.19122579808264903</v>
      </c>
      <c r="L3921" s="10">
        <v>375649.33519999997</v>
      </c>
    </row>
    <row r="3922" spans="1:12" x14ac:dyDescent="0.25">
      <c r="A3922">
        <v>3921</v>
      </c>
      <c r="B3922" s="3">
        <v>0.21217727525174185</v>
      </c>
      <c r="C3922" s="3">
        <v>7.8310174074744637E-2</v>
      </c>
      <c r="D3922" s="1">
        <v>100124.75067548601</v>
      </c>
      <c r="E3922" s="1">
        <v>4864413</v>
      </c>
      <c r="F3922" s="1">
        <v>25190080</v>
      </c>
      <c r="G3922" s="16">
        <v>31233.314394333916</v>
      </c>
      <c r="H3922">
        <v>316.66000000000003</v>
      </c>
      <c r="I3922" s="1">
        <v>1160.6100000000001</v>
      </c>
      <c r="J3922" s="16">
        <v>131358.06506981992</v>
      </c>
      <c r="K3922" s="5">
        <v>-0.11411340906901028</v>
      </c>
      <c r="L3922" s="10">
        <v>-106293.17819999999</v>
      </c>
    </row>
    <row r="3923" spans="1:12" x14ac:dyDescent="0.25">
      <c r="A3923">
        <v>3922</v>
      </c>
      <c r="B3923" s="3">
        <v>0.17689548824576481</v>
      </c>
      <c r="C3923" s="3">
        <v>4.6466821132318224E-2</v>
      </c>
      <c r="D3923" s="1">
        <v>58284.617899816614</v>
      </c>
      <c r="E3923" s="1">
        <v>1610077</v>
      </c>
      <c r="F3923" s="1">
        <v>9392924</v>
      </c>
      <c r="G3923" s="16">
        <v>20650.737740298948</v>
      </c>
      <c r="H3923">
        <v>121.33</v>
      </c>
      <c r="I3923" s="1">
        <v>478.87999999999994</v>
      </c>
      <c r="J3923" s="16">
        <v>78935.355640115566</v>
      </c>
      <c r="K3923" s="5">
        <v>9.7829276711573043E-2</v>
      </c>
      <c r="L3923" s="10">
        <v>143970.4669</v>
      </c>
    </row>
    <row r="3924" spans="1:12" x14ac:dyDescent="0.25">
      <c r="A3924">
        <v>3923</v>
      </c>
      <c r="B3924" s="3">
        <v>0.13147750611071587</v>
      </c>
      <c r="C3924" s="3">
        <v>4.0747021505709982E-2</v>
      </c>
      <c r="D3924" s="1">
        <v>243983.79616591716</v>
      </c>
      <c r="E3924" s="1">
        <v>8024900</v>
      </c>
      <c r="F3924" s="1">
        <v>27958033</v>
      </c>
      <c r="G3924" s="16">
        <v>8693.4076136882213</v>
      </c>
      <c r="H3924">
        <v>23</v>
      </c>
      <c r="I3924" s="1">
        <v>93.72</v>
      </c>
      <c r="J3924" s="16">
        <v>252677.20377960539</v>
      </c>
      <c r="K3924" s="5">
        <v>0.20889735157625597</v>
      </c>
      <c r="L3924" s="10">
        <v>1012089.852</v>
      </c>
    </row>
    <row r="3925" spans="1:12" x14ac:dyDescent="0.25">
      <c r="A3925">
        <v>3924</v>
      </c>
      <c r="B3925" s="3">
        <v>0.1342358977583053</v>
      </c>
      <c r="C3925" s="3">
        <v>5.9550807491041677E-2</v>
      </c>
      <c r="D3925" s="1">
        <v>178564.7990848693</v>
      </c>
      <c r="E3925" s="1">
        <v>5948410</v>
      </c>
      <c r="F3925" s="1">
        <v>26427111</v>
      </c>
      <c r="G3925" s="16">
        <v>12389.807607119379</v>
      </c>
      <c r="H3925">
        <v>44.31</v>
      </c>
      <c r="I3925" s="1">
        <v>248.74</v>
      </c>
      <c r="J3925" s="16">
        <v>190954.60669198868</v>
      </c>
      <c r="K3925" s="5">
        <v>0.13796444688386122</v>
      </c>
      <c r="L3925" s="10">
        <v>324946.39439999999</v>
      </c>
    </row>
    <row r="3926" spans="1:12" x14ac:dyDescent="0.25">
      <c r="A3926">
        <v>3925</v>
      </c>
      <c r="B3926" s="3">
        <v>0.18288278153517817</v>
      </c>
      <c r="C3926" s="3">
        <v>7.6141828931233294E-2</v>
      </c>
      <c r="D3926" s="1">
        <v>158965.10511639435</v>
      </c>
      <c r="E3926" s="1">
        <v>6673697</v>
      </c>
      <c r="F3926" s="1">
        <v>28098529</v>
      </c>
      <c r="G3926" s="16">
        <v>13863.301362954873</v>
      </c>
      <c r="H3926">
        <v>70.05</v>
      </c>
      <c r="I3926" s="1">
        <v>210.68</v>
      </c>
      <c r="J3926" s="16">
        <v>172828.40647934921</v>
      </c>
      <c r="K3926" s="5">
        <v>0.24995587715306028</v>
      </c>
      <c r="L3926" s="10">
        <v>385266.53039999999</v>
      </c>
    </row>
    <row r="3927" spans="1:12" x14ac:dyDescent="0.25">
      <c r="A3927">
        <v>3926</v>
      </c>
      <c r="B3927" s="3">
        <v>0.20424396300587316</v>
      </c>
      <c r="C3927" s="3">
        <v>7.7696586083513569E-2</v>
      </c>
      <c r="D3927" s="1">
        <v>60496.15537621078</v>
      </c>
      <c r="E3927" s="1">
        <v>2246936</v>
      </c>
      <c r="F3927" s="1">
        <v>14503074</v>
      </c>
      <c r="G3927" s="16">
        <v>12374.772316616336</v>
      </c>
      <c r="H3927">
        <v>73.47</v>
      </c>
      <c r="I3927" s="1">
        <v>249.85</v>
      </c>
      <c r="J3927" s="16">
        <v>72870.927692827114</v>
      </c>
      <c r="K3927" s="5">
        <v>7.505614498561361E-2</v>
      </c>
      <c r="L3927" s="10">
        <v>62558.929700000001</v>
      </c>
    </row>
    <row r="3928" spans="1:12" x14ac:dyDescent="0.25">
      <c r="A3928">
        <v>3927</v>
      </c>
      <c r="B3928" s="3">
        <v>0.1319602869753731</v>
      </c>
      <c r="C3928" s="3">
        <v>5.6252900524709659E-2</v>
      </c>
      <c r="D3928" s="1">
        <v>198400.67761540832</v>
      </c>
      <c r="E3928" s="1">
        <v>6540146</v>
      </c>
      <c r="F3928" s="1">
        <v>34840394</v>
      </c>
      <c r="G3928" s="16">
        <v>18329.698747373444</v>
      </c>
      <c r="H3928">
        <v>56.02</v>
      </c>
      <c r="I3928" s="1">
        <v>189.48</v>
      </c>
      <c r="J3928" s="16">
        <v>216730.37636278177</v>
      </c>
      <c r="K3928" s="5">
        <v>8.9185186314253873E-2</v>
      </c>
      <c r="L3928" s="10">
        <v>272968.30229999998</v>
      </c>
    </row>
    <row r="3929" spans="1:12" x14ac:dyDescent="0.25">
      <c r="A3929">
        <v>3928</v>
      </c>
      <c r="B3929" s="3">
        <v>0.16992015175402897</v>
      </c>
      <c r="C3929" s="3">
        <v>2.1696213667210078E-2</v>
      </c>
      <c r="D3929" s="1">
        <v>94237.194592860527</v>
      </c>
      <c r="E3929" s="1">
        <v>3714889</v>
      </c>
      <c r="F3929" s="1">
        <v>25494626</v>
      </c>
      <c r="G3929" s="16">
        <v>12068.227600531583</v>
      </c>
      <c r="H3929">
        <v>55.54</v>
      </c>
      <c r="I3929" s="1">
        <v>199.54</v>
      </c>
      <c r="J3929" s="16">
        <v>106305.42219339211</v>
      </c>
      <c r="K3929" s="5">
        <v>-4.1976527068559935E-2</v>
      </c>
      <c r="L3929" s="10">
        <v>-163324.05710000001</v>
      </c>
    </row>
    <row r="3930" spans="1:12" x14ac:dyDescent="0.25">
      <c r="A3930">
        <v>3929</v>
      </c>
      <c r="B3930" s="3">
        <v>0.16288646732524503</v>
      </c>
      <c r="C3930" s="3">
        <v>5.8884061507777197E-2</v>
      </c>
      <c r="D3930" s="1">
        <v>203274.02592333799</v>
      </c>
      <c r="E3930" s="1">
        <v>7747257</v>
      </c>
      <c r="F3930" s="1">
        <v>28308485</v>
      </c>
      <c r="G3930" s="16">
        <v>33699.894574721584</v>
      </c>
      <c r="H3930">
        <v>176.22</v>
      </c>
      <c r="I3930" s="1">
        <v>483.53</v>
      </c>
      <c r="J3930" s="16">
        <v>236973.92049805957</v>
      </c>
      <c r="K3930" s="5">
        <v>8.8673369674041963E-2</v>
      </c>
      <c r="L3930" s="10">
        <v>277892.76370000001</v>
      </c>
    </row>
    <row r="3931" spans="1:12" x14ac:dyDescent="0.25">
      <c r="A3931">
        <v>3930</v>
      </c>
      <c r="B3931" s="3">
        <v>0.12656546128000554</v>
      </c>
      <c r="C3931" s="3">
        <v>7.2435418971896148E-2</v>
      </c>
      <c r="D3931" s="1">
        <v>119313.55748258166</v>
      </c>
      <c r="E3931" s="1">
        <v>3836819</v>
      </c>
      <c r="F3931" s="1">
        <v>22629259</v>
      </c>
      <c r="G3931" s="16">
        <v>49401.292534734996</v>
      </c>
      <c r="H3931">
        <v>191.55</v>
      </c>
      <c r="I3931" s="1">
        <v>527.02</v>
      </c>
      <c r="J3931" s="16">
        <v>168714.85001731664</v>
      </c>
      <c r="K3931" s="5">
        <v>-0.1344622486974078</v>
      </c>
      <c r="L3931" s="10">
        <v>-203237.9411</v>
      </c>
    </row>
    <row r="3932" spans="1:12" x14ac:dyDescent="0.25">
      <c r="A3932">
        <v>3931</v>
      </c>
      <c r="B3932" s="3">
        <v>0.12234161099095386</v>
      </c>
      <c r="C3932" s="3">
        <v>4.039227601148751E-2</v>
      </c>
      <c r="D3932" s="1">
        <v>105785.56173172577</v>
      </c>
      <c r="E3932" s="1">
        <v>3336776</v>
      </c>
      <c r="F3932" s="1">
        <v>24431443</v>
      </c>
      <c r="G3932" s="16">
        <v>49866.23959627156</v>
      </c>
      <c r="H3932">
        <v>212.98</v>
      </c>
      <c r="I3932" s="1">
        <v>873.31</v>
      </c>
      <c r="J3932" s="16">
        <v>155651.80132799732</v>
      </c>
      <c r="K3932" s="5">
        <v>0.16620927900911076</v>
      </c>
      <c r="L3932" s="10">
        <v>577976.78130000003</v>
      </c>
    </row>
    <row r="3933" spans="1:12" x14ac:dyDescent="0.25">
      <c r="A3933">
        <v>3932</v>
      </c>
      <c r="B3933" s="3">
        <v>0.10487388941287382</v>
      </c>
      <c r="C3933" s="3">
        <v>6.8118520738997448E-2</v>
      </c>
      <c r="D3933" s="1">
        <v>170850.10544295507</v>
      </c>
      <c r="E3933" s="1">
        <v>4980604</v>
      </c>
      <c r="F3933" s="1">
        <v>22374204</v>
      </c>
      <c r="G3933" s="16">
        <v>30108.312246925077</v>
      </c>
      <c r="H3933">
        <v>98.46</v>
      </c>
      <c r="I3933" s="1">
        <v>392.33</v>
      </c>
      <c r="J3933" s="16">
        <v>200958.41768988015</v>
      </c>
      <c r="K3933" s="5">
        <v>8.6894263502196839E-2</v>
      </c>
      <c r="L3933" s="10">
        <v>182365.5379</v>
      </c>
    </row>
    <row r="3934" spans="1:12" x14ac:dyDescent="0.25">
      <c r="A3934">
        <v>3933</v>
      </c>
      <c r="B3934" s="3">
        <v>0.24611291217447986</v>
      </c>
      <c r="C3934" s="3">
        <v>5.2765399340657465E-2</v>
      </c>
      <c r="D3934" s="1">
        <v>84954.112943171946</v>
      </c>
      <c r="E3934" s="1">
        <v>4922225</v>
      </c>
      <c r="F3934" s="1">
        <v>24899625</v>
      </c>
      <c r="G3934" s="16">
        <v>33130.863612760542</v>
      </c>
      <c r="H3934">
        <v>478.49</v>
      </c>
      <c r="I3934" s="1">
        <v>1362.3600000000001</v>
      </c>
      <c r="J3934" s="16">
        <v>118084.97655593249</v>
      </c>
      <c r="K3934" s="5">
        <v>0.17474277129472315</v>
      </c>
      <c r="L3934" s="10">
        <v>308452.14260000002</v>
      </c>
    </row>
    <row r="3935" spans="1:12" x14ac:dyDescent="0.25">
      <c r="A3935">
        <v>3934</v>
      </c>
      <c r="B3935" s="3">
        <v>0.18099510451627088</v>
      </c>
      <c r="C3935" s="3">
        <v>4.534833403427567E-2</v>
      </c>
      <c r="D3935" s="1">
        <v>341456.36659260682</v>
      </c>
      <c r="E3935" s="1">
        <v>17342250</v>
      </c>
      <c r="F3935" s="1">
        <v>64208542</v>
      </c>
      <c r="G3935" s="16">
        <v>26627.497535777231</v>
      </c>
      <c r="H3935">
        <v>162.13</v>
      </c>
      <c r="I3935" s="1">
        <v>443.74</v>
      </c>
      <c r="J3935" s="16">
        <v>368083.86412838404</v>
      </c>
      <c r="K3935" s="5">
        <v>5.5718779648203119E-2</v>
      </c>
      <c r="L3935" s="10">
        <v>381385.92540000001</v>
      </c>
    </row>
    <row r="3936" spans="1:12" x14ac:dyDescent="0.25">
      <c r="A3936">
        <v>3935</v>
      </c>
      <c r="B3936" s="3">
        <v>0.14828466187134565</v>
      </c>
      <c r="C3936" s="3">
        <v>4.3631168297928485E-2</v>
      </c>
      <c r="D3936" s="1">
        <v>342954.68139205023</v>
      </c>
      <c r="E3936" s="1">
        <v>14320800</v>
      </c>
      <c r="F3936" s="1">
        <v>43740230</v>
      </c>
      <c r="G3936" s="16">
        <v>27434.654485230058</v>
      </c>
      <c r="H3936">
        <v>126.87</v>
      </c>
      <c r="I3936" s="1">
        <v>416.09000000000003</v>
      </c>
      <c r="J3936" s="16">
        <v>370389.33587728027</v>
      </c>
      <c r="K3936" s="5">
        <v>0.21300074432515778</v>
      </c>
      <c r="L3936" s="10">
        <v>1370534.1939000001</v>
      </c>
    </row>
    <row r="3937" spans="1:12" x14ac:dyDescent="0.25">
      <c r="A3937">
        <v>3936</v>
      </c>
      <c r="B3937" s="3">
        <v>0.14223323013701589</v>
      </c>
      <c r="C3937" s="3">
        <v>5.2895494193159989E-2</v>
      </c>
      <c r="D3937" s="1">
        <v>124600.91355614894</v>
      </c>
      <c r="E3937" s="1">
        <v>4307715</v>
      </c>
      <c r="F3937" s="1">
        <v>28741081</v>
      </c>
      <c r="G3937" s="16">
        <v>8689.3977453015414</v>
      </c>
      <c r="H3937">
        <v>28.1</v>
      </c>
      <c r="I3937" s="1">
        <v>117.85999999999999</v>
      </c>
      <c r="J3937" s="16">
        <v>133290.31130145048</v>
      </c>
      <c r="K3937" s="5">
        <v>8.8245368098708102E-3</v>
      </c>
      <c r="L3937" s="10">
        <v>47347.236100000002</v>
      </c>
    </row>
    <row r="3938" spans="1:12" x14ac:dyDescent="0.25">
      <c r="A3938">
        <v>3937</v>
      </c>
      <c r="B3938" s="3">
        <v>0.12042535738095222</v>
      </c>
      <c r="C3938" s="3">
        <v>5.7890244411820516E-2</v>
      </c>
      <c r="D3938" s="1">
        <v>160477.46502238902</v>
      </c>
      <c r="E3938" s="1">
        <v>4413662</v>
      </c>
      <c r="F3938" s="1">
        <v>19446916</v>
      </c>
      <c r="G3938" s="16">
        <v>97917.998562820649</v>
      </c>
      <c r="H3938">
        <v>411.03</v>
      </c>
      <c r="I3938" s="1">
        <v>1049.06</v>
      </c>
      <c r="J3938" s="16">
        <v>258395.46358520968</v>
      </c>
      <c r="K3938" s="5">
        <v>8.0123949773977673E-2</v>
      </c>
      <c r="L3938" s="10">
        <v>284265.22129999998</v>
      </c>
    </row>
    <row r="3939" spans="1:12" x14ac:dyDescent="0.25">
      <c r="A3939">
        <v>3938</v>
      </c>
      <c r="B3939" s="3">
        <v>0.11751471090583872</v>
      </c>
      <c r="C3939" s="3">
        <v>5.9196348612296029E-2</v>
      </c>
      <c r="D3939" s="1">
        <v>345986.7795490062</v>
      </c>
      <c r="E3939" s="1">
        <v>12098306</v>
      </c>
      <c r="F3939" s="1">
        <v>43131384</v>
      </c>
      <c r="G3939" s="16">
        <v>43375.357759210026</v>
      </c>
      <c r="H3939">
        <v>156.66</v>
      </c>
      <c r="I3939" s="1">
        <v>535.62</v>
      </c>
      <c r="J3939" s="16">
        <v>389362.13730821625</v>
      </c>
      <c r="K3939" s="5">
        <v>0.11594306967781398</v>
      </c>
      <c r="L3939" s="10">
        <v>563176.15630000003</v>
      </c>
    </row>
    <row r="3940" spans="1:12" x14ac:dyDescent="0.25">
      <c r="A3940">
        <v>3939</v>
      </c>
      <c r="B3940" s="3">
        <v>0.23550056633234967</v>
      </c>
      <c r="C3940" s="3">
        <v>4.8142366347511553E-2</v>
      </c>
      <c r="D3940" s="1">
        <v>99245.846011097572</v>
      </c>
      <c r="E3940" s="1">
        <v>4157041</v>
      </c>
      <c r="F3940" s="1">
        <v>16959386</v>
      </c>
      <c r="G3940" s="16">
        <v>8822.2368667742558</v>
      </c>
      <c r="H3940">
        <v>66.59</v>
      </c>
      <c r="I3940" s="1">
        <v>330</v>
      </c>
      <c r="J3940" s="16">
        <v>108068.08287787183</v>
      </c>
      <c r="K3940" s="5">
        <v>1.0527462809934544E-2</v>
      </c>
      <c r="L3940" s="10">
        <v>39412.628900000003</v>
      </c>
    </row>
    <row r="3941" spans="1:12" x14ac:dyDescent="0.25">
      <c r="A3941">
        <v>3940</v>
      </c>
      <c r="B3941" s="3">
        <v>0.23253598148837415</v>
      </c>
      <c r="C3941" s="3">
        <v>2.6164914970968872E-2</v>
      </c>
      <c r="D3941" s="1">
        <v>238087.395301821</v>
      </c>
      <c r="E3941" s="1">
        <v>16735920</v>
      </c>
      <c r="F3941" s="1">
        <v>47947323</v>
      </c>
      <c r="G3941" s="16">
        <v>46717.334612689483</v>
      </c>
      <c r="H3941">
        <v>584.35</v>
      </c>
      <c r="I3941" s="1">
        <v>1376.12</v>
      </c>
      <c r="J3941" s="16">
        <v>284804.72991451051</v>
      </c>
      <c r="K3941" s="5">
        <v>6.8900000518664073E-2</v>
      </c>
      <c r="L3941" s="10">
        <v>654139.27339999995</v>
      </c>
    </row>
    <row r="3942" spans="1:12" x14ac:dyDescent="0.25">
      <c r="A3942">
        <v>3941</v>
      </c>
      <c r="B3942" s="3">
        <v>0.11028747620674109</v>
      </c>
      <c r="C3942" s="3">
        <v>7.3877153606183688E-2</v>
      </c>
      <c r="D3942" s="1">
        <v>126780.60401741949</v>
      </c>
      <c r="E3942" s="1">
        <v>3369041</v>
      </c>
      <c r="F3942" s="1">
        <v>17339261</v>
      </c>
      <c r="G3942" s="16">
        <v>67262.475019538251</v>
      </c>
      <c r="H3942">
        <v>257.67</v>
      </c>
      <c r="I3942" s="1">
        <v>828.93000000000006</v>
      </c>
      <c r="J3942" s="16">
        <v>194043.07903695776</v>
      </c>
      <c r="K3942" s="5">
        <v>0.34343802673246188</v>
      </c>
      <c r="L3942" s="10">
        <v>593989.41960000002</v>
      </c>
    </row>
    <row r="3943" spans="1:12" x14ac:dyDescent="0.25">
      <c r="A3943">
        <v>3942</v>
      </c>
      <c r="B3943" s="3">
        <v>0.1374134921415717</v>
      </c>
      <c r="C3943" s="3">
        <v>4.3108737863408832E-2</v>
      </c>
      <c r="D3943" s="1">
        <v>135005.45284045083</v>
      </c>
      <c r="E3943" s="1">
        <v>4563980</v>
      </c>
      <c r="F3943" s="1">
        <v>29595702</v>
      </c>
      <c r="G3943" s="16">
        <v>52959.64831400667</v>
      </c>
      <c r="H3943">
        <v>224.03</v>
      </c>
      <c r="I3943" s="1">
        <v>672.44</v>
      </c>
      <c r="J3943" s="16">
        <v>187965.10115445749</v>
      </c>
      <c r="K3943" s="5">
        <v>0.2107653890297721</v>
      </c>
      <c r="L3943" s="10">
        <v>734186.99509999994</v>
      </c>
    </row>
    <row r="3944" spans="1:12" x14ac:dyDescent="0.25">
      <c r="A3944">
        <v>3943</v>
      </c>
      <c r="B3944" s="3">
        <v>0.1763538943277449</v>
      </c>
      <c r="C3944" s="3">
        <v>4.1586788943193641E-2</v>
      </c>
      <c r="D3944" s="1">
        <v>148673.17662932238</v>
      </c>
      <c r="E3944" s="1">
        <v>6046071</v>
      </c>
      <c r="F3944" s="1">
        <v>37221008</v>
      </c>
      <c r="G3944" s="16">
        <v>46706.258252325046</v>
      </c>
      <c r="H3944">
        <v>330.92</v>
      </c>
      <c r="I3944" s="1">
        <v>914.8</v>
      </c>
      <c r="J3944" s="16">
        <v>195379.43488164741</v>
      </c>
      <c r="K3944" s="5">
        <v>0.20514303074107842</v>
      </c>
      <c r="L3944" s="10">
        <v>826708.65139999997</v>
      </c>
    </row>
    <row r="3945" spans="1:12" x14ac:dyDescent="0.25">
      <c r="A3945">
        <v>3944</v>
      </c>
      <c r="B3945" s="3">
        <v>0.17261164167175108</v>
      </c>
      <c r="C3945" s="3">
        <v>5.5888180569320045E-2</v>
      </c>
      <c r="D3945" s="1">
        <v>51131.146487224178</v>
      </c>
      <c r="E3945" s="1">
        <v>1397882</v>
      </c>
      <c r="F3945" s="1">
        <v>9159152</v>
      </c>
      <c r="G3945" s="16">
        <v>14591.028455995</v>
      </c>
      <c r="H3945">
        <v>68.510000000000005</v>
      </c>
      <c r="I3945" s="1">
        <v>258.58</v>
      </c>
      <c r="J3945" s="16">
        <v>65722.174943219172</v>
      </c>
      <c r="K3945" s="5">
        <v>0.14327116155019343</v>
      </c>
      <c r="L3945" s="10">
        <v>120339.66929999999</v>
      </c>
    </row>
    <row r="3946" spans="1:12" x14ac:dyDescent="0.25">
      <c r="A3946">
        <v>3945</v>
      </c>
      <c r="B3946" s="3">
        <v>0.20321439854390128</v>
      </c>
      <c r="C3946" s="3">
        <v>6.2029964931591089E-2</v>
      </c>
      <c r="D3946" s="1">
        <v>77321.70226375616</v>
      </c>
      <c r="E3946" s="1">
        <v>3590365</v>
      </c>
      <c r="F3946" s="1">
        <v>29923494</v>
      </c>
      <c r="G3946" s="16">
        <v>11343.518099012354</v>
      </c>
      <c r="H3946">
        <v>66.650000000000006</v>
      </c>
      <c r="I3946" s="1">
        <v>202.15</v>
      </c>
      <c r="J3946" s="16">
        <v>88665.220362768508</v>
      </c>
      <c r="K3946" s="5">
        <v>9.8893406691052954E-2</v>
      </c>
      <c r="L3946" s="10">
        <v>141792.92509999999</v>
      </c>
    </row>
    <row r="3947" spans="1:12" x14ac:dyDescent="0.25">
      <c r="A3947">
        <v>3946</v>
      </c>
      <c r="B3947" s="3">
        <v>0.14491265390364538</v>
      </c>
      <c r="C3947" s="3">
        <v>4.5472029867865443E-2</v>
      </c>
      <c r="D3947" s="1">
        <v>221865.13491775456</v>
      </c>
      <c r="E3947" s="1">
        <v>7766941</v>
      </c>
      <c r="F3947" s="1">
        <v>35182302</v>
      </c>
      <c r="G3947" s="16">
        <v>32340.715274416147</v>
      </c>
      <c r="H3947">
        <v>124.26</v>
      </c>
      <c r="I3947" s="1">
        <v>317.37</v>
      </c>
      <c r="J3947" s="16">
        <v>254205.85019217071</v>
      </c>
      <c r="K3947" s="5">
        <v>9.4554700458128763E-2</v>
      </c>
      <c r="L3947" s="10">
        <v>431216.3345</v>
      </c>
    </row>
    <row r="3948" spans="1:12" x14ac:dyDescent="0.25">
      <c r="A3948">
        <v>3947</v>
      </c>
      <c r="B3948" s="3">
        <v>0.242078892375264</v>
      </c>
      <c r="C3948" s="3">
        <v>3.067115119115817E-2</v>
      </c>
      <c r="D3948" s="1">
        <v>49747.12099134623</v>
      </c>
      <c r="E3948" s="1">
        <v>2138450</v>
      </c>
      <c r="F3948" s="1">
        <v>12340627</v>
      </c>
      <c r="G3948" s="16">
        <v>23238.492253972116</v>
      </c>
      <c r="H3948">
        <v>320.95999999999998</v>
      </c>
      <c r="I3948" s="1">
        <v>823.31999999999994</v>
      </c>
      <c r="J3948" s="16">
        <v>72985.613245318353</v>
      </c>
      <c r="K3948" s="5">
        <v>0.19910635904712845</v>
      </c>
      <c r="L3948" s="10">
        <v>419690.62959999999</v>
      </c>
    </row>
    <row r="3949" spans="1:12" x14ac:dyDescent="0.25">
      <c r="A3949">
        <v>3948</v>
      </c>
      <c r="B3949" s="3">
        <v>0.18819190082950318</v>
      </c>
      <c r="C3949" s="3">
        <v>7.8256120764310641E-2</v>
      </c>
      <c r="D3949" s="1">
        <v>238886.58027891474</v>
      </c>
      <c r="E3949" s="1">
        <v>12680241</v>
      </c>
      <c r="F3949" s="1">
        <v>52258831</v>
      </c>
      <c r="G3949" s="16">
        <v>16983.848442415689</v>
      </c>
      <c r="H3949">
        <v>109.96</v>
      </c>
      <c r="I3949" s="1">
        <v>452.69</v>
      </c>
      <c r="J3949" s="16">
        <v>255870.42872133042</v>
      </c>
      <c r="K3949" s="5">
        <v>6.6028285049574739E-2</v>
      </c>
      <c r="L3949" s="10">
        <v>146007.95240000001</v>
      </c>
    </row>
    <row r="3950" spans="1:12" x14ac:dyDescent="0.25">
      <c r="A3950">
        <v>3949</v>
      </c>
      <c r="B3950" s="3">
        <v>0.15096288326854959</v>
      </c>
      <c r="C3950" s="3">
        <v>5.0148754635889817E-2</v>
      </c>
      <c r="D3950" s="1">
        <v>98534.146001244648</v>
      </c>
      <c r="E3950" s="1">
        <v>3013071</v>
      </c>
      <c r="F3950" s="1">
        <v>19116953</v>
      </c>
      <c r="G3950" s="16">
        <v>45721.882305376814</v>
      </c>
      <c r="H3950">
        <v>215.98</v>
      </c>
      <c r="I3950" s="1">
        <v>502.74</v>
      </c>
      <c r="J3950" s="16">
        <v>144256.02830662148</v>
      </c>
      <c r="K3950" s="5">
        <v>0.10367552222211872</v>
      </c>
      <c r="L3950" s="10">
        <v>244949.4472</v>
      </c>
    </row>
    <row r="3951" spans="1:12" x14ac:dyDescent="0.25">
      <c r="A3951">
        <v>3950</v>
      </c>
      <c r="B3951" s="3">
        <v>0.23831738667937188</v>
      </c>
      <c r="C3951" s="3">
        <v>6.8694276188991155E-2</v>
      </c>
      <c r="D3951" s="1">
        <v>62356.982204724256</v>
      </c>
      <c r="E3951" s="1">
        <v>3467303</v>
      </c>
      <c r="F3951" s="1">
        <v>21569665</v>
      </c>
      <c r="G3951" s="16">
        <v>30786.700003285234</v>
      </c>
      <c r="H3951">
        <v>408.76</v>
      </c>
      <c r="I3951" s="1">
        <v>995.86</v>
      </c>
      <c r="J3951" s="16">
        <v>93143.682208009486</v>
      </c>
      <c r="K3951" s="5">
        <v>6.6012271113618341E-3</v>
      </c>
      <c r="L3951" s="10">
        <v>-4683.4880000000003</v>
      </c>
    </row>
    <row r="3952" spans="1:12" x14ac:dyDescent="0.25">
      <c r="A3952">
        <v>3951</v>
      </c>
      <c r="B3952" s="3">
        <v>0.18083141681323017</v>
      </c>
      <c r="C3952" s="3">
        <v>6.2296129461978891E-2</v>
      </c>
      <c r="D3952" s="1">
        <v>103851.79469283677</v>
      </c>
      <c r="E3952" s="1">
        <v>3535874</v>
      </c>
      <c r="F3952" s="1">
        <v>18109666</v>
      </c>
      <c r="G3952" s="16">
        <v>53059.993116560174</v>
      </c>
      <c r="H3952">
        <v>393.7</v>
      </c>
      <c r="I3952" s="1">
        <v>1092.54</v>
      </c>
      <c r="J3952" s="16">
        <v>156911.78780939695</v>
      </c>
      <c r="K3952" s="5">
        <v>0.1054360612195193</v>
      </c>
      <c r="L3952" s="10">
        <v>200230.90169999999</v>
      </c>
    </row>
    <row r="3953" spans="1:12" x14ac:dyDescent="0.25">
      <c r="A3953">
        <v>3952</v>
      </c>
      <c r="B3953" s="3">
        <v>0.10703663438465867</v>
      </c>
      <c r="C3953" s="3">
        <v>4.6110822760018842E-2</v>
      </c>
      <c r="D3953" s="1">
        <v>280169.62462887325</v>
      </c>
      <c r="E3953" s="1">
        <v>8246867</v>
      </c>
      <c r="F3953" s="1">
        <v>35936916</v>
      </c>
      <c r="G3953" s="16">
        <v>7774.9870088983507</v>
      </c>
      <c r="H3953">
        <v>20.62</v>
      </c>
      <c r="I3953" s="1">
        <v>129.5</v>
      </c>
      <c r="J3953" s="16">
        <v>287944.6116377716</v>
      </c>
      <c r="K3953" s="5">
        <v>0.1289781581999655</v>
      </c>
      <c r="L3953" s="10">
        <v>644373.62049999996</v>
      </c>
    </row>
    <row r="3954" spans="1:12" x14ac:dyDescent="0.25">
      <c r="A3954">
        <v>3953</v>
      </c>
      <c r="B3954" s="3">
        <v>0.1165427097492505</v>
      </c>
      <c r="C3954" s="3">
        <v>5.8698164381535842E-2</v>
      </c>
      <c r="D3954" s="1">
        <v>252234.62991554142</v>
      </c>
      <c r="E3954" s="1">
        <v>7749349</v>
      </c>
      <c r="F3954" s="1">
        <v>39885634</v>
      </c>
      <c r="G3954" s="16">
        <v>30825.344340933309</v>
      </c>
      <c r="H3954">
        <v>97.35</v>
      </c>
      <c r="I3954" s="1">
        <v>272.65999999999997</v>
      </c>
      <c r="J3954" s="16">
        <v>283059.9742564747</v>
      </c>
      <c r="K3954" s="5">
        <v>1.8960144662154191E-2</v>
      </c>
      <c r="L3954" s="10">
        <v>104836.3817</v>
      </c>
    </row>
    <row r="3955" spans="1:12" x14ac:dyDescent="0.25">
      <c r="A3955">
        <v>3954</v>
      </c>
      <c r="B3955" s="3">
        <v>0.13123935301621775</v>
      </c>
      <c r="C3955" s="3">
        <v>4.1716074283942292E-2</v>
      </c>
      <c r="D3955" s="1">
        <v>146126.34365691591</v>
      </c>
      <c r="E3955" s="1">
        <v>4800983</v>
      </c>
      <c r="F3955" s="1">
        <v>22707832</v>
      </c>
      <c r="G3955" s="16">
        <v>45020.422480010515</v>
      </c>
      <c r="H3955">
        <v>181.6</v>
      </c>
      <c r="I3955" s="1">
        <v>538.24</v>
      </c>
      <c r="J3955" s="16">
        <v>191146.76613692642</v>
      </c>
      <c r="K3955" s="5">
        <v>0.15930150713589541</v>
      </c>
      <c r="L3955" s="10">
        <v>582104.44039999996</v>
      </c>
    </row>
    <row r="3956" spans="1:12" x14ac:dyDescent="0.25">
      <c r="A3956">
        <v>3955</v>
      </c>
      <c r="B3956" s="3">
        <v>0.13133603461546572</v>
      </c>
      <c r="C3956" s="3">
        <v>6.2665334264300085E-2</v>
      </c>
      <c r="D3956" s="1">
        <v>127839.85194467079</v>
      </c>
      <c r="E3956" s="1">
        <v>4202059</v>
      </c>
      <c r="F3956" s="1">
        <v>25511624</v>
      </c>
      <c r="G3956" s="16">
        <v>17091.998946188378</v>
      </c>
      <c r="H3956">
        <v>51.93</v>
      </c>
      <c r="I3956" s="1">
        <v>179.6</v>
      </c>
      <c r="J3956" s="16">
        <v>144931.85089085918</v>
      </c>
      <c r="K3956" s="5">
        <v>0.15758540029045479</v>
      </c>
      <c r="L3956" s="10">
        <v>285021.70010000002</v>
      </c>
    </row>
    <row r="3957" spans="1:12" x14ac:dyDescent="0.25">
      <c r="A3957">
        <v>3956</v>
      </c>
      <c r="B3957" s="3">
        <v>0.24281000217616622</v>
      </c>
      <c r="C3957" s="3">
        <v>2.8085666100334833E-2</v>
      </c>
      <c r="D3957" s="1">
        <v>219420.32339046051</v>
      </c>
      <c r="E3957" s="1">
        <v>16498921</v>
      </c>
      <c r="F3957" s="1">
        <v>67956420</v>
      </c>
      <c r="G3957" s="16">
        <v>25887.055294404774</v>
      </c>
      <c r="H3957">
        <v>272.91000000000003</v>
      </c>
      <c r="I3957" s="1">
        <v>629.93000000000006</v>
      </c>
      <c r="J3957" s="16">
        <v>245307.37868486528</v>
      </c>
      <c r="K3957" s="5">
        <v>-6.3215196608742197E-2</v>
      </c>
      <c r="L3957" s="10">
        <v>-416543.5221</v>
      </c>
    </row>
    <row r="3958" spans="1:12" x14ac:dyDescent="0.25">
      <c r="A3958">
        <v>3957</v>
      </c>
      <c r="B3958" s="3">
        <v>0.24844693896207959</v>
      </c>
      <c r="C3958" s="3">
        <v>5.0323483597469729E-2</v>
      </c>
      <c r="D3958" s="1">
        <v>96386.850770523903</v>
      </c>
      <c r="E3958" s="1">
        <v>5654337</v>
      </c>
      <c r="F3958" s="1">
        <v>22095178</v>
      </c>
      <c r="G3958" s="16">
        <v>22339.142954961673</v>
      </c>
      <c r="H3958">
        <v>330.1</v>
      </c>
      <c r="I3958" s="1">
        <v>865.54</v>
      </c>
      <c r="J3958" s="16">
        <v>118725.99372548558</v>
      </c>
      <c r="K3958" s="5">
        <v>0.12356433654631803</v>
      </c>
      <c r="L3958" s="10">
        <v>224549.899</v>
      </c>
    </row>
    <row r="3959" spans="1:12" x14ac:dyDescent="0.25">
      <c r="A3959">
        <v>3958</v>
      </c>
      <c r="B3959" s="3">
        <v>0.22045930272677947</v>
      </c>
      <c r="C3959" s="3">
        <v>7.781037265891122E-2</v>
      </c>
      <c r="D3959" s="1">
        <v>71100.751816288917</v>
      </c>
      <c r="E3959" s="1">
        <v>3603478</v>
      </c>
      <c r="F3959" s="1">
        <v>22743809</v>
      </c>
      <c r="G3959" s="16">
        <v>16950.151473770846</v>
      </c>
      <c r="H3959">
        <v>145.59</v>
      </c>
      <c r="I3959" s="1">
        <v>588.86</v>
      </c>
      <c r="J3959" s="16">
        <v>88050.903290059767</v>
      </c>
      <c r="K3959" s="5">
        <v>9.1367146960742274E-2</v>
      </c>
      <c r="L3959" s="10">
        <v>102426.0463</v>
      </c>
    </row>
    <row r="3960" spans="1:12" x14ac:dyDescent="0.25">
      <c r="A3960">
        <v>3959</v>
      </c>
      <c r="B3960" s="3">
        <v>0.23924036033398907</v>
      </c>
      <c r="C3960" s="3">
        <v>6.402340597838159E-2</v>
      </c>
      <c r="D3960" s="1">
        <v>51024.550784631123</v>
      </c>
      <c r="E3960" s="1">
        <v>2168901</v>
      </c>
      <c r="F3960" s="1">
        <v>14012380</v>
      </c>
      <c r="G3960" s="16">
        <v>18969.962621521125</v>
      </c>
      <c r="H3960">
        <v>147.22999999999999</v>
      </c>
      <c r="I3960" s="1">
        <v>370.43</v>
      </c>
      <c r="J3960" s="16">
        <v>69994.513406152255</v>
      </c>
      <c r="K3960" s="5">
        <v>0.14077508864209606</v>
      </c>
      <c r="L3960" s="10">
        <v>113409.42690000001</v>
      </c>
    </row>
    <row r="3961" spans="1:12" x14ac:dyDescent="0.25">
      <c r="A3961">
        <v>3960</v>
      </c>
      <c r="B3961" s="3">
        <v>0.139033030337258</v>
      </c>
      <c r="C3961" s="3">
        <v>7.376655556115129E-2</v>
      </c>
      <c r="D3961" s="1">
        <v>140715.95556383868</v>
      </c>
      <c r="E3961" s="1">
        <v>4126544</v>
      </c>
      <c r="F3961" s="1">
        <v>21261551</v>
      </c>
      <c r="G3961" s="16">
        <v>25250.047092267323</v>
      </c>
      <c r="H3961">
        <v>93.37</v>
      </c>
      <c r="I3961" s="1">
        <v>252.32</v>
      </c>
      <c r="J3961" s="16">
        <v>165966.00265610599</v>
      </c>
      <c r="K3961" s="5">
        <v>-8.2091817685809865E-2</v>
      </c>
      <c r="L3961" s="10">
        <v>-123218.13400000001</v>
      </c>
    </row>
    <row r="3962" spans="1:12" x14ac:dyDescent="0.25">
      <c r="A3962">
        <v>3961</v>
      </c>
      <c r="B3962" s="3">
        <v>0.17243443556758337</v>
      </c>
      <c r="C3962" s="3">
        <v>4.5677597073007239E-2</v>
      </c>
      <c r="D3962" s="1">
        <v>163863.30875389618</v>
      </c>
      <c r="E3962" s="1">
        <v>6538455</v>
      </c>
      <c r="F3962" s="1">
        <v>32616449</v>
      </c>
      <c r="G3962" s="16">
        <v>49544.924117660965</v>
      </c>
      <c r="H3962">
        <v>280.41000000000003</v>
      </c>
      <c r="I3962" s="1">
        <v>701.69</v>
      </c>
      <c r="J3962" s="16">
        <v>213408.23287155715</v>
      </c>
      <c r="K3962" s="5">
        <v>0.12431435431517107</v>
      </c>
      <c r="L3962" s="10">
        <v>457386.59399999998</v>
      </c>
    </row>
    <row r="3963" spans="1:12" x14ac:dyDescent="0.25">
      <c r="A3963">
        <v>3962</v>
      </c>
      <c r="B3963" s="3">
        <v>0.11587596273266207</v>
      </c>
      <c r="C3963" s="3">
        <v>5.6005117699610682E-2</v>
      </c>
      <c r="D3963" s="1">
        <v>67114.974815153982</v>
      </c>
      <c r="E3963" s="1">
        <v>1817539</v>
      </c>
      <c r="F3963" s="1">
        <v>13812692</v>
      </c>
      <c r="G3963" s="16">
        <v>46676.435102187068</v>
      </c>
      <c r="H3963">
        <v>166.27</v>
      </c>
      <c r="I3963" s="1">
        <v>502.26</v>
      </c>
      <c r="J3963" s="16">
        <v>113791.40991734105</v>
      </c>
      <c r="K3963" s="5">
        <v>0.16888581426305421</v>
      </c>
      <c r="L3963" s="10">
        <v>282163.69170000002</v>
      </c>
    </row>
    <row r="3964" spans="1:12" x14ac:dyDescent="0.25">
      <c r="A3964">
        <v>3963</v>
      </c>
      <c r="B3964" s="3">
        <v>0.15691050470042314</v>
      </c>
      <c r="C3964" s="3">
        <v>6.0072659365494011E-2</v>
      </c>
      <c r="D3964" s="1">
        <v>116757.59097541933</v>
      </c>
      <c r="E3964" s="1">
        <v>4325072</v>
      </c>
      <c r="F3964" s="1">
        <v>21646222</v>
      </c>
      <c r="G3964" s="16">
        <v>15086.680253438526</v>
      </c>
      <c r="H3964">
        <v>63.23</v>
      </c>
      <c r="I3964" s="1">
        <v>278.18</v>
      </c>
      <c r="J3964" s="16">
        <v>131844.27122885786</v>
      </c>
      <c r="K3964" s="5">
        <v>0.10583910364711172</v>
      </c>
      <c r="L3964" s="10">
        <v>189973.1274</v>
      </c>
    </row>
    <row r="3965" spans="1:12" x14ac:dyDescent="0.25">
      <c r="A3965">
        <v>3964</v>
      </c>
      <c r="B3965" s="3">
        <v>0.17919610191215124</v>
      </c>
      <c r="C3965" s="3">
        <v>4.775386316877641E-2</v>
      </c>
      <c r="D3965" s="1">
        <v>147685.86435567407</v>
      </c>
      <c r="E3965" s="1">
        <v>6089534</v>
      </c>
      <c r="F3965" s="1">
        <v>29768070</v>
      </c>
      <c r="G3965" s="16">
        <v>16496.549017226283</v>
      </c>
      <c r="H3965">
        <v>98.81</v>
      </c>
      <c r="I3965" s="1">
        <v>422.57</v>
      </c>
      <c r="J3965" s="16">
        <v>164182.41337290037</v>
      </c>
      <c r="K3965" s="5">
        <v>4.14034607081828E-2</v>
      </c>
      <c r="L3965" s="10">
        <v>141821.09179999999</v>
      </c>
    </row>
    <row r="3966" spans="1:12" x14ac:dyDescent="0.25">
      <c r="A3966">
        <v>3965</v>
      </c>
      <c r="B3966" s="3">
        <v>0.14227341585271469</v>
      </c>
      <c r="C3966" s="3">
        <v>6.4490718245042669E-2</v>
      </c>
      <c r="D3966" s="1">
        <v>71384.069745915869</v>
      </c>
      <c r="E3966" s="1">
        <v>2117180</v>
      </c>
      <c r="F3966" s="1">
        <v>14045580</v>
      </c>
      <c r="G3966" s="16">
        <v>41669.662080273134</v>
      </c>
      <c r="H3966">
        <v>183.72</v>
      </c>
      <c r="I3966" s="1">
        <v>595.4</v>
      </c>
      <c r="J3966" s="16">
        <v>113053.731826189</v>
      </c>
      <c r="K3966" s="5">
        <v>0.10202648338471343</v>
      </c>
      <c r="L3966" s="10">
        <v>144097.36420000001</v>
      </c>
    </row>
    <row r="3967" spans="1:12" x14ac:dyDescent="0.25">
      <c r="A3967">
        <v>3966</v>
      </c>
      <c r="B3967" s="3">
        <v>0.10808803933941633</v>
      </c>
      <c r="C3967" s="3">
        <v>7.71781363456229E-2</v>
      </c>
      <c r="D3967" s="1">
        <v>688084.90126636671</v>
      </c>
      <c r="E3967" s="1">
        <v>22815757</v>
      </c>
      <c r="F3967" s="1">
        <v>66195775</v>
      </c>
      <c r="G3967" s="16">
        <v>32894.520694250859</v>
      </c>
      <c r="H3967">
        <v>98.34</v>
      </c>
      <c r="I3967" s="1">
        <v>340.15999999999997</v>
      </c>
      <c r="J3967" s="16">
        <v>720979.42196061753</v>
      </c>
      <c r="K3967" s="5">
        <v>4.2361644487513291E-2</v>
      </c>
      <c r="L3967" s="10">
        <v>286183.57520000002</v>
      </c>
    </row>
    <row r="3968" spans="1:12" x14ac:dyDescent="0.25">
      <c r="A3968">
        <v>3967</v>
      </c>
      <c r="B3968" s="3">
        <v>0.19143680723029627</v>
      </c>
      <c r="C3968" s="3">
        <v>5.8747934122806697E-2</v>
      </c>
      <c r="D3968" s="1">
        <v>245688.67596307909</v>
      </c>
      <c r="E3968" s="1">
        <v>13305094</v>
      </c>
      <c r="F3968" s="1">
        <v>56364499</v>
      </c>
      <c r="G3968" s="16">
        <v>9563.0605924431529</v>
      </c>
      <c r="H3968">
        <v>41.56</v>
      </c>
      <c r="I3968" s="1">
        <v>153.22</v>
      </c>
      <c r="J3968" s="16">
        <v>255251.73655552225</v>
      </c>
      <c r="K3968" s="5">
        <v>8.6983043161651591E-2</v>
      </c>
      <c r="L3968" s="10">
        <v>335352.85399999999</v>
      </c>
    </row>
    <row r="3969" spans="1:12" x14ac:dyDescent="0.25">
      <c r="A3969">
        <v>3968</v>
      </c>
      <c r="B3969" s="3">
        <v>0.1391101804106524</v>
      </c>
      <c r="C3969" s="3">
        <v>3.1507595979018005E-2</v>
      </c>
      <c r="D3969" s="1">
        <v>50639.78284481763</v>
      </c>
      <c r="E3969" s="1">
        <v>1485429</v>
      </c>
      <c r="F3969" s="1">
        <v>14966140</v>
      </c>
      <c r="G3969" s="16">
        <v>17310.36264449693</v>
      </c>
      <c r="H3969">
        <v>64.010000000000005</v>
      </c>
      <c r="I3969" s="1">
        <v>227.51999999999998</v>
      </c>
      <c r="J3969" s="16">
        <v>67950.145489314556</v>
      </c>
      <c r="K3969" s="5">
        <v>9.715701106380939E-2</v>
      </c>
      <c r="L3969" s="10">
        <v>195499.13589999999</v>
      </c>
    </row>
    <row r="3970" spans="1:12" x14ac:dyDescent="0.25">
      <c r="A3970">
        <v>3969</v>
      </c>
      <c r="B3970" s="3">
        <v>0.13834853746056258</v>
      </c>
      <c r="C3970" s="3">
        <v>5.2441701937588195E-2</v>
      </c>
      <c r="D3970" s="1">
        <v>39571.188293144412</v>
      </c>
      <c r="E3970" s="1">
        <v>1157677</v>
      </c>
      <c r="F3970" s="1">
        <v>10991359</v>
      </c>
      <c r="G3970" s="16">
        <v>22794.052703325124</v>
      </c>
      <c r="H3970">
        <v>83.76</v>
      </c>
      <c r="I3970" s="1">
        <v>306.3</v>
      </c>
      <c r="J3970" s="16">
        <v>62365.24099646954</v>
      </c>
      <c r="K3970" s="5">
        <v>0.2487950768063332</v>
      </c>
      <c r="L3970" s="10">
        <v>231307.76759999999</v>
      </c>
    </row>
    <row r="3971" spans="1:12" x14ac:dyDescent="0.25">
      <c r="A3971">
        <v>3970</v>
      </c>
      <c r="B3971" s="3">
        <v>0.12799348979547776</v>
      </c>
      <c r="C3971" s="3">
        <v>4.1661083568951145E-2</v>
      </c>
      <c r="D3971" s="1">
        <v>104884.54084591311</v>
      </c>
      <c r="E3971" s="1">
        <v>2960432</v>
      </c>
      <c r="F3971" s="1">
        <v>12717679</v>
      </c>
      <c r="G3971" s="16">
        <v>29953.567928473294</v>
      </c>
      <c r="H3971">
        <v>102.44</v>
      </c>
      <c r="I3971" s="1">
        <v>364.5</v>
      </c>
      <c r="J3971" s="16">
        <v>134838.1087743864</v>
      </c>
      <c r="K3971" s="5">
        <v>6.2604170880907584E-2</v>
      </c>
      <c r="L3971" s="10">
        <v>170343.41769999999</v>
      </c>
    </row>
    <row r="3972" spans="1:12" x14ac:dyDescent="0.25">
      <c r="A3972">
        <v>3971</v>
      </c>
      <c r="B3972" s="3">
        <v>0.21309285805163503</v>
      </c>
      <c r="C3972" s="3">
        <v>4.8945223118210035E-2</v>
      </c>
      <c r="D3972" s="1">
        <v>98600.167597821026</v>
      </c>
      <c r="E3972" s="1">
        <v>4812672</v>
      </c>
      <c r="F3972" s="1">
        <v>36322099</v>
      </c>
      <c r="G3972" s="16">
        <v>33023.378527424902</v>
      </c>
      <c r="H3972">
        <v>266.08</v>
      </c>
      <c r="I3972" s="1">
        <v>758.25</v>
      </c>
      <c r="J3972" s="16">
        <v>131623.54612524592</v>
      </c>
      <c r="K3972" s="5">
        <v>0.1275811313297654</v>
      </c>
      <c r="L3972" s="10">
        <v>260034.55009999999</v>
      </c>
    </row>
    <row r="3973" spans="1:12" x14ac:dyDescent="0.25">
      <c r="A3973">
        <v>3972</v>
      </c>
      <c r="B3973" s="3">
        <v>0.18643576182935062</v>
      </c>
      <c r="C3973" s="3">
        <v>5.2293400781698765E-2</v>
      </c>
      <c r="D3973" s="1">
        <v>56055.56187261227</v>
      </c>
      <c r="E3973" s="1">
        <v>1948256</v>
      </c>
      <c r="F3973" s="1">
        <v>15332664</v>
      </c>
      <c r="G3973" s="16">
        <v>22159.652460894627</v>
      </c>
      <c r="H3973">
        <v>141.29</v>
      </c>
      <c r="I3973" s="1">
        <v>487.95000000000005</v>
      </c>
      <c r="J3973" s="16">
        <v>78215.214333506898</v>
      </c>
      <c r="K3973" s="5">
        <v>-4.4299157000584628E-2</v>
      </c>
      <c r="L3973" s="10">
        <v>-34925.309300000001</v>
      </c>
    </row>
    <row r="3974" spans="1:12" x14ac:dyDescent="0.25">
      <c r="A3974">
        <v>3973</v>
      </c>
      <c r="B3974" s="3">
        <v>0.20224751431020394</v>
      </c>
      <c r="C3974" s="3">
        <v>7.3866171421136634E-2</v>
      </c>
      <c r="D3974" s="1">
        <v>113966.76054901046</v>
      </c>
      <c r="E3974" s="1">
        <v>5266329</v>
      </c>
      <c r="F3974" s="1">
        <v>26629211</v>
      </c>
      <c r="G3974" s="16">
        <v>16597.863804154465</v>
      </c>
      <c r="H3974">
        <v>97.06</v>
      </c>
      <c r="I3974" s="1">
        <v>300.76</v>
      </c>
      <c r="J3974" s="16">
        <v>130564.62435316492</v>
      </c>
      <c r="K3974" s="5">
        <v>1.7518801435382064E-3</v>
      </c>
      <c r="L3974" s="10">
        <v>35145.077799999999</v>
      </c>
    </row>
    <row r="3975" spans="1:12" x14ac:dyDescent="0.25">
      <c r="A3975">
        <v>3974</v>
      </c>
      <c r="B3975" s="3">
        <v>0.15493764790558179</v>
      </c>
      <c r="C3975" s="3">
        <v>4.2031437459063799E-2</v>
      </c>
      <c r="D3975" s="1">
        <v>406798.44570116786</v>
      </c>
      <c r="E3975" s="1">
        <v>17665987</v>
      </c>
      <c r="F3975" s="1">
        <v>59926788</v>
      </c>
      <c r="G3975" s="16">
        <v>27203.985799370905</v>
      </c>
      <c r="H3975">
        <v>133</v>
      </c>
      <c r="I3975" s="1">
        <v>476.74</v>
      </c>
      <c r="J3975" s="16">
        <v>434002.43150053878</v>
      </c>
      <c r="K3975" s="5">
        <v>0.15310945378933691</v>
      </c>
      <c r="L3975" s="10">
        <v>1217613.6402</v>
      </c>
    </row>
    <row r="3976" spans="1:12" x14ac:dyDescent="0.25">
      <c r="A3976">
        <v>3975</v>
      </c>
      <c r="B3976" s="3">
        <v>0.23882057422739961</v>
      </c>
      <c r="C3976" s="3">
        <v>3.4293414201598454E-2</v>
      </c>
      <c r="D3976" s="1">
        <v>111914.54195088365</v>
      </c>
      <c r="E3976" s="1">
        <v>4749290</v>
      </c>
      <c r="F3976" s="1">
        <v>20488926</v>
      </c>
      <c r="G3976" s="16">
        <v>10029.495821892835</v>
      </c>
      <c r="H3976">
        <v>101.88</v>
      </c>
      <c r="I3976" s="1">
        <v>387.09</v>
      </c>
      <c r="J3976" s="16">
        <v>121944.03777277649</v>
      </c>
      <c r="K3976" s="5">
        <v>0.10907065127680723</v>
      </c>
      <c r="L3976" s="10">
        <v>344586.83919999999</v>
      </c>
    </row>
    <row r="3977" spans="1:12" x14ac:dyDescent="0.25">
      <c r="A3977">
        <v>3976</v>
      </c>
      <c r="B3977" s="3">
        <v>0.12392189186904798</v>
      </c>
      <c r="C3977" s="3">
        <v>7.5017580759231317E-2</v>
      </c>
      <c r="D3977" s="1">
        <v>101708.23489914092</v>
      </c>
      <c r="E3977" s="1">
        <v>2830938</v>
      </c>
      <c r="F3977" s="1">
        <v>14071249</v>
      </c>
      <c r="G3977" s="16">
        <v>50508.741718245532</v>
      </c>
      <c r="H3977">
        <v>192.1</v>
      </c>
      <c r="I3977" s="1">
        <v>477.57000000000005</v>
      </c>
      <c r="J3977" s="16">
        <v>152216.97661738645</v>
      </c>
      <c r="K3977" s="5">
        <v>0.12625106995091828</v>
      </c>
      <c r="L3977" s="10">
        <v>177137.97750000001</v>
      </c>
    </row>
    <row r="3978" spans="1:12" x14ac:dyDescent="0.25">
      <c r="A3978">
        <v>3977</v>
      </c>
      <c r="B3978" s="3">
        <v>0.23419236330063692</v>
      </c>
      <c r="C3978" s="3">
        <v>4.3444814085320527E-2</v>
      </c>
      <c r="D3978" s="1">
        <v>119071.73071172021</v>
      </c>
      <c r="E3978" s="1">
        <v>4961954</v>
      </c>
      <c r="F3978" s="1">
        <v>20602033</v>
      </c>
      <c r="G3978" s="16">
        <v>11169.205546473837</v>
      </c>
      <c r="H3978">
        <v>83.29</v>
      </c>
      <c r="I3978" s="1">
        <v>270.3</v>
      </c>
      <c r="J3978" s="16">
        <v>130240.93625819405</v>
      </c>
      <c r="K3978" s="5">
        <v>9.5932905081272751E-2</v>
      </c>
      <c r="L3978" s="10">
        <v>239090.21460000001</v>
      </c>
    </row>
    <row r="3979" spans="1:12" x14ac:dyDescent="0.25">
      <c r="A3979">
        <v>3978</v>
      </c>
      <c r="B3979" s="3">
        <v>0.24979835612263751</v>
      </c>
      <c r="C3979" s="3">
        <v>4.7616092149922351E-2</v>
      </c>
      <c r="D3979" s="1">
        <v>86838.326052468852</v>
      </c>
      <c r="E3979" s="1">
        <v>3849275</v>
      </c>
      <c r="F3979" s="1">
        <v>16546677</v>
      </c>
      <c r="G3979" s="16">
        <v>16175.257758775826</v>
      </c>
      <c r="H3979">
        <v>181.65</v>
      </c>
      <c r="I3979" s="1">
        <v>545.23</v>
      </c>
      <c r="J3979" s="16">
        <v>103013.58381124468</v>
      </c>
      <c r="K3979" s="5">
        <v>0.2117835962829368</v>
      </c>
      <c r="L3979" s="10">
        <v>338420.85110000003</v>
      </c>
    </row>
    <row r="3980" spans="1:12" x14ac:dyDescent="0.25">
      <c r="A3980">
        <v>3979</v>
      </c>
      <c r="B3980" s="3">
        <v>0.19216284249875146</v>
      </c>
      <c r="C3980" s="3">
        <v>3.0603455017135968E-2</v>
      </c>
      <c r="D3980" s="1">
        <v>166814.85098961822</v>
      </c>
      <c r="E3980" s="1">
        <v>7330650</v>
      </c>
      <c r="F3980" s="1">
        <v>27926455</v>
      </c>
      <c r="G3980" s="16">
        <v>13242.421882496063</v>
      </c>
      <c r="H3980">
        <v>71.75</v>
      </c>
      <c r="I3980" s="1">
        <v>266.38</v>
      </c>
      <c r="J3980" s="16">
        <v>180057.27287211429</v>
      </c>
      <c r="K3980" s="5">
        <v>0.281497124704014</v>
      </c>
      <c r="L3980" s="10">
        <v>1376204.3038000001</v>
      </c>
    </row>
    <row r="3981" spans="1:12" x14ac:dyDescent="0.25">
      <c r="A3981">
        <v>3980</v>
      </c>
      <c r="B3981" s="3">
        <v>0.12500467378591812</v>
      </c>
      <c r="C3981" s="3">
        <v>5.6825509446733327E-2</v>
      </c>
      <c r="D3981" s="1">
        <v>656985.22995363676</v>
      </c>
      <c r="E3981" s="1">
        <v>23973415</v>
      </c>
      <c r="F3981" s="1">
        <v>76816321</v>
      </c>
      <c r="G3981" s="16">
        <v>25922.310150869893</v>
      </c>
      <c r="H3981">
        <v>99.35</v>
      </c>
      <c r="I3981" s="1">
        <v>399.96000000000004</v>
      </c>
      <c r="J3981" s="16">
        <v>682907.54010450665</v>
      </c>
      <c r="K3981" s="5">
        <v>2.8536988591196383E-2</v>
      </c>
      <c r="L3981" s="10">
        <v>236988.28020000001</v>
      </c>
    </row>
    <row r="3982" spans="1:12" x14ac:dyDescent="0.25">
      <c r="A3982">
        <v>3981</v>
      </c>
      <c r="B3982" s="3">
        <v>0.19294467486917033</v>
      </c>
      <c r="C3982" s="3">
        <v>5.7171026670655462E-2</v>
      </c>
      <c r="D3982" s="1">
        <v>70045.21346370691</v>
      </c>
      <c r="E3982" s="1">
        <v>2493858</v>
      </c>
      <c r="F3982" s="1">
        <v>14658447</v>
      </c>
      <c r="G3982" s="16">
        <v>32060.800890037692</v>
      </c>
      <c r="H3982">
        <v>215.76</v>
      </c>
      <c r="I3982" s="1">
        <v>705.96</v>
      </c>
      <c r="J3982" s="16">
        <v>102106.0143537446</v>
      </c>
      <c r="K3982" s="5">
        <v>0.1483931600220488</v>
      </c>
      <c r="L3982" s="10">
        <v>210588.35649999999</v>
      </c>
    </row>
    <row r="3983" spans="1:12" x14ac:dyDescent="0.25">
      <c r="A3983">
        <v>3982</v>
      </c>
      <c r="B3983" s="3">
        <v>0.23150308415763096</v>
      </c>
      <c r="C3983" s="3">
        <v>4.8180384397699866E-2</v>
      </c>
      <c r="D3983" s="1">
        <v>49642.336413614736</v>
      </c>
      <c r="E3983" s="1">
        <v>2047051</v>
      </c>
      <c r="F3983" s="1">
        <v>14516708</v>
      </c>
      <c r="G3983" s="16">
        <v>5923.8045084217229</v>
      </c>
      <c r="H3983">
        <v>33.26</v>
      </c>
      <c r="I3983" s="1">
        <v>135.88</v>
      </c>
      <c r="J3983" s="16">
        <v>55566.140922036459</v>
      </c>
      <c r="K3983" s="5">
        <v>1.9381303898725413E-2</v>
      </c>
      <c r="L3983" s="10">
        <v>28540.083900000001</v>
      </c>
    </row>
    <row r="3984" spans="1:12" x14ac:dyDescent="0.25">
      <c r="A3984">
        <v>3983</v>
      </c>
      <c r="B3984" s="3">
        <v>0.17761314369296227</v>
      </c>
      <c r="C3984" s="3">
        <v>4.0856093732848042E-2</v>
      </c>
      <c r="D3984" s="1">
        <v>138657.67924074983</v>
      </c>
      <c r="E3984" s="1">
        <v>5673384</v>
      </c>
      <c r="F3984" s="1">
        <v>24410037</v>
      </c>
      <c r="G3984" s="16">
        <v>27100.923967651215</v>
      </c>
      <c r="H3984">
        <v>160.21</v>
      </c>
      <c r="I3984" s="1">
        <v>511.85</v>
      </c>
      <c r="J3984" s="16">
        <v>165758.60320840104</v>
      </c>
      <c r="K3984" s="5">
        <v>2.8490227136086017E-2</v>
      </c>
      <c r="L3984" s="10">
        <v>103942.2674</v>
      </c>
    </row>
    <row r="3985" spans="1:12" x14ac:dyDescent="0.25">
      <c r="A3985">
        <v>3984</v>
      </c>
      <c r="B3985" s="3">
        <v>0.17946070850293733</v>
      </c>
      <c r="C3985" s="3">
        <v>3.2783455466688684E-2</v>
      </c>
      <c r="D3985" s="1">
        <v>42243.097595138104</v>
      </c>
      <c r="E3985" s="1">
        <v>1174251</v>
      </c>
      <c r="F3985" s="1">
        <v>8532779</v>
      </c>
      <c r="G3985" s="16">
        <v>15291.093119081159</v>
      </c>
      <c r="H3985">
        <v>75.27</v>
      </c>
      <c r="I3985" s="1">
        <v>262.99</v>
      </c>
      <c r="J3985" s="16">
        <v>57534.190714219265</v>
      </c>
      <c r="K3985" s="5">
        <v>-4.0899920506266771E-2</v>
      </c>
      <c r="L3985" s="10">
        <v>-40542.210899999998</v>
      </c>
    </row>
    <row r="3986" spans="1:12" x14ac:dyDescent="0.25">
      <c r="A3986">
        <v>3985</v>
      </c>
      <c r="B3986" s="3">
        <v>0.13354341540371828</v>
      </c>
      <c r="C3986" s="3">
        <v>2.6596376228959967E-2</v>
      </c>
      <c r="D3986" s="1">
        <v>60266.167457785865</v>
      </c>
      <c r="E3986" s="1">
        <v>1733947</v>
      </c>
      <c r="F3986" s="1">
        <v>12527272</v>
      </c>
      <c r="G3986" s="16">
        <v>38408.893279348209</v>
      </c>
      <c r="H3986">
        <v>136.94</v>
      </c>
      <c r="I3986" s="1">
        <v>325.45999999999998</v>
      </c>
      <c r="J3986" s="16">
        <v>98675.060737134074</v>
      </c>
      <c r="K3986" s="5">
        <v>0.18827159024329548</v>
      </c>
      <c r="L3986" s="10">
        <v>625618.00300000003</v>
      </c>
    </row>
    <row r="3987" spans="1:12" x14ac:dyDescent="0.25">
      <c r="A3987">
        <v>3986</v>
      </c>
      <c r="B3987" s="3">
        <v>0.17866854571024438</v>
      </c>
      <c r="C3987" s="3">
        <v>6.187974783431982E-2</v>
      </c>
      <c r="D3987" s="1">
        <v>170942.61919722051</v>
      </c>
      <c r="E3987" s="1">
        <v>5774282</v>
      </c>
      <c r="F3987" s="1">
        <v>19961424</v>
      </c>
      <c r="G3987" s="16">
        <v>41066.91563355337</v>
      </c>
      <c r="H3987">
        <v>245.36</v>
      </c>
      <c r="I3987" s="1">
        <v>613.03</v>
      </c>
      <c r="J3987" s="16">
        <v>212009.53483077389</v>
      </c>
      <c r="K3987" s="5">
        <v>8.4179502740013526E-2</v>
      </c>
      <c r="L3987" s="10">
        <v>203368.85870000001</v>
      </c>
    </row>
    <row r="3988" spans="1:12" x14ac:dyDescent="0.25">
      <c r="A3988">
        <v>3987</v>
      </c>
      <c r="B3988" s="3">
        <v>0.22013549756963241</v>
      </c>
      <c r="C3988" s="3">
        <v>3.5916410006316679E-2</v>
      </c>
      <c r="D3988" s="1">
        <v>111483.81301144056</v>
      </c>
      <c r="E3988" s="1">
        <v>5640757</v>
      </c>
      <c r="F3988" s="1">
        <v>23824151</v>
      </c>
      <c r="G3988" s="16">
        <v>18885.244638233507</v>
      </c>
      <c r="H3988">
        <v>162.27000000000001</v>
      </c>
      <c r="I3988" s="1">
        <v>510.53</v>
      </c>
      <c r="J3988" s="16">
        <v>130369.05764967407</v>
      </c>
      <c r="K3988" s="5">
        <v>6.9260887817451239E-2</v>
      </c>
      <c r="L3988" s="10">
        <v>205161.40779999999</v>
      </c>
    </row>
    <row r="3989" spans="1:12" x14ac:dyDescent="0.25">
      <c r="A3989">
        <v>3988</v>
      </c>
      <c r="B3989" s="3">
        <v>0.21009937303509341</v>
      </c>
      <c r="C3989" s="3">
        <v>6.2332840347575788E-2</v>
      </c>
      <c r="D3989" s="1">
        <v>29775.952600613004</v>
      </c>
      <c r="E3989" s="1">
        <v>893149</v>
      </c>
      <c r="F3989" s="1">
        <v>8931393</v>
      </c>
      <c r="G3989" s="16">
        <v>19977.948346142643</v>
      </c>
      <c r="H3989">
        <v>156.63999999999999</v>
      </c>
      <c r="I3989" s="1">
        <v>470.81999999999994</v>
      </c>
      <c r="J3989" s="16">
        <v>49753.900946755646</v>
      </c>
      <c r="K3989" s="5">
        <v>3.3822158118179943E-2</v>
      </c>
      <c r="L3989" s="10">
        <v>27990.5697</v>
      </c>
    </row>
    <row r="3990" spans="1:12" x14ac:dyDescent="0.25">
      <c r="A3990">
        <v>3989</v>
      </c>
      <c r="B3990" s="3">
        <v>0.20466147437663257</v>
      </c>
      <c r="C3990" s="3">
        <v>5.871372464734366E-2</v>
      </c>
      <c r="D3990" s="1">
        <v>238688.97447605836</v>
      </c>
      <c r="E3990" s="1">
        <v>14037023</v>
      </c>
      <c r="F3990" s="1">
        <v>62324814</v>
      </c>
      <c r="G3990" s="16">
        <v>20760.584852178821</v>
      </c>
      <c r="H3990">
        <v>155.12</v>
      </c>
      <c r="I3990" s="1">
        <v>478.89</v>
      </c>
      <c r="J3990" s="16">
        <v>259449.55932823717</v>
      </c>
      <c r="K3990" s="5">
        <v>0.15676762183950443</v>
      </c>
      <c r="L3990" s="10">
        <v>541909.07499999995</v>
      </c>
    </row>
    <row r="3991" spans="1:12" x14ac:dyDescent="0.25">
      <c r="A3991">
        <v>3990</v>
      </c>
      <c r="B3991" s="3">
        <v>0.14826413601467403</v>
      </c>
      <c r="C3991" s="3">
        <v>7.4353179818958781E-2</v>
      </c>
      <c r="D3991" s="1">
        <v>77867.679355353364</v>
      </c>
      <c r="E3991" s="1">
        <v>2358555</v>
      </c>
      <c r="F3991" s="1">
        <v>19248533</v>
      </c>
      <c r="G3991" s="16">
        <v>10502.608202485764</v>
      </c>
      <c r="H3991">
        <v>35.130000000000003</v>
      </c>
      <c r="I3991" s="1">
        <v>123</v>
      </c>
      <c r="J3991" s="16">
        <v>88370.287557839125</v>
      </c>
      <c r="K3991" s="5">
        <v>-7.7584810433361712E-2</v>
      </c>
      <c r="L3991" s="10">
        <v>-35815.215799999998</v>
      </c>
    </row>
    <row r="3992" spans="1:12" x14ac:dyDescent="0.25">
      <c r="A3992">
        <v>3991</v>
      </c>
      <c r="B3992" s="3">
        <v>0.16150382408277511</v>
      </c>
      <c r="C3992" s="3">
        <v>4.6483859746554931E-2</v>
      </c>
      <c r="D3992" s="1">
        <v>285549.46331615571</v>
      </c>
      <c r="E3992" s="1">
        <v>10811357</v>
      </c>
      <c r="F3992" s="1">
        <v>36300573</v>
      </c>
      <c r="G3992" s="16">
        <v>59237.228267549777</v>
      </c>
      <c r="H3992">
        <v>364.61</v>
      </c>
      <c r="I3992" s="1">
        <v>847.53</v>
      </c>
      <c r="J3992" s="16">
        <v>344786.69158370548</v>
      </c>
      <c r="K3992" s="5">
        <v>0.22955389360961609</v>
      </c>
      <c r="L3992" s="10">
        <v>1259431.1995000001</v>
      </c>
    </row>
    <row r="3993" spans="1:12" x14ac:dyDescent="0.25">
      <c r="A3993">
        <v>3992</v>
      </c>
      <c r="B3993" s="3">
        <v>0.15624188916784196</v>
      </c>
      <c r="C3993" s="3">
        <v>4.3941188715628146E-2</v>
      </c>
      <c r="D3993" s="1">
        <v>96291.177942106646</v>
      </c>
      <c r="E3993" s="1">
        <v>2531355</v>
      </c>
      <c r="F3993" s="1">
        <v>10395990</v>
      </c>
      <c r="G3993" s="16">
        <v>60319.04406254764</v>
      </c>
      <c r="H3993">
        <v>353.49</v>
      </c>
      <c r="I3993" s="1">
        <v>834.16</v>
      </c>
      <c r="J3993" s="16">
        <v>156610.22200465429</v>
      </c>
      <c r="K3993" s="5">
        <v>0.12800800649996766</v>
      </c>
      <c r="L3993" s="10">
        <v>336363.96480000002</v>
      </c>
    </row>
    <row r="3994" spans="1:12" x14ac:dyDescent="0.25">
      <c r="A3994">
        <v>3993</v>
      </c>
      <c r="B3994" s="3">
        <v>0.23698965261107977</v>
      </c>
      <c r="C3994" s="3">
        <v>6.7932028184197954E-2</v>
      </c>
      <c r="D3994" s="1">
        <v>172708.90910524339</v>
      </c>
      <c r="E3994" s="1">
        <v>12498719</v>
      </c>
      <c r="F3994" s="1">
        <v>61980650</v>
      </c>
      <c r="G3994" s="16">
        <v>19095.089462053751</v>
      </c>
      <c r="H3994">
        <v>191.03</v>
      </c>
      <c r="I3994" s="1">
        <v>507.45000000000005</v>
      </c>
      <c r="J3994" s="16">
        <v>191803.99856729715</v>
      </c>
      <c r="K3994" s="5">
        <v>-1.5580740083850485E-2</v>
      </c>
      <c r="L3994" s="10">
        <v>13504.596</v>
      </c>
    </row>
    <row r="3995" spans="1:12" x14ac:dyDescent="0.25">
      <c r="A3995">
        <v>3994</v>
      </c>
      <c r="B3995" s="3">
        <v>0.20560000017193625</v>
      </c>
      <c r="C3995" s="3">
        <v>3.4108978365498352E-2</v>
      </c>
      <c r="D3995" s="1">
        <v>143491.73589436352</v>
      </c>
      <c r="E3995" s="1">
        <v>5356877</v>
      </c>
      <c r="F3995" s="1">
        <v>18640014</v>
      </c>
      <c r="G3995" s="16">
        <v>16563.001379335234</v>
      </c>
      <c r="H3995">
        <v>124.76</v>
      </c>
      <c r="I3995" s="1">
        <v>491.27</v>
      </c>
      <c r="J3995" s="16">
        <v>160054.73727369876</v>
      </c>
      <c r="K3995" s="5">
        <v>1.8725946282341588E-2</v>
      </c>
      <c r="L3995" s="10">
        <v>94738.413499999995</v>
      </c>
    </row>
    <row r="3996" spans="1:12" x14ac:dyDescent="0.25">
      <c r="A3996">
        <v>3995</v>
      </c>
      <c r="B3996" s="3">
        <v>0.10161599793139922</v>
      </c>
      <c r="C3996" s="3">
        <v>3.3563068015322356E-2</v>
      </c>
      <c r="D3996" s="1">
        <v>77311.038279471584</v>
      </c>
      <c r="E3996" s="1">
        <v>1995532</v>
      </c>
      <c r="F3996" s="1">
        <v>11437590</v>
      </c>
      <c r="G3996" s="16">
        <v>71137.452325570033</v>
      </c>
      <c r="H3996">
        <v>226.38</v>
      </c>
      <c r="I3996" s="1">
        <v>577.75</v>
      </c>
      <c r="J3996" s="16">
        <v>148448.49060504162</v>
      </c>
      <c r="K3996" s="5">
        <v>0.13758655366518011</v>
      </c>
      <c r="L3996" s="10">
        <v>501174.05379999999</v>
      </c>
    </row>
    <row r="3997" spans="1:12" x14ac:dyDescent="0.25">
      <c r="A3997">
        <v>3996</v>
      </c>
      <c r="B3997" s="3">
        <v>0.18360751293576541</v>
      </c>
      <c r="C3997" s="3">
        <v>4.6858713638305211E-2</v>
      </c>
      <c r="D3997" s="1">
        <v>114555.08800436965</v>
      </c>
      <c r="E3997" s="1">
        <v>3940220</v>
      </c>
      <c r="F3997" s="1">
        <v>17825415</v>
      </c>
      <c r="G3997" s="16">
        <v>19801.307102009421</v>
      </c>
      <c r="H3997">
        <v>100.64</v>
      </c>
      <c r="I3997" s="1">
        <v>365.12</v>
      </c>
      <c r="J3997" s="16">
        <v>134356.39510637906</v>
      </c>
      <c r="K3997" s="5">
        <v>0.17733407606998372</v>
      </c>
      <c r="L3997" s="10">
        <v>394415.07510000002</v>
      </c>
    </row>
    <row r="3998" spans="1:12" x14ac:dyDescent="0.25">
      <c r="A3998">
        <v>3997</v>
      </c>
      <c r="B3998" s="3">
        <v>0.10323972876913862</v>
      </c>
      <c r="C3998" s="3">
        <v>3.4842105429711563E-2</v>
      </c>
      <c r="D3998" s="1">
        <v>150255.42648318713</v>
      </c>
      <c r="E3998" s="1">
        <v>4348380</v>
      </c>
      <c r="F3998" s="1">
        <v>29861687</v>
      </c>
      <c r="G3998" s="16">
        <v>70827.76600749002</v>
      </c>
      <c r="H3998">
        <v>228.46</v>
      </c>
      <c r="I3998" s="1">
        <v>734.36</v>
      </c>
      <c r="J3998" s="16">
        <v>221083.19249067715</v>
      </c>
      <c r="K3998" s="5">
        <v>4.364488712936436E-2</v>
      </c>
      <c r="L3998" s="10">
        <v>236250.53909999999</v>
      </c>
    </row>
    <row r="3999" spans="1:12" x14ac:dyDescent="0.25">
      <c r="A3999">
        <v>3998</v>
      </c>
      <c r="B3999" s="3">
        <v>0.18700073393701569</v>
      </c>
      <c r="C3999" s="3">
        <v>6.3335400089544774E-2</v>
      </c>
      <c r="D3999" s="1">
        <v>112567.68994565989</v>
      </c>
      <c r="E3999" s="1">
        <v>3920544</v>
      </c>
      <c r="F3999" s="1">
        <v>13999992</v>
      </c>
      <c r="G3999" s="16">
        <v>14526.117222327754</v>
      </c>
      <c r="H3999">
        <v>75.78</v>
      </c>
      <c r="I3999" s="1">
        <v>257.13</v>
      </c>
      <c r="J3999" s="16">
        <v>127093.80716798764</v>
      </c>
      <c r="K3999" s="5">
        <v>1.5472075270986443E-2</v>
      </c>
      <c r="L3999" s="10">
        <v>31967.122500000001</v>
      </c>
    </row>
    <row r="4000" spans="1:12" x14ac:dyDescent="0.25">
      <c r="A4000">
        <v>3999</v>
      </c>
      <c r="B4000" s="3">
        <v>0.22500346480241221</v>
      </c>
      <c r="C4000" s="3">
        <v>3.9058779431967082E-2</v>
      </c>
      <c r="D4000" s="1">
        <v>205918.01606707994</v>
      </c>
      <c r="E4000" s="1">
        <v>13784735</v>
      </c>
      <c r="F4000" s="1">
        <v>62078637</v>
      </c>
      <c r="G4000" s="16">
        <v>15114.211605111408</v>
      </c>
      <c r="H4000">
        <v>135.41999999999999</v>
      </c>
      <c r="I4000" s="1">
        <v>415.79999999999995</v>
      </c>
      <c r="J4000" s="16">
        <v>221032.22767219134</v>
      </c>
      <c r="K4000" s="5">
        <v>0.28453679980519903</v>
      </c>
      <c r="L4000" s="10">
        <v>1305159.4805000001</v>
      </c>
    </row>
    <row r="4001" spans="1:12" x14ac:dyDescent="0.25">
      <c r="A4001">
        <v>4000</v>
      </c>
      <c r="B4001" s="3">
        <v>0.1400362454493965</v>
      </c>
      <c r="C4001" s="3">
        <v>7.0848445286199851E-2</v>
      </c>
      <c r="D4001" s="1">
        <v>71464.720392251096</v>
      </c>
      <c r="E4001" s="1">
        <v>2103072</v>
      </c>
      <c r="F4001" s="1">
        <v>12260146</v>
      </c>
      <c r="G4001" s="16">
        <v>31526.365942939934</v>
      </c>
      <c r="H4001">
        <v>136.58000000000001</v>
      </c>
      <c r="I4001" s="1">
        <v>493.28000000000009</v>
      </c>
      <c r="J4001" s="16">
        <v>102991.08633519104</v>
      </c>
      <c r="K4001" s="5">
        <v>0.20181967204400614</v>
      </c>
      <c r="L4001" s="10">
        <v>199214.4472</v>
      </c>
    </row>
    <row r="4002" spans="1:12" x14ac:dyDescent="0.25">
      <c r="A4002">
        <v>4001</v>
      </c>
      <c r="B4002" s="3">
        <v>0.20220620299376224</v>
      </c>
      <c r="C4002" s="3">
        <v>5.5983877553824585E-2</v>
      </c>
      <c r="D4002" s="1">
        <v>215500.5221829075</v>
      </c>
      <c r="E4002" s="1">
        <v>9956080</v>
      </c>
      <c r="F4002" s="1">
        <v>38729228</v>
      </c>
      <c r="G4002" s="16">
        <v>16186.424452096788</v>
      </c>
      <c r="H4002">
        <v>94.34</v>
      </c>
      <c r="I4002" s="1">
        <v>314.08000000000004</v>
      </c>
      <c r="J4002" s="16">
        <v>231686.94663500428</v>
      </c>
      <c r="K4002" s="5">
        <v>6.6450449561747837E-2</v>
      </c>
      <c r="L4002" s="10">
        <v>223727.07639999999</v>
      </c>
    </row>
    <row r="4003" spans="1:12" x14ac:dyDescent="0.25">
      <c r="A4003">
        <v>4002</v>
      </c>
      <c r="B4003" s="3">
        <v>0.12000396226547069</v>
      </c>
      <c r="C4003" s="3">
        <v>5.0406633584310537E-2</v>
      </c>
      <c r="D4003" s="1">
        <v>200067.24996676261</v>
      </c>
      <c r="E4003" s="1">
        <v>6243906</v>
      </c>
      <c r="F4003" s="1">
        <v>21707261</v>
      </c>
      <c r="G4003" s="16">
        <v>28930.071612753251</v>
      </c>
      <c r="H4003">
        <v>93.67</v>
      </c>
      <c r="I4003" s="1">
        <v>321.14</v>
      </c>
      <c r="J4003" s="16">
        <v>228997.32157951588</v>
      </c>
      <c r="K4003" s="5">
        <v>7.460332474041384E-2</v>
      </c>
      <c r="L4003" s="10">
        <v>243214.59090000001</v>
      </c>
    </row>
    <row r="4004" spans="1:12" x14ac:dyDescent="0.25">
      <c r="A4004">
        <v>4003</v>
      </c>
      <c r="B4004" s="3">
        <v>0.16903042830538278</v>
      </c>
      <c r="C4004" s="3">
        <v>3.7374713943776325E-2</v>
      </c>
      <c r="D4004" s="1">
        <v>59766.382143280476</v>
      </c>
      <c r="E4004" s="1">
        <v>1949416</v>
      </c>
      <c r="F4004" s="1">
        <v>11196692</v>
      </c>
      <c r="G4004" s="16">
        <v>14438.765798004828</v>
      </c>
      <c r="H4004">
        <v>66.040000000000006</v>
      </c>
      <c r="I4004" s="1">
        <v>266.35000000000002</v>
      </c>
      <c r="J4004" s="16">
        <v>74205.147941285308</v>
      </c>
      <c r="K4004" s="5">
        <v>9.3700515139487628E-2</v>
      </c>
      <c r="L4004" s="10">
        <v>178613.42970000001</v>
      </c>
    </row>
    <row r="4005" spans="1:12" x14ac:dyDescent="0.25">
      <c r="A4005">
        <v>4004</v>
      </c>
      <c r="B4005" s="3">
        <v>0.12613622128736859</v>
      </c>
      <c r="C4005" s="3">
        <v>5.5786795430900496E-2</v>
      </c>
      <c r="D4005" s="1">
        <v>202221.92314777177</v>
      </c>
      <c r="E4005" s="1">
        <v>6490168</v>
      </c>
      <c r="F4005" s="1">
        <v>31617035</v>
      </c>
      <c r="G4005" s="16">
        <v>67688.842840012032</v>
      </c>
      <c r="H4005">
        <v>261.8</v>
      </c>
      <c r="I4005" s="1">
        <v>710.71</v>
      </c>
      <c r="J4005" s="16">
        <v>269910.76598778379</v>
      </c>
      <c r="K4005" s="5">
        <v>0.15837159098607401</v>
      </c>
      <c r="L4005" s="10">
        <v>539402.74679999996</v>
      </c>
    </row>
    <row r="4006" spans="1:12" x14ac:dyDescent="0.25">
      <c r="A4006">
        <v>4005</v>
      </c>
      <c r="B4006" s="3">
        <v>0.19442248991690719</v>
      </c>
      <c r="C4006" s="3">
        <v>4.1594442991660707E-2</v>
      </c>
      <c r="D4006" s="1">
        <v>312738.16789212392</v>
      </c>
      <c r="E4006" s="1">
        <v>13898053</v>
      </c>
      <c r="F4006" s="1">
        <v>39504317</v>
      </c>
      <c r="G4006" s="16">
        <v>16325.509275547678</v>
      </c>
      <c r="H4006">
        <v>111.56</v>
      </c>
      <c r="I4006" s="1">
        <v>399.28</v>
      </c>
      <c r="J4006" s="16">
        <v>329063.67716767162</v>
      </c>
      <c r="K4006" s="5">
        <v>0.12278227025263484</v>
      </c>
      <c r="L4006" s="10">
        <v>756024.71739999996</v>
      </c>
    </row>
    <row r="4007" spans="1:12" x14ac:dyDescent="0.25">
      <c r="A4007">
        <v>4006</v>
      </c>
      <c r="B4007" s="3">
        <v>0.20626526330814487</v>
      </c>
      <c r="C4007" s="3">
        <v>5.9226763604456847E-2</v>
      </c>
      <c r="D4007" s="1">
        <v>51381.925864422607</v>
      </c>
      <c r="E4007" s="1">
        <v>1923033</v>
      </c>
      <c r="F4007" s="1">
        <v>14275353</v>
      </c>
      <c r="G4007" s="16">
        <v>26584.043466288422</v>
      </c>
      <c r="H4007">
        <v>201.6</v>
      </c>
      <c r="I4007" s="1">
        <v>554.6</v>
      </c>
      <c r="J4007" s="16">
        <v>77965.969330711028</v>
      </c>
      <c r="K4007" s="5">
        <v>0.10197152838891077</v>
      </c>
      <c r="L4007" s="10">
        <v>113850.18120000001</v>
      </c>
    </row>
    <row r="4008" spans="1:12" x14ac:dyDescent="0.25">
      <c r="A4008">
        <v>4007</v>
      </c>
      <c r="B4008" s="3">
        <v>0.23000346962959189</v>
      </c>
      <c r="C4008" s="3">
        <v>4.8519932573998364E-2</v>
      </c>
      <c r="D4008" s="1">
        <v>66082.068574368124</v>
      </c>
      <c r="E4008" s="1">
        <v>2709068</v>
      </c>
      <c r="F4008" s="1">
        <v>13845665</v>
      </c>
      <c r="G4008" s="16">
        <v>12237.486018173471</v>
      </c>
      <c r="H4008">
        <v>88.57</v>
      </c>
      <c r="I4008" s="1">
        <v>243.56</v>
      </c>
      <c r="J4008" s="16">
        <v>78319.554592541594</v>
      </c>
      <c r="K4008" s="5">
        <v>0.24615482371491626</v>
      </c>
      <c r="L4008" s="10">
        <v>306495.68320000003</v>
      </c>
    </row>
    <row r="4009" spans="1:12" x14ac:dyDescent="0.25">
      <c r="A4009">
        <v>4008</v>
      </c>
      <c r="B4009" s="3">
        <v>0.21663663755665435</v>
      </c>
      <c r="C4009" s="3">
        <v>6.7849660369452308E-2</v>
      </c>
      <c r="D4009" s="1">
        <v>145249.61385665255</v>
      </c>
      <c r="E4009" s="1">
        <v>7218798</v>
      </c>
      <c r="F4009" s="1">
        <v>38145205</v>
      </c>
      <c r="G4009" s="16">
        <v>24030.254227383604</v>
      </c>
      <c r="H4009">
        <v>199.72</v>
      </c>
      <c r="I4009" s="1">
        <v>600.03</v>
      </c>
      <c r="J4009" s="16">
        <v>169279.86808403616</v>
      </c>
      <c r="K4009" s="5">
        <v>5.5128199230652535E-2</v>
      </c>
      <c r="L4009" s="10">
        <v>129435.47990000001</v>
      </c>
    </row>
    <row r="4010" spans="1:12" x14ac:dyDescent="0.25">
      <c r="A4010">
        <v>4009</v>
      </c>
      <c r="B4010" s="3">
        <v>0.11460043343541607</v>
      </c>
      <c r="C4010" s="3">
        <v>3.2142206102902547E-2</v>
      </c>
      <c r="D4010" s="1">
        <v>134987.36882303338</v>
      </c>
      <c r="E4010" s="1">
        <v>4110921</v>
      </c>
      <c r="F4010" s="1">
        <v>23526814</v>
      </c>
      <c r="G4010" s="16">
        <v>141545.26255350962</v>
      </c>
      <c r="H4010">
        <v>563.83000000000004</v>
      </c>
      <c r="I4010" s="1">
        <v>1427.6100000000001</v>
      </c>
      <c r="J4010" s="16">
        <v>276532.63137654297</v>
      </c>
      <c r="K4010" s="5">
        <v>0.1324175559340447</v>
      </c>
      <c r="L4010" s="10">
        <v>896952.63190000004</v>
      </c>
    </row>
    <row r="4011" spans="1:12" x14ac:dyDescent="0.25">
      <c r="A4011">
        <v>4010</v>
      </c>
      <c r="B4011" s="3">
        <v>0.20593679585202992</v>
      </c>
      <c r="C4011" s="3">
        <v>2.2233919248421451E-2</v>
      </c>
      <c r="D4011" s="1">
        <v>58356.979382079466</v>
      </c>
      <c r="E4011" s="1">
        <v>2181375</v>
      </c>
      <c r="F4011" s="1">
        <v>17544909</v>
      </c>
      <c r="G4011" s="16">
        <v>20183.241170588881</v>
      </c>
      <c r="H4011">
        <v>152.54</v>
      </c>
      <c r="I4011" s="1">
        <v>407.41999999999996</v>
      </c>
      <c r="J4011" s="16">
        <v>78540.220552668354</v>
      </c>
      <c r="K4011" s="5">
        <v>9.2226620522223267E-3</v>
      </c>
      <c r="L4011" s="10">
        <v>37660.682699999998</v>
      </c>
    </row>
    <row r="4012" spans="1:12" x14ac:dyDescent="0.25">
      <c r="A4012">
        <v>4011</v>
      </c>
      <c r="B4012" s="3">
        <v>0.20983038971225715</v>
      </c>
      <c r="C4012" s="3">
        <v>4.6212384339824969E-2</v>
      </c>
      <c r="D4012" s="1">
        <v>208833.25775520608</v>
      </c>
      <c r="E4012" s="1">
        <v>10025844</v>
      </c>
      <c r="F4012" s="1">
        <v>34531810</v>
      </c>
      <c r="G4012" s="16">
        <v>13864.300364941388</v>
      </c>
      <c r="H4012">
        <v>85.68</v>
      </c>
      <c r="I4012" s="1">
        <v>259.22000000000003</v>
      </c>
      <c r="J4012" s="16">
        <v>222697.55812014747</v>
      </c>
      <c r="K4012" s="5">
        <v>-1.2338652101072867E-2</v>
      </c>
      <c r="L4012" s="10">
        <v>2676.9868000000001</v>
      </c>
    </row>
    <row r="4013" spans="1:12" x14ac:dyDescent="0.25">
      <c r="A4013">
        <v>4012</v>
      </c>
      <c r="B4013" s="3">
        <v>0.11658390490650772</v>
      </c>
      <c r="C4013" s="3">
        <v>3.557621770333444E-2</v>
      </c>
      <c r="D4013" s="1">
        <v>139812.57817766521</v>
      </c>
      <c r="E4013" s="1">
        <v>3795362</v>
      </c>
      <c r="F4013" s="1">
        <v>16416319</v>
      </c>
      <c r="G4013" s="16">
        <v>43642.120749991795</v>
      </c>
      <c r="H4013">
        <v>156.22</v>
      </c>
      <c r="I4013" s="1">
        <v>425.62</v>
      </c>
      <c r="J4013" s="16">
        <v>183454.69892765701</v>
      </c>
      <c r="K4013" s="5">
        <v>0.10356363592773869</v>
      </c>
      <c r="L4013" s="10">
        <v>434243.55379999999</v>
      </c>
    </row>
    <row r="4014" spans="1:12" x14ac:dyDescent="0.25">
      <c r="A4014">
        <v>4013</v>
      </c>
      <c r="B4014" s="3">
        <v>0.21872401741355096</v>
      </c>
      <c r="C4014" s="3">
        <v>3.6564453786944132E-2</v>
      </c>
      <c r="D4014" s="1">
        <v>94966.915592864025</v>
      </c>
      <c r="E4014" s="1">
        <v>4770428</v>
      </c>
      <c r="F4014" s="1">
        <v>30162171</v>
      </c>
      <c r="G4014" s="16">
        <v>18798.198453639798</v>
      </c>
      <c r="H4014">
        <v>159.35</v>
      </c>
      <c r="I4014" s="1">
        <v>512.28</v>
      </c>
      <c r="J4014" s="16">
        <v>113765.11404650382</v>
      </c>
      <c r="K4014" s="5">
        <v>5.3787777592885652E-2</v>
      </c>
      <c r="L4014" s="10">
        <v>121949.8192</v>
      </c>
    </row>
    <row r="4015" spans="1:12" x14ac:dyDescent="0.25">
      <c r="A4015">
        <v>4014</v>
      </c>
      <c r="B4015" s="3">
        <v>0.17678815547900717</v>
      </c>
      <c r="C4015" s="3">
        <v>7.2311245833227122E-2</v>
      </c>
      <c r="D4015" s="1">
        <v>164412.71365381757</v>
      </c>
      <c r="E4015" s="1">
        <v>6700262</v>
      </c>
      <c r="F4015" s="1">
        <v>36161692</v>
      </c>
      <c r="G4015" s="16">
        <v>51675.578350060852</v>
      </c>
      <c r="H4015">
        <v>368.14</v>
      </c>
      <c r="I4015" s="1">
        <v>978.02</v>
      </c>
      <c r="J4015" s="16">
        <v>216088.29200387842</v>
      </c>
      <c r="K4015" s="5">
        <v>-5.3582649394702905E-2</v>
      </c>
      <c r="L4015" s="10">
        <v>-83280.529800000004</v>
      </c>
    </row>
    <row r="4016" spans="1:12" x14ac:dyDescent="0.25">
      <c r="A4016">
        <v>4015</v>
      </c>
      <c r="B4016" s="3">
        <v>0.20110415287899341</v>
      </c>
      <c r="C4016" s="3">
        <v>7.7755393297744113E-2</v>
      </c>
      <c r="D4016" s="1">
        <v>192166.78091709869</v>
      </c>
      <c r="E4016" s="1">
        <v>11051735</v>
      </c>
      <c r="F4016" s="1">
        <v>54168852</v>
      </c>
      <c r="G4016" s="16">
        <v>28934.594058460931</v>
      </c>
      <c r="H4016">
        <v>209.32</v>
      </c>
      <c r="I4016" s="1">
        <v>662.45</v>
      </c>
      <c r="J4016" s="16">
        <v>221101.37497555962</v>
      </c>
      <c r="K4016" s="5">
        <v>0.22625516537053286</v>
      </c>
      <c r="L4016" s="10">
        <v>441918.27149999997</v>
      </c>
    </row>
    <row r="4017" spans="1:12" x14ac:dyDescent="0.25">
      <c r="A4017">
        <v>4016</v>
      </c>
      <c r="B4017" s="3">
        <v>0.1923081111774364</v>
      </c>
      <c r="C4017" s="3">
        <v>6.5219825092785177E-2</v>
      </c>
      <c r="D4017" s="1">
        <v>98953.130324837519</v>
      </c>
      <c r="E4017" s="1">
        <v>3514758</v>
      </c>
      <c r="F4017" s="1">
        <v>15008055</v>
      </c>
      <c r="G4017" s="16">
        <v>35005.687644803344</v>
      </c>
      <c r="H4017">
        <v>290.77</v>
      </c>
      <c r="I4017" s="1">
        <v>788.77</v>
      </c>
      <c r="J4017" s="16">
        <v>133958.81796964086</v>
      </c>
      <c r="K4017" s="5">
        <v>2.7687474081182908E-2</v>
      </c>
      <c r="L4017" s="10">
        <v>52953.277399999999</v>
      </c>
    </row>
    <row r="4018" spans="1:12" x14ac:dyDescent="0.25">
      <c r="A4018">
        <v>4017</v>
      </c>
      <c r="B4018" s="3">
        <v>0.14932018412453449</v>
      </c>
      <c r="C4018" s="3">
        <v>2.2161856220376003E-2</v>
      </c>
      <c r="D4018" s="1">
        <v>134337.11553360097</v>
      </c>
      <c r="E4018" s="1">
        <v>4084138</v>
      </c>
      <c r="F4018" s="1">
        <v>15797743</v>
      </c>
      <c r="G4018" s="16">
        <v>22572.99811391042</v>
      </c>
      <c r="H4018">
        <v>89.75</v>
      </c>
      <c r="I4018" s="1">
        <v>355.6</v>
      </c>
      <c r="J4018" s="16">
        <v>156910.1136475114</v>
      </c>
      <c r="K4018" s="5">
        <v>0.2789928675868445</v>
      </c>
      <c r="L4018" s="10">
        <v>1712570.6370999999</v>
      </c>
    </row>
    <row r="4019" spans="1:12" x14ac:dyDescent="0.25">
      <c r="A4019">
        <v>4018</v>
      </c>
      <c r="B4019" s="3">
        <v>0.16862857078281179</v>
      </c>
      <c r="C4019" s="3">
        <v>5.6726733693171438E-2</v>
      </c>
      <c r="D4019" s="1">
        <v>213808.93998165437</v>
      </c>
      <c r="E4019" s="1">
        <v>8376236</v>
      </c>
      <c r="F4019" s="1">
        <v>32030490</v>
      </c>
      <c r="G4019" s="16">
        <v>47757.762821780198</v>
      </c>
      <c r="H4019">
        <v>315.01</v>
      </c>
      <c r="I4019" s="1">
        <v>1038.05</v>
      </c>
      <c r="J4019" s="16">
        <v>261566.70280343457</v>
      </c>
      <c r="K4019" s="5">
        <v>1.44198370226606E-2</v>
      </c>
      <c r="L4019" s="10">
        <v>46477.3125</v>
      </c>
    </row>
    <row r="4020" spans="1:12" x14ac:dyDescent="0.25">
      <c r="A4020">
        <v>4019</v>
      </c>
      <c r="B4020" s="3">
        <v>0.23792946234515108</v>
      </c>
      <c r="C4020" s="3">
        <v>2.133815351881857E-2</v>
      </c>
      <c r="D4020" s="1">
        <v>57849.777822833887</v>
      </c>
      <c r="E4020" s="1">
        <v>1864292</v>
      </c>
      <c r="F4020" s="1">
        <v>9714745</v>
      </c>
      <c r="G4020" s="16">
        <v>33981.405305697976</v>
      </c>
      <c r="H4020">
        <v>589.77</v>
      </c>
      <c r="I4020" s="1">
        <v>1541.65</v>
      </c>
      <c r="J4020" s="16">
        <v>91831.183128531862</v>
      </c>
      <c r="K4020" s="5">
        <v>0.19539242494331061</v>
      </c>
      <c r="L4020" s="10">
        <v>754251.16119999997</v>
      </c>
    </row>
    <row r="4021" spans="1:12" x14ac:dyDescent="0.25">
      <c r="A4021">
        <v>4020</v>
      </c>
      <c r="B4021" s="3">
        <v>0.17960350423282484</v>
      </c>
      <c r="C4021" s="3">
        <v>2.2742215631447404E-2</v>
      </c>
      <c r="D4021" s="1">
        <v>298235.53257858258</v>
      </c>
      <c r="E4021" s="1">
        <v>12321597</v>
      </c>
      <c r="F4021" s="1">
        <v>41709391</v>
      </c>
      <c r="G4021" s="16">
        <v>30958.555443415007</v>
      </c>
      <c r="H4021">
        <v>186.14</v>
      </c>
      <c r="I4021" s="1">
        <v>471.01</v>
      </c>
      <c r="J4021" s="16">
        <v>329194.0880219976</v>
      </c>
      <c r="K4021" s="5">
        <v>0.13461140738674018</v>
      </c>
      <c r="L4021" s="10">
        <v>1717404.8125</v>
      </c>
    </row>
    <row r="4022" spans="1:12" x14ac:dyDescent="0.25">
      <c r="A4022">
        <v>4021</v>
      </c>
      <c r="B4022" s="3">
        <v>0.12062963717182362</v>
      </c>
      <c r="C4022" s="3">
        <v>3.8496647490721528E-2</v>
      </c>
      <c r="D4022" s="1">
        <v>311413.75167342747</v>
      </c>
      <c r="E4022" s="1">
        <v>9746597</v>
      </c>
      <c r="F4022" s="1">
        <v>30352241</v>
      </c>
      <c r="G4022" s="16">
        <v>59639.019656493329</v>
      </c>
      <c r="H4022">
        <v>250.89</v>
      </c>
      <c r="I4022" s="1">
        <v>902.5</v>
      </c>
      <c r="J4022" s="16">
        <v>371052.7713299208</v>
      </c>
      <c r="K4022" s="5">
        <v>0.1487616734269579</v>
      </c>
      <c r="L4022" s="10">
        <v>1115338.7437</v>
      </c>
    </row>
    <row r="4023" spans="1:12" x14ac:dyDescent="0.25">
      <c r="A4023">
        <v>4022</v>
      </c>
      <c r="B4023" s="3">
        <v>0.11731267968162196</v>
      </c>
      <c r="C4023" s="3">
        <v>7.3540744342029299E-2</v>
      </c>
      <c r="D4023" s="1">
        <v>189660.59352078213</v>
      </c>
      <c r="E4023" s="1">
        <v>5847250</v>
      </c>
      <c r="F4023" s="1">
        <v>22444969</v>
      </c>
      <c r="G4023" s="16">
        <v>74668.014516168711</v>
      </c>
      <c r="H4023">
        <v>304.37</v>
      </c>
      <c r="I4023" s="1">
        <v>790.9</v>
      </c>
      <c r="J4023" s="16">
        <v>264328.60803695081</v>
      </c>
      <c r="K4023" s="5">
        <v>9.7873181842868293E-2</v>
      </c>
      <c r="L4023" s="10">
        <v>225300.0214</v>
      </c>
    </row>
    <row r="4024" spans="1:12" x14ac:dyDescent="0.25">
      <c r="A4024">
        <v>4023</v>
      </c>
      <c r="B4024" s="3">
        <v>0.14713409727588209</v>
      </c>
      <c r="C4024" s="3">
        <v>7.64185032770896E-2</v>
      </c>
      <c r="D4024" s="1">
        <v>59678.823137663196</v>
      </c>
      <c r="E4024" s="1">
        <v>1535541</v>
      </c>
      <c r="F4024" s="1">
        <v>9668315</v>
      </c>
      <c r="G4024" s="16">
        <v>10361.61194188101</v>
      </c>
      <c r="H4024">
        <v>34.49</v>
      </c>
      <c r="I4024" s="1">
        <v>156.58000000000001</v>
      </c>
      <c r="J4024" s="16">
        <v>70040.435079544201</v>
      </c>
      <c r="K4024" s="5">
        <v>0.18462970772279874</v>
      </c>
      <c r="L4024" s="10">
        <v>119385.53419999999</v>
      </c>
    </row>
    <row r="4025" spans="1:12" x14ac:dyDescent="0.25">
      <c r="A4025">
        <v>4024</v>
      </c>
      <c r="B4025" s="3">
        <v>0.205449749578824</v>
      </c>
      <c r="C4025" s="3">
        <v>4.4111907532053032E-2</v>
      </c>
      <c r="D4025" s="1">
        <v>99488.115966052646</v>
      </c>
      <c r="E4025" s="1">
        <v>3712021</v>
      </c>
      <c r="F4025" s="1">
        <v>16898887</v>
      </c>
      <c r="G4025" s="16">
        <v>14196.407919867363</v>
      </c>
      <c r="H4025">
        <v>84.79</v>
      </c>
      <c r="I4025" s="1">
        <v>340.48</v>
      </c>
      <c r="J4025" s="16">
        <v>113684.52388592</v>
      </c>
      <c r="K4025" s="5">
        <v>0.11405800410757674</v>
      </c>
      <c r="L4025" s="10">
        <v>230980.8444</v>
      </c>
    </row>
    <row r="4026" spans="1:12" x14ac:dyDescent="0.25">
      <c r="A4026">
        <v>4025</v>
      </c>
      <c r="B4026" s="3">
        <v>0.11808289392208615</v>
      </c>
      <c r="C4026" s="3">
        <v>2.2115033158223905E-2</v>
      </c>
      <c r="D4026" s="1">
        <v>62004.82660696315</v>
      </c>
      <c r="E4026" s="1">
        <v>1492013</v>
      </c>
      <c r="F4026" s="1">
        <v>10491663</v>
      </c>
      <c r="G4026" s="16">
        <v>19138.838960935875</v>
      </c>
      <c r="H4026">
        <v>61.16</v>
      </c>
      <c r="I4026" s="1">
        <v>239.67999999999998</v>
      </c>
      <c r="J4026" s="16">
        <v>81143.665567899021</v>
      </c>
      <c r="K4026" s="5">
        <v>2.429217682615183E-2</v>
      </c>
      <c r="L4026" s="10">
        <v>87516.147800000006</v>
      </c>
    </row>
    <row r="4027" spans="1:12" x14ac:dyDescent="0.25">
      <c r="A4027">
        <v>4026</v>
      </c>
      <c r="B4027" s="3">
        <v>0.15732369007248465</v>
      </c>
      <c r="C4027" s="3">
        <v>5.6704744266447629E-2</v>
      </c>
      <c r="D4027" s="1">
        <v>190339.86307728503</v>
      </c>
      <c r="E4027" s="1">
        <v>7064620</v>
      </c>
      <c r="F4027" s="1">
        <v>28375674</v>
      </c>
      <c r="G4027" s="16">
        <v>42249.889261756223</v>
      </c>
      <c r="H4027">
        <v>210.81</v>
      </c>
      <c r="I4027" s="1">
        <v>592.42000000000007</v>
      </c>
      <c r="J4027" s="16">
        <v>232589.75233904127</v>
      </c>
      <c r="K4027" s="5">
        <v>6.3391247705128148E-2</v>
      </c>
      <c r="L4027" s="10">
        <v>190322.03599999999</v>
      </c>
    </row>
    <row r="4028" spans="1:12" x14ac:dyDescent="0.25">
      <c r="A4028">
        <v>4027</v>
      </c>
      <c r="B4028" s="3">
        <v>0.13230065481508094</v>
      </c>
      <c r="C4028" s="3">
        <v>2.7462998271750846E-2</v>
      </c>
      <c r="D4028" s="1">
        <v>261293.84097656223</v>
      </c>
      <c r="E4028" s="1">
        <v>8626898</v>
      </c>
      <c r="F4028" s="1">
        <v>35133606</v>
      </c>
      <c r="G4028" s="16">
        <v>13896.176047874871</v>
      </c>
      <c r="H4028">
        <v>49.05</v>
      </c>
      <c r="I4028" s="1">
        <v>233.11</v>
      </c>
      <c r="J4028" s="16">
        <v>275190.01702443708</v>
      </c>
      <c r="K4028" s="5">
        <v>2.9594695416116056E-2</v>
      </c>
      <c r="L4028" s="10">
        <v>273342.49530000001</v>
      </c>
    </row>
    <row r="4029" spans="1:12" x14ac:dyDescent="0.25">
      <c r="A4029">
        <v>4028</v>
      </c>
      <c r="B4029" s="3">
        <v>0.20589285937542581</v>
      </c>
      <c r="C4029" s="3">
        <v>3.0757672393263002E-2</v>
      </c>
      <c r="D4029" s="1">
        <v>68951.311398639635</v>
      </c>
      <c r="E4029" s="1">
        <v>2576963</v>
      </c>
      <c r="F4029" s="1">
        <v>14710986</v>
      </c>
      <c r="G4029" s="16">
        <v>15880.554969013569</v>
      </c>
      <c r="H4029">
        <v>95.16</v>
      </c>
      <c r="I4029" s="1">
        <v>307.95</v>
      </c>
      <c r="J4029" s="16">
        <v>84831.866367653201</v>
      </c>
      <c r="K4029" s="5">
        <v>-5.0736084270728107E-2</v>
      </c>
      <c r="L4029" s="10">
        <v>-104476.29610000001</v>
      </c>
    </row>
    <row r="4030" spans="1:12" x14ac:dyDescent="0.25">
      <c r="A4030">
        <v>4029</v>
      </c>
      <c r="B4030" s="3">
        <v>0.14311286238476079</v>
      </c>
      <c r="C4030" s="3">
        <v>2.0455383510049441E-2</v>
      </c>
      <c r="D4030" s="1">
        <v>30822.210040792696</v>
      </c>
      <c r="E4030" s="1">
        <v>785630</v>
      </c>
      <c r="F4030" s="1">
        <v>7040528</v>
      </c>
      <c r="G4030" s="16">
        <v>36118.874256136471</v>
      </c>
      <c r="H4030">
        <v>160.30000000000001</v>
      </c>
      <c r="I4030" s="1">
        <v>499.57</v>
      </c>
      <c r="J4030" s="16">
        <v>66941.08429692917</v>
      </c>
      <c r="K4030" s="5">
        <v>0.21077194763337168</v>
      </c>
      <c r="L4030" s="10">
        <v>622058.44640000002</v>
      </c>
    </row>
    <row r="4031" spans="1:12" x14ac:dyDescent="0.25">
      <c r="A4031">
        <v>4030</v>
      </c>
      <c r="B4031" s="3">
        <v>0.21164584535028846</v>
      </c>
      <c r="C4031" s="3">
        <v>5.7349845485723513E-2</v>
      </c>
      <c r="D4031" s="1">
        <v>179471.64928836172</v>
      </c>
      <c r="E4031" s="1">
        <v>11030408</v>
      </c>
      <c r="F4031" s="1">
        <v>48281693</v>
      </c>
      <c r="G4031" s="16">
        <v>39143.158592698084</v>
      </c>
      <c r="H4031">
        <v>311.56</v>
      </c>
      <c r="I4031" s="1">
        <v>751.22</v>
      </c>
      <c r="J4031" s="16">
        <v>218614.80788105979</v>
      </c>
      <c r="K4031" s="5">
        <v>0.13857157557362071</v>
      </c>
      <c r="L4031" s="10">
        <v>384880.4264</v>
      </c>
    </row>
    <row r="4032" spans="1:12" x14ac:dyDescent="0.25">
      <c r="A4032">
        <v>4031</v>
      </c>
      <c r="B4032" s="3">
        <v>0.21820127100745618</v>
      </c>
      <c r="C4032" s="3">
        <v>5.6182651685185395E-2</v>
      </c>
      <c r="D4032" s="1">
        <v>190775.03458743627</v>
      </c>
      <c r="E4032" s="1">
        <v>12225017</v>
      </c>
      <c r="F4032" s="1">
        <v>57221471</v>
      </c>
      <c r="G4032" s="16">
        <v>42678.989534757195</v>
      </c>
      <c r="H4032">
        <v>460.3</v>
      </c>
      <c r="I4032" s="1">
        <v>1379.36</v>
      </c>
      <c r="J4032" s="16">
        <v>233454.02412219346</v>
      </c>
      <c r="K4032" s="5">
        <v>0.17332144386194201</v>
      </c>
      <c r="L4032" s="10">
        <v>561402.52610000002</v>
      </c>
    </row>
    <row r="4033" spans="1:12" x14ac:dyDescent="0.25">
      <c r="A4033">
        <v>4032</v>
      </c>
      <c r="B4033" s="3">
        <v>0.18361957611908791</v>
      </c>
      <c r="C4033" s="3">
        <v>6.0386615848383285E-2</v>
      </c>
      <c r="D4033" s="1">
        <v>151053.69329642199</v>
      </c>
      <c r="E4033" s="1">
        <v>6364498</v>
      </c>
      <c r="F4033" s="1">
        <v>33210703</v>
      </c>
      <c r="G4033" s="16">
        <v>48506.033914569794</v>
      </c>
      <c r="H4033">
        <v>370.16</v>
      </c>
      <c r="I4033" s="1">
        <v>899.03</v>
      </c>
      <c r="J4033" s="16">
        <v>199559.72721099178</v>
      </c>
      <c r="K4033" s="5">
        <v>0.15122638280811013</v>
      </c>
      <c r="L4033" s="10">
        <v>394424.40720000002</v>
      </c>
    </row>
    <row r="4034" spans="1:12" x14ac:dyDescent="0.25">
      <c r="A4034">
        <v>4033</v>
      </c>
      <c r="B4034" s="3">
        <v>0.1093950645890045</v>
      </c>
      <c r="C4034" s="3">
        <v>2.9220639830586766E-2</v>
      </c>
      <c r="D4034" s="1">
        <v>121042.68401315686</v>
      </c>
      <c r="E4034" s="1">
        <v>3206906</v>
      </c>
      <c r="F4034" s="1">
        <v>15930366</v>
      </c>
      <c r="G4034" s="16">
        <v>140051.96010921276</v>
      </c>
      <c r="H4034">
        <v>532.07000000000005</v>
      </c>
      <c r="I4034" s="1">
        <v>1293.6100000000001</v>
      </c>
      <c r="J4034" s="16">
        <v>261094.64412236962</v>
      </c>
      <c r="K4034" s="5">
        <v>0.21795990476429494</v>
      </c>
      <c r="L4034" s="10">
        <v>1606513.8594</v>
      </c>
    </row>
    <row r="4035" spans="1:12" x14ac:dyDescent="0.25">
      <c r="A4035">
        <v>4034</v>
      </c>
      <c r="B4035" s="3">
        <v>0.24179245609766498</v>
      </c>
      <c r="C4035" s="3">
        <v>3.4557034594196887E-2</v>
      </c>
      <c r="D4035" s="1">
        <v>83477.878903546589</v>
      </c>
      <c r="E4035" s="1">
        <v>3584348</v>
      </c>
      <c r="F4035" s="1">
        <v>16619525</v>
      </c>
      <c r="G4035" s="16">
        <v>36471.205994938573</v>
      </c>
      <c r="H4035">
        <v>662.76</v>
      </c>
      <c r="I4035" s="1">
        <v>1680.38</v>
      </c>
      <c r="J4035" s="16">
        <v>119949.08489848516</v>
      </c>
      <c r="K4035" s="5">
        <v>-1.7095601790443851E-2</v>
      </c>
      <c r="L4035" s="10">
        <v>-47423.075700000001</v>
      </c>
    </row>
    <row r="4036" spans="1:12" x14ac:dyDescent="0.25">
      <c r="A4036">
        <v>4035</v>
      </c>
      <c r="B4036" s="3">
        <v>0.1564449121497884</v>
      </c>
      <c r="C4036" s="3">
        <v>2.4040784311888077E-2</v>
      </c>
      <c r="D4036" s="1">
        <v>94420.854246806193</v>
      </c>
      <c r="E4036" s="1">
        <v>3489936</v>
      </c>
      <c r="F4036" s="1">
        <v>23924184</v>
      </c>
      <c r="G4036" s="16">
        <v>26228.732987973428</v>
      </c>
      <c r="H4036">
        <v>129.52000000000001</v>
      </c>
      <c r="I4036" s="1">
        <v>419.44000000000005</v>
      </c>
      <c r="J4036" s="16">
        <v>120649.58723477962</v>
      </c>
      <c r="K4036" s="5">
        <v>0.28955238999725164</v>
      </c>
      <c r="L4036" s="10">
        <v>1299840.6809</v>
      </c>
    </row>
    <row r="4037" spans="1:12" x14ac:dyDescent="0.25">
      <c r="A4037">
        <v>4036</v>
      </c>
      <c r="B4037" s="3">
        <v>0.19581714699823483</v>
      </c>
      <c r="C4037" s="3">
        <v>3.2368860148364535E-2</v>
      </c>
      <c r="D4037" s="1">
        <v>103716.20298848333</v>
      </c>
      <c r="E4037" s="1">
        <v>3732372</v>
      </c>
      <c r="F4037" s="1">
        <v>18109206</v>
      </c>
      <c r="G4037" s="16">
        <v>27170.926959208369</v>
      </c>
      <c r="H4037">
        <v>188.03</v>
      </c>
      <c r="I4037" s="1">
        <v>617.22</v>
      </c>
      <c r="J4037" s="16">
        <v>130887.1299476917</v>
      </c>
      <c r="K4037" s="5">
        <v>-5.9466223204180137E-2</v>
      </c>
      <c r="L4037" s="10">
        <v>-161152.1942</v>
      </c>
    </row>
    <row r="4038" spans="1:12" x14ac:dyDescent="0.25">
      <c r="A4038">
        <v>4037</v>
      </c>
      <c r="B4038" s="3">
        <v>0.16423963155974591</v>
      </c>
      <c r="C4038" s="3">
        <v>6.6696037859068955E-2</v>
      </c>
      <c r="D4038" s="1">
        <v>54200.190570094128</v>
      </c>
      <c r="E4038" s="1">
        <v>1737637</v>
      </c>
      <c r="F4038" s="1">
        <v>12107768</v>
      </c>
      <c r="G4038" s="16">
        <v>24539.37967081396</v>
      </c>
      <c r="H4038">
        <v>108.4</v>
      </c>
      <c r="I4038" s="1">
        <v>341.80999999999995</v>
      </c>
      <c r="J4038" s="16">
        <v>78739.570240908084</v>
      </c>
      <c r="K4038" s="5">
        <v>8.3265016623180144E-2</v>
      </c>
      <c r="L4038" s="10">
        <v>90949.036399999997</v>
      </c>
    </row>
    <row r="4039" spans="1:12" x14ac:dyDescent="0.25">
      <c r="A4039">
        <v>4038</v>
      </c>
      <c r="B4039" s="3">
        <v>0.16939977688561339</v>
      </c>
      <c r="C4039" s="3">
        <v>6.4376637201325318E-2</v>
      </c>
      <c r="D4039" s="1">
        <v>121770.01247021022</v>
      </c>
      <c r="E4039" s="1">
        <v>3977102</v>
      </c>
      <c r="F4039" s="1">
        <v>15938058</v>
      </c>
      <c r="G4039" s="16">
        <v>37648.435989823542</v>
      </c>
      <c r="H4039">
        <v>207.91</v>
      </c>
      <c r="I4039" s="1">
        <v>674.25</v>
      </c>
      <c r="J4039" s="16">
        <v>159418.44846003375</v>
      </c>
      <c r="K4039" s="5">
        <v>0.1626044305558757</v>
      </c>
      <c r="L4039" s="10">
        <v>270198.48580000002</v>
      </c>
    </row>
    <row r="4040" spans="1:12" x14ac:dyDescent="0.25">
      <c r="A4040">
        <v>4039</v>
      </c>
      <c r="B4040" s="3">
        <v>0.18160659665284656</v>
      </c>
      <c r="C4040" s="3">
        <v>4.2302697364046168E-2</v>
      </c>
      <c r="D4040" s="1">
        <v>71847.586629537502</v>
      </c>
      <c r="E4040" s="1">
        <v>2997548</v>
      </c>
      <c r="F4040" s="1">
        <v>21838724</v>
      </c>
      <c r="G4040" s="16">
        <v>30572.602104667567</v>
      </c>
      <c r="H4040">
        <v>153.02000000000001</v>
      </c>
      <c r="I4040" s="1">
        <v>383.68000000000006</v>
      </c>
      <c r="J4040" s="16">
        <v>102420.18873420506</v>
      </c>
      <c r="K4040" s="5">
        <v>-5.7646968627628192E-2</v>
      </c>
      <c r="L4040" s="10">
        <v>-83455.456200000001</v>
      </c>
    </row>
    <row r="4041" spans="1:12" x14ac:dyDescent="0.25">
      <c r="A4041">
        <v>4040</v>
      </c>
      <c r="B4041" s="3">
        <v>0.22868698658751552</v>
      </c>
      <c r="C4041" s="3">
        <v>7.5381616738065468E-2</v>
      </c>
      <c r="D4041" s="1">
        <v>89362.539157990352</v>
      </c>
      <c r="E4041" s="1">
        <v>3644738</v>
      </c>
      <c r="F4041" s="1">
        <v>16305516</v>
      </c>
      <c r="G4041" s="16">
        <v>9994.2235469836505</v>
      </c>
      <c r="H4041">
        <v>71.3</v>
      </c>
      <c r="I4041" s="1">
        <v>235.19</v>
      </c>
      <c r="J4041" s="16">
        <v>99356.762704973997</v>
      </c>
      <c r="K4041" s="5">
        <v>0.14481327883226691</v>
      </c>
      <c r="L4041" s="10">
        <v>134110.10380000001</v>
      </c>
    </row>
    <row r="4042" spans="1:12" x14ac:dyDescent="0.25">
      <c r="A4042">
        <v>4041</v>
      </c>
      <c r="B4042" s="3">
        <v>0.23913066279269413</v>
      </c>
      <c r="C4042" s="3">
        <v>5.6206351211668393E-2</v>
      </c>
      <c r="D4042" s="1">
        <v>86299.688336134845</v>
      </c>
      <c r="E4042" s="1">
        <v>3666756</v>
      </c>
      <c r="F4042" s="1">
        <v>18469351</v>
      </c>
      <c r="G4042" s="16">
        <v>26846.745681621662</v>
      </c>
      <c r="H4042">
        <v>274.04000000000002</v>
      </c>
      <c r="I4042" s="1">
        <v>637.72</v>
      </c>
      <c r="J4042" s="16">
        <v>113146.4340177565</v>
      </c>
      <c r="K4042" s="5">
        <v>0.28434954542342589</v>
      </c>
      <c r="L4042" s="10">
        <v>416425.12219999998</v>
      </c>
    </row>
    <row r="4043" spans="1:12" x14ac:dyDescent="0.25">
      <c r="A4043">
        <v>4042</v>
      </c>
      <c r="B4043" s="3">
        <v>0.24609175832350638</v>
      </c>
      <c r="C4043" s="3">
        <v>2.938411735748532E-2</v>
      </c>
      <c r="D4043" s="1">
        <v>53496.138154661923</v>
      </c>
      <c r="E4043" s="1">
        <v>2336524</v>
      </c>
      <c r="F4043" s="1">
        <v>18015308</v>
      </c>
      <c r="G4043" s="16">
        <v>15476.022520531444</v>
      </c>
      <c r="H4043">
        <v>168.52</v>
      </c>
      <c r="I4043" s="1">
        <v>415.03</v>
      </c>
      <c r="J4043" s="16">
        <v>68972.160675193372</v>
      </c>
      <c r="K4043" s="5">
        <v>5.9943547217051987E-2</v>
      </c>
      <c r="L4043" s="10">
        <v>135615.61660000001</v>
      </c>
    </row>
    <row r="4044" spans="1:12" x14ac:dyDescent="0.25">
      <c r="A4044">
        <v>4043</v>
      </c>
      <c r="B4044" s="3">
        <v>0.19786799453584819</v>
      </c>
      <c r="C4044" s="3">
        <v>4.3990530314930901E-2</v>
      </c>
      <c r="D4044" s="1">
        <v>189303.36856496567</v>
      </c>
      <c r="E4044" s="1">
        <v>8558109</v>
      </c>
      <c r="F4044" s="1">
        <v>31214986</v>
      </c>
      <c r="G4044" s="16">
        <v>19701.039227705314</v>
      </c>
      <c r="H4044">
        <v>138.47</v>
      </c>
      <c r="I4044" s="1">
        <v>459.29999999999995</v>
      </c>
      <c r="J4044" s="16">
        <v>209004.40779267097</v>
      </c>
      <c r="K4044" s="5">
        <v>0.12515541824813947</v>
      </c>
      <c r="L4044" s="10">
        <v>468607.78460000001</v>
      </c>
    </row>
    <row r="4045" spans="1:12" x14ac:dyDescent="0.25">
      <c r="A4045">
        <v>4044</v>
      </c>
      <c r="B4045" s="3">
        <v>0.1317368376343617</v>
      </c>
      <c r="C4045" s="3">
        <v>7.0100819232277845E-2</v>
      </c>
      <c r="D4045" s="1">
        <v>163865.29486201351</v>
      </c>
      <c r="E4045" s="1">
        <v>4685285</v>
      </c>
      <c r="F4045" s="1">
        <v>15594524</v>
      </c>
      <c r="G4045" s="16">
        <v>17015.114889169257</v>
      </c>
      <c r="H4045">
        <v>59.76</v>
      </c>
      <c r="I4045" s="1">
        <v>230.13</v>
      </c>
      <c r="J4045" s="16">
        <v>180880.40975118277</v>
      </c>
      <c r="K4045" s="5">
        <v>5.1595979516676174E-2</v>
      </c>
      <c r="L4045" s="10">
        <v>78327.249500000005</v>
      </c>
    </row>
    <row r="4046" spans="1:12" x14ac:dyDescent="0.25">
      <c r="A4046">
        <v>4045</v>
      </c>
      <c r="B4046" s="3">
        <v>0.2217288502199255</v>
      </c>
      <c r="C4046" s="3">
        <v>5.1807231251259772E-2</v>
      </c>
      <c r="D4046" s="1">
        <v>102787.66060165419</v>
      </c>
      <c r="E4046" s="1">
        <v>5243489</v>
      </c>
      <c r="F4046" s="1">
        <v>23566262</v>
      </c>
      <c r="G4046" s="16">
        <v>24617.743706167625</v>
      </c>
      <c r="H4046">
        <v>213.98</v>
      </c>
      <c r="I4046" s="1">
        <v>534.80999999999995</v>
      </c>
      <c r="J4046" s="16">
        <v>127405.40430782182</v>
      </c>
      <c r="K4046" s="5">
        <v>0.17718305951713595</v>
      </c>
      <c r="L4046" s="10">
        <v>325774.47019999998</v>
      </c>
    </row>
    <row r="4047" spans="1:12" x14ac:dyDescent="0.25">
      <c r="A4047">
        <v>4046</v>
      </c>
      <c r="B4047" s="3">
        <v>0.15369240844542342</v>
      </c>
      <c r="C4047" s="3">
        <v>6.9175477913473019E-2</v>
      </c>
      <c r="D4047" s="1">
        <v>134532.93725413707</v>
      </c>
      <c r="E4047" s="1">
        <v>4908151</v>
      </c>
      <c r="F4047" s="1">
        <v>22140404</v>
      </c>
      <c r="G4047" s="16">
        <v>43638.125704263017</v>
      </c>
      <c r="H4047">
        <v>211.05</v>
      </c>
      <c r="I4047" s="1">
        <v>710.65</v>
      </c>
      <c r="J4047" s="16">
        <v>178171.06295840009</v>
      </c>
      <c r="K4047" s="5">
        <v>9.9698990989343719E-2</v>
      </c>
      <c r="L4047" s="10">
        <v>191573.14569999999</v>
      </c>
    </row>
    <row r="4048" spans="1:12" x14ac:dyDescent="0.25">
      <c r="A4048">
        <v>4047</v>
      </c>
      <c r="B4048" s="3">
        <v>0.11250559999730451</v>
      </c>
      <c r="C4048" s="3">
        <v>2.8253520040658682E-2</v>
      </c>
      <c r="D4048" s="1">
        <v>382943.99902073742</v>
      </c>
      <c r="E4048" s="1">
        <v>13016977</v>
      </c>
      <c r="F4048" s="1">
        <v>47412572</v>
      </c>
      <c r="G4048" s="16">
        <v>34096.484854236427</v>
      </c>
      <c r="H4048">
        <v>118.46</v>
      </c>
      <c r="I4048" s="1">
        <v>470.61999999999995</v>
      </c>
      <c r="J4048" s="16">
        <v>417040.48387497384</v>
      </c>
      <c r="K4048" s="5">
        <v>-3.1472869896472536E-2</v>
      </c>
      <c r="L4048" s="10">
        <v>-326734.30599999998</v>
      </c>
    </row>
    <row r="4049" spans="1:12" x14ac:dyDescent="0.25">
      <c r="A4049">
        <v>4048</v>
      </c>
      <c r="B4049" s="3">
        <v>0.11737249849697376</v>
      </c>
      <c r="C4049" s="3">
        <v>5.7833412165123319E-2</v>
      </c>
      <c r="D4049" s="1">
        <v>194723.4239370946</v>
      </c>
      <c r="E4049" s="1">
        <v>6004970</v>
      </c>
      <c r="F4049" s="1">
        <v>22756889</v>
      </c>
      <c r="G4049" s="16">
        <v>16878.528073502279</v>
      </c>
      <c r="H4049">
        <v>53.73</v>
      </c>
      <c r="I4049" s="1">
        <v>195.68</v>
      </c>
      <c r="J4049" s="16">
        <v>211601.95201059687</v>
      </c>
      <c r="K4049" s="5">
        <v>0.11319168113227125</v>
      </c>
      <c r="L4049" s="10">
        <v>306010.15950000001</v>
      </c>
    </row>
    <row r="4050" spans="1:12" x14ac:dyDescent="0.25">
      <c r="A4050">
        <v>4049</v>
      </c>
      <c r="B4050" s="3">
        <v>0.11517942318420948</v>
      </c>
      <c r="C4050" s="3">
        <v>6.1573361550509575E-2</v>
      </c>
      <c r="D4050" s="1">
        <v>105603.99505100532</v>
      </c>
      <c r="E4050" s="1">
        <v>2853103</v>
      </c>
      <c r="F4050" s="1">
        <v>18718436</v>
      </c>
      <c r="G4050" s="16">
        <v>122785.26703365712</v>
      </c>
      <c r="H4050">
        <v>491.77</v>
      </c>
      <c r="I4050" s="1">
        <v>1268.3</v>
      </c>
      <c r="J4050" s="16">
        <v>228389.26208466245</v>
      </c>
      <c r="K4050" s="5">
        <v>0.27666606626779661</v>
      </c>
      <c r="L4050" s="10">
        <v>714971.69680000003</v>
      </c>
    </row>
    <row r="4051" spans="1:12" x14ac:dyDescent="0.25">
      <c r="A4051">
        <v>4050</v>
      </c>
      <c r="B4051" s="3">
        <v>0.20368402840837646</v>
      </c>
      <c r="C4051" s="3">
        <v>7.7623098783861644E-2</v>
      </c>
      <c r="D4051" s="1">
        <v>96955.9182474228</v>
      </c>
      <c r="E4051" s="1">
        <v>4512690</v>
      </c>
      <c r="F4051" s="1">
        <v>22411106</v>
      </c>
      <c r="G4051" s="16">
        <v>16643.238357493923</v>
      </c>
      <c r="H4051">
        <v>123.39</v>
      </c>
      <c r="I4051" s="1">
        <v>526.22</v>
      </c>
      <c r="J4051" s="16">
        <v>113599.15660491673</v>
      </c>
      <c r="K4051" s="5">
        <v>0.10749773236060291</v>
      </c>
      <c r="L4051" s="10">
        <v>118486.0999</v>
      </c>
    </row>
    <row r="4052" spans="1:12" x14ac:dyDescent="0.25">
      <c r="A4052">
        <v>4051</v>
      </c>
      <c r="B4052" s="3">
        <v>0.18331996836480025</v>
      </c>
      <c r="C4052" s="3">
        <v>5.3322329945078059E-2</v>
      </c>
      <c r="D4052" s="1">
        <v>64696.566453531013</v>
      </c>
      <c r="E4052" s="1">
        <v>1815436</v>
      </c>
      <c r="F4052" s="1">
        <v>8378329</v>
      </c>
      <c r="G4052" s="16">
        <v>37028.048748518195</v>
      </c>
      <c r="H4052">
        <v>229.74</v>
      </c>
      <c r="I4052" s="1">
        <v>613.39</v>
      </c>
      <c r="J4052" s="16">
        <v>101724.6152020492</v>
      </c>
      <c r="K4052" s="5">
        <v>0.20302829285630586</v>
      </c>
      <c r="L4052" s="10">
        <v>281708.79440000001</v>
      </c>
    </row>
    <row r="4053" spans="1:12" x14ac:dyDescent="0.25">
      <c r="A4053">
        <v>4052</v>
      </c>
      <c r="B4053" s="3">
        <v>0.10443942714970467</v>
      </c>
      <c r="C4053" s="3">
        <v>4.5684070287391951E-2</v>
      </c>
      <c r="D4053" s="1">
        <v>503995.17755329685</v>
      </c>
      <c r="E4053" s="1">
        <v>16373997</v>
      </c>
      <c r="F4053" s="1">
        <v>51659055</v>
      </c>
      <c r="G4053" s="16">
        <v>43263.675279581519</v>
      </c>
      <c r="H4053">
        <v>126.09</v>
      </c>
      <c r="I4053" s="1">
        <v>328.82000000000005</v>
      </c>
      <c r="J4053" s="16">
        <v>547258.85283287836</v>
      </c>
      <c r="K4053" s="5">
        <v>6.8114605324545094E-2</v>
      </c>
      <c r="L4053" s="10">
        <v>617442.97660000005</v>
      </c>
    </row>
    <row r="4054" spans="1:12" x14ac:dyDescent="0.25">
      <c r="A4054">
        <v>4053</v>
      </c>
      <c r="B4054" s="3">
        <v>0.17749919619650487</v>
      </c>
      <c r="C4054" s="3">
        <v>5.7232633183525006E-2</v>
      </c>
      <c r="D4054" s="1">
        <v>44645.322336048899</v>
      </c>
      <c r="E4054" s="1">
        <v>1235110</v>
      </c>
      <c r="F4054" s="1">
        <v>9502154</v>
      </c>
      <c r="G4054" s="16">
        <v>27118.000322884684</v>
      </c>
      <c r="H4054">
        <v>160.29</v>
      </c>
      <c r="I4054" s="1">
        <v>567.84</v>
      </c>
      <c r="J4054" s="16">
        <v>71763.322658933583</v>
      </c>
      <c r="K4054" s="5">
        <v>0.12156437093776545</v>
      </c>
      <c r="L4054" s="10">
        <v>124963.93670000001</v>
      </c>
    </row>
    <row r="4055" spans="1:12" x14ac:dyDescent="0.25">
      <c r="A4055">
        <v>4054</v>
      </c>
      <c r="B4055" s="3">
        <v>0.18076027465376457</v>
      </c>
      <c r="C4055" s="3">
        <v>3.4126877352087498E-2</v>
      </c>
      <c r="D4055" s="1">
        <v>130283.00608224528</v>
      </c>
      <c r="E4055" s="1">
        <v>5413106</v>
      </c>
      <c r="F4055" s="1">
        <v>31171207</v>
      </c>
      <c r="G4055" s="16">
        <v>10744.632396564186</v>
      </c>
      <c r="H4055">
        <v>43.82</v>
      </c>
      <c r="I4055" s="1">
        <v>142.75</v>
      </c>
      <c r="J4055" s="16">
        <v>141027.63847880947</v>
      </c>
      <c r="K4055" s="5">
        <v>0.1037930543837824</v>
      </c>
      <c r="L4055" s="10">
        <v>396779.37099999998</v>
      </c>
    </row>
    <row r="4056" spans="1:12" x14ac:dyDescent="0.25">
      <c r="A4056">
        <v>4055</v>
      </c>
      <c r="B4056" s="3">
        <v>0.22910339201860427</v>
      </c>
      <c r="C4056" s="3">
        <v>5.2105211887719383E-2</v>
      </c>
      <c r="D4056" s="1">
        <v>108991.78083577959</v>
      </c>
      <c r="E4056" s="1">
        <v>4452544</v>
      </c>
      <c r="F4056" s="1">
        <v>15455288</v>
      </c>
      <c r="G4056" s="16">
        <v>17963.880960124057</v>
      </c>
      <c r="H4056">
        <v>167</v>
      </c>
      <c r="I4056" s="1">
        <v>487.06</v>
      </c>
      <c r="J4056" s="16">
        <v>126955.66179590364</v>
      </c>
      <c r="K4056" s="5">
        <v>4.5723811922393116E-2</v>
      </c>
      <c r="L4056" s="10">
        <v>106798.9466</v>
      </c>
    </row>
    <row r="4057" spans="1:12" x14ac:dyDescent="0.25">
      <c r="A4057">
        <v>4056</v>
      </c>
      <c r="B4057" s="3">
        <v>0.10913701184516154</v>
      </c>
      <c r="C4057" s="3">
        <v>4.3616475719830267E-2</v>
      </c>
      <c r="D4057" s="1">
        <v>426860.0391940815</v>
      </c>
      <c r="E4057" s="1">
        <v>14237494</v>
      </c>
      <c r="F4057" s="1">
        <v>53245125</v>
      </c>
      <c r="G4057" s="16">
        <v>35301.8863299281</v>
      </c>
      <c r="H4057">
        <v>119.17</v>
      </c>
      <c r="I4057" s="1">
        <v>401.02000000000004</v>
      </c>
      <c r="J4057" s="16">
        <v>462161.92552400962</v>
      </c>
      <c r="K4057" s="5">
        <v>0.11068990337031114</v>
      </c>
      <c r="L4057" s="10">
        <v>897608.56370000006</v>
      </c>
    </row>
    <row r="4058" spans="1:12" x14ac:dyDescent="0.25">
      <c r="A4058">
        <v>4057</v>
      </c>
      <c r="B4058" s="3">
        <v>0.22206700273141339</v>
      </c>
      <c r="C4058" s="3">
        <v>4.5881585504554206E-2</v>
      </c>
      <c r="D4058" s="1">
        <v>163264.43827471224</v>
      </c>
      <c r="E4058" s="1">
        <v>8343069</v>
      </c>
      <c r="F4058" s="1">
        <v>29848881</v>
      </c>
      <c r="G4058" s="16">
        <v>26651.081697339054</v>
      </c>
      <c r="H4058">
        <v>232.57</v>
      </c>
      <c r="I4058" s="1">
        <v>545.57999999999993</v>
      </c>
      <c r="J4058" s="16">
        <v>189915.51997205129</v>
      </c>
      <c r="K4058" s="5">
        <v>-3.8319431870863438E-3</v>
      </c>
      <c r="L4058" s="10">
        <v>-7326.9757</v>
      </c>
    </row>
    <row r="4059" spans="1:12" x14ac:dyDescent="0.25">
      <c r="A4059">
        <v>4058</v>
      </c>
      <c r="B4059" s="3">
        <v>0.10768585969327936</v>
      </c>
      <c r="C4059" s="3">
        <v>3.4701501556139998E-2</v>
      </c>
      <c r="D4059" s="1">
        <v>140594.82893756751</v>
      </c>
      <c r="E4059" s="1">
        <v>4150508</v>
      </c>
      <c r="F4059" s="1">
        <v>31775865</v>
      </c>
      <c r="G4059" s="16">
        <v>74386.756313102218</v>
      </c>
      <c r="H4059">
        <v>248.7</v>
      </c>
      <c r="I4059" s="1">
        <v>697.23</v>
      </c>
      <c r="J4059" s="16">
        <v>214981.58525066974</v>
      </c>
      <c r="K4059" s="5">
        <v>-5.3221710100149845E-2</v>
      </c>
      <c r="L4059" s="10">
        <v>-226962.21429999999</v>
      </c>
    </row>
    <row r="4060" spans="1:12" x14ac:dyDescent="0.25">
      <c r="A4060">
        <v>4059</v>
      </c>
      <c r="B4060" s="3">
        <v>0.1784516901507659</v>
      </c>
      <c r="C4060" s="3">
        <v>6.2553444707357964E-2</v>
      </c>
      <c r="D4060" s="1">
        <v>318185.42789411207</v>
      </c>
      <c r="E4060" s="1">
        <v>15911733</v>
      </c>
      <c r="F4060" s="1">
        <v>46314486</v>
      </c>
      <c r="G4060" s="16">
        <v>10318.829711214554</v>
      </c>
      <c r="H4060">
        <v>50.6</v>
      </c>
      <c r="I4060" s="1">
        <v>224.51999999999998</v>
      </c>
      <c r="J4060" s="16">
        <v>328504.25760532665</v>
      </c>
      <c r="K4060" s="5">
        <v>-5.9439703066298484E-2</v>
      </c>
      <c r="L4060" s="10">
        <v>-194515.23920000001</v>
      </c>
    </row>
    <row r="4061" spans="1:12" x14ac:dyDescent="0.25">
      <c r="A4061">
        <v>4060</v>
      </c>
      <c r="B4061" s="3">
        <v>0.2375298668145247</v>
      </c>
      <c r="C4061" s="3">
        <v>3.3221021650355176E-2</v>
      </c>
      <c r="D4061" s="1">
        <v>250704.16976988371</v>
      </c>
      <c r="E4061" s="1">
        <v>13882656</v>
      </c>
      <c r="F4061" s="1">
        <v>41052041</v>
      </c>
      <c r="G4061" s="16">
        <v>18254.670440688988</v>
      </c>
      <c r="H4061">
        <v>240.11</v>
      </c>
      <c r="I4061" s="1">
        <v>837.78000000000009</v>
      </c>
      <c r="J4061" s="16">
        <v>268958.8402105727</v>
      </c>
      <c r="K4061" s="5">
        <v>2.5328531910294081E-2</v>
      </c>
      <c r="L4061" s="10">
        <v>165855.2801</v>
      </c>
    </row>
    <row r="4062" spans="1:12" x14ac:dyDescent="0.25">
      <c r="A4062">
        <v>4061</v>
      </c>
      <c r="B4062" s="3">
        <v>0.20109550419268918</v>
      </c>
      <c r="C4062" s="3">
        <v>6.8354643123566053E-2</v>
      </c>
      <c r="D4062" s="1">
        <v>37960.039851499925</v>
      </c>
      <c r="E4062" s="1">
        <v>1113113</v>
      </c>
      <c r="F4062" s="1">
        <v>9333885</v>
      </c>
      <c r="G4062" s="16">
        <v>64386.712400131168</v>
      </c>
      <c r="H4062">
        <v>583.83000000000004</v>
      </c>
      <c r="I4062" s="1">
        <v>1448.01</v>
      </c>
      <c r="J4062" s="16">
        <v>102346.75225163109</v>
      </c>
      <c r="K4062" s="5">
        <v>5.0069521657201847E-2</v>
      </c>
      <c r="L4062" s="10">
        <v>48155.244200000001</v>
      </c>
    </row>
    <row r="4063" spans="1:12" x14ac:dyDescent="0.25">
      <c r="A4063">
        <v>4062</v>
      </c>
      <c r="B4063" s="3">
        <v>0.24981234381329229</v>
      </c>
      <c r="C4063" s="3">
        <v>7.9527857854502074E-2</v>
      </c>
      <c r="D4063" s="1">
        <v>194103.97686983619</v>
      </c>
      <c r="E4063" s="1">
        <v>11469839</v>
      </c>
      <c r="F4063" s="1">
        <v>39815774</v>
      </c>
      <c r="G4063" s="16">
        <v>12620.746909252675</v>
      </c>
      <c r="H4063">
        <v>106.72</v>
      </c>
      <c r="I4063" s="1">
        <v>329.70000000000005</v>
      </c>
      <c r="J4063" s="16">
        <v>206724.72377908888</v>
      </c>
      <c r="K4063" s="5">
        <v>7.4003957243326229E-2</v>
      </c>
      <c r="L4063" s="10">
        <v>137610.23370000001</v>
      </c>
    </row>
    <row r="4064" spans="1:12" x14ac:dyDescent="0.25">
      <c r="A4064">
        <v>4063</v>
      </c>
      <c r="B4064" s="3">
        <v>0.24368544377736071</v>
      </c>
      <c r="C4064" s="3">
        <v>4.0465112312167477E-2</v>
      </c>
      <c r="D4064" s="1">
        <v>131221.90725324379</v>
      </c>
      <c r="E4064" s="1">
        <v>9924232</v>
      </c>
      <c r="F4064" s="1">
        <v>53005398</v>
      </c>
      <c r="G4064" s="16">
        <v>14741.264104806547</v>
      </c>
      <c r="H4064">
        <v>156.58000000000001</v>
      </c>
      <c r="I4064" s="1">
        <v>471.48</v>
      </c>
      <c r="J4064" s="16">
        <v>145963.17135805034</v>
      </c>
      <c r="K4064" s="5">
        <v>0.10558900028687418</v>
      </c>
      <c r="L4064" s="10">
        <v>373089.60440000001</v>
      </c>
    </row>
    <row r="4065" spans="1:12" x14ac:dyDescent="0.25">
      <c r="A4065">
        <v>4064</v>
      </c>
      <c r="B4065" s="3">
        <v>0.12690190289433576</v>
      </c>
      <c r="C4065" s="3">
        <v>5.6559913230263908E-2</v>
      </c>
      <c r="D4065" s="1">
        <v>97139.077406098091</v>
      </c>
      <c r="E4065" s="1">
        <v>2731541</v>
      </c>
      <c r="F4065" s="1">
        <v>14954352</v>
      </c>
      <c r="G4065" s="16">
        <v>72876.783621936105</v>
      </c>
      <c r="H4065">
        <v>283.57</v>
      </c>
      <c r="I4065" s="1">
        <v>704.25</v>
      </c>
      <c r="J4065" s="16">
        <v>170015.86102803418</v>
      </c>
      <c r="K4065" s="5">
        <v>0.24086523322569009</v>
      </c>
      <c r="L4065" s="10">
        <v>520663.39490000001</v>
      </c>
    </row>
    <row r="4066" spans="1:12" x14ac:dyDescent="0.25">
      <c r="A4066">
        <v>4065</v>
      </c>
      <c r="B4066" s="3">
        <v>0.17792059365753746</v>
      </c>
      <c r="C4066" s="3">
        <v>2.7822006737564575E-2</v>
      </c>
      <c r="D4066" s="1">
        <v>67395.32623963528</v>
      </c>
      <c r="E4066" s="1">
        <v>2270340</v>
      </c>
      <c r="F4066" s="1">
        <v>14043410</v>
      </c>
      <c r="G4066" s="16">
        <v>23544.157740775234</v>
      </c>
      <c r="H4066">
        <v>114.87</v>
      </c>
      <c r="I4066" s="1">
        <v>362.59000000000003</v>
      </c>
      <c r="J4066" s="16">
        <v>90939.483980410514</v>
      </c>
      <c r="K4066" s="5">
        <v>3.0246276783947826E-2</v>
      </c>
      <c r="L4066" s="10">
        <v>90884.041899999997</v>
      </c>
    </row>
    <row r="4067" spans="1:12" x14ac:dyDescent="0.25">
      <c r="A4067">
        <v>4066</v>
      </c>
      <c r="B4067" s="3">
        <v>0.24602348514319372</v>
      </c>
      <c r="C4067" s="3">
        <v>3.4105464356100103E-2</v>
      </c>
      <c r="D4067" s="1">
        <v>181654.99753813932</v>
      </c>
      <c r="E4067" s="1">
        <v>10520083</v>
      </c>
      <c r="F4067" s="1">
        <v>39991863</v>
      </c>
      <c r="G4067" s="16">
        <v>12783.060150527812</v>
      </c>
      <c r="H4067">
        <v>104.5</v>
      </c>
      <c r="I4067" s="1">
        <v>331.1</v>
      </c>
      <c r="J4067" s="16">
        <v>194438.05768866712</v>
      </c>
      <c r="K4067" s="5">
        <v>0.19865649567647153</v>
      </c>
      <c r="L4067" s="10">
        <v>947110.5834</v>
      </c>
    </row>
    <row r="4068" spans="1:12" x14ac:dyDescent="0.25">
      <c r="A4068">
        <v>4067</v>
      </c>
      <c r="B4068" s="3">
        <v>0.23109576423422082</v>
      </c>
      <c r="C4068" s="3">
        <v>5.5122772573557688E-2</v>
      </c>
      <c r="D4068" s="1">
        <v>223636.31338069751</v>
      </c>
      <c r="E4068" s="1">
        <v>11974487</v>
      </c>
      <c r="F4068" s="1">
        <v>41687096</v>
      </c>
      <c r="G4068" s="16">
        <v>13073.015403236288</v>
      </c>
      <c r="H4068">
        <v>95.16</v>
      </c>
      <c r="I4068" s="1">
        <v>290.93</v>
      </c>
      <c r="J4068" s="16">
        <v>236709.3287839338</v>
      </c>
      <c r="K4068" s="5">
        <v>6.7839389381670515E-2</v>
      </c>
      <c r="L4068" s="10">
        <v>256414.98699999999</v>
      </c>
    </row>
    <row r="4069" spans="1:12" x14ac:dyDescent="0.25">
      <c r="A4069">
        <v>4068</v>
      </c>
      <c r="B4069" s="3">
        <v>0.16068403562549571</v>
      </c>
      <c r="C4069" s="3">
        <v>5.5276898337816738E-2</v>
      </c>
      <c r="D4069" s="1">
        <v>67612.232313691071</v>
      </c>
      <c r="E4069" s="1">
        <v>2140186</v>
      </c>
      <c r="F4069" s="1">
        <v>12533549</v>
      </c>
      <c r="G4069" s="16">
        <v>17305.32511400829</v>
      </c>
      <c r="H4069">
        <v>74.37</v>
      </c>
      <c r="I4069" s="1">
        <v>226.14000000000001</v>
      </c>
      <c r="J4069" s="16">
        <v>84917.557427699358</v>
      </c>
      <c r="K4069" s="5">
        <v>0.22727315119815725</v>
      </c>
      <c r="L4069" s="10">
        <v>272685.83500000002</v>
      </c>
    </row>
    <row r="4070" spans="1:12" x14ac:dyDescent="0.25">
      <c r="A4070">
        <v>4069</v>
      </c>
      <c r="B4070" s="3">
        <v>0.21858868476005197</v>
      </c>
      <c r="C4070" s="3">
        <v>3.7757576807968131E-2</v>
      </c>
      <c r="D4070" s="1">
        <v>86899.98648832718</v>
      </c>
      <c r="E4070" s="1">
        <v>4362184</v>
      </c>
      <c r="F4070" s="1">
        <v>21774213</v>
      </c>
      <c r="G4070" s="16">
        <v>19932.576574111114</v>
      </c>
      <c r="H4070">
        <v>168.57</v>
      </c>
      <c r="I4070" s="1">
        <v>494.94</v>
      </c>
      <c r="J4070" s="16">
        <v>106832.56306243829</v>
      </c>
      <c r="K4070" s="5">
        <v>5.6709239238282541E-2</v>
      </c>
      <c r="L4070" s="10">
        <v>129329.5526</v>
      </c>
    </row>
    <row r="4071" spans="1:12" x14ac:dyDescent="0.25">
      <c r="A4071">
        <v>4070</v>
      </c>
      <c r="B4071" s="3">
        <v>0.22974096137925826</v>
      </c>
      <c r="C4071" s="3">
        <v>2.7772230072451526E-2</v>
      </c>
      <c r="D4071" s="1">
        <v>313832.01980947645</v>
      </c>
      <c r="E4071" s="1">
        <v>21662864</v>
      </c>
      <c r="F4071" s="1">
        <v>68107660</v>
      </c>
      <c r="G4071" s="16">
        <v>13148.703055847578</v>
      </c>
      <c r="H4071">
        <v>94.71</v>
      </c>
      <c r="I4071" s="1">
        <v>315.61</v>
      </c>
      <c r="J4071" s="16">
        <v>326980.722865324</v>
      </c>
      <c r="K4071" s="5">
        <v>-8.332376377486822E-3</v>
      </c>
      <c r="L4071" s="10">
        <v>-71968.0524</v>
      </c>
    </row>
    <row r="4072" spans="1:12" x14ac:dyDescent="0.25">
      <c r="A4072">
        <v>4071</v>
      </c>
      <c r="B4072" s="3">
        <v>0.15254343067346579</v>
      </c>
      <c r="C4072" s="3">
        <v>2.1814637430651509E-2</v>
      </c>
      <c r="D4072" s="1">
        <v>93686.58229003867</v>
      </c>
      <c r="E4072" s="1">
        <v>2880897</v>
      </c>
      <c r="F4072" s="1">
        <v>14832702</v>
      </c>
      <c r="G4072" s="16">
        <v>40552.370246309903</v>
      </c>
      <c r="H4072">
        <v>194.57</v>
      </c>
      <c r="I4072" s="1">
        <v>523.27</v>
      </c>
      <c r="J4072" s="16">
        <v>134238.95253634857</v>
      </c>
      <c r="K4072" s="5">
        <v>-6.1617141185590793E-2</v>
      </c>
      <c r="L4072" s="10">
        <v>-300626.08760000003</v>
      </c>
    </row>
    <row r="4073" spans="1:12" x14ac:dyDescent="0.25">
      <c r="A4073">
        <v>4072</v>
      </c>
      <c r="B4073" s="3">
        <v>0.15562577272933914</v>
      </c>
      <c r="C4073" s="3">
        <v>7.7556088116814137E-2</v>
      </c>
      <c r="D4073" s="1">
        <v>204220.49255392738</v>
      </c>
      <c r="E4073" s="1">
        <v>7519042</v>
      </c>
      <c r="F4073" s="1">
        <v>30505798</v>
      </c>
      <c r="G4073" s="16">
        <v>37093.807194658293</v>
      </c>
      <c r="H4073">
        <v>182.39</v>
      </c>
      <c r="I4073" s="1">
        <v>619.41999999999996</v>
      </c>
      <c r="J4073" s="16">
        <v>241314.29974858568</v>
      </c>
      <c r="K4073" s="5">
        <v>0.11768676599875198</v>
      </c>
      <c r="L4073" s="10">
        <v>252167.05619999999</v>
      </c>
    </row>
    <row r="4074" spans="1:12" x14ac:dyDescent="0.25">
      <c r="A4074">
        <v>4073</v>
      </c>
      <c r="B4074" s="3">
        <v>0.12701350921471649</v>
      </c>
      <c r="C4074" s="3">
        <v>7.4718808961792574E-2</v>
      </c>
      <c r="D4074" s="1">
        <v>150515.26657784576</v>
      </c>
      <c r="E4074" s="1">
        <v>4234105</v>
      </c>
      <c r="F4074" s="1">
        <v>17361560</v>
      </c>
      <c r="G4074" s="16">
        <v>51330.592891293061</v>
      </c>
      <c r="H4074">
        <v>199.89</v>
      </c>
      <c r="I4074" s="1">
        <v>583.87</v>
      </c>
      <c r="J4074" s="16">
        <v>201845.85946913881</v>
      </c>
      <c r="K4074" s="5">
        <v>1.9279669930858966E-2</v>
      </c>
      <c r="L4074" s="10">
        <v>49588.663099999998</v>
      </c>
    </row>
    <row r="4075" spans="1:12" x14ac:dyDescent="0.25">
      <c r="A4075">
        <v>4074</v>
      </c>
      <c r="B4075" s="3">
        <v>0.14536213380682844</v>
      </c>
      <c r="C4075" s="3">
        <v>3.2083469352350846E-2</v>
      </c>
      <c r="D4075" s="1">
        <v>146608.48792396451</v>
      </c>
      <c r="E4075" s="1">
        <v>4395575</v>
      </c>
      <c r="F4075" s="1">
        <v>21220561</v>
      </c>
      <c r="G4075" s="16">
        <v>27777.069445125249</v>
      </c>
      <c r="H4075">
        <v>125.61</v>
      </c>
      <c r="I4075" s="1">
        <v>436.69000000000005</v>
      </c>
      <c r="J4075" s="16">
        <v>174385.55736908974</v>
      </c>
      <c r="K4075" s="5">
        <v>0.21357046612903996</v>
      </c>
      <c r="L4075" s="10">
        <v>962110.68350000004</v>
      </c>
    </row>
    <row r="4076" spans="1:12" x14ac:dyDescent="0.25">
      <c r="A4076">
        <v>4075</v>
      </c>
      <c r="B4076" s="3">
        <v>0.1237603103392081</v>
      </c>
      <c r="C4076" s="3">
        <v>4.3600917803950215E-2</v>
      </c>
      <c r="D4076" s="1">
        <v>478745.46278770297</v>
      </c>
      <c r="E4076" s="1">
        <v>17345746</v>
      </c>
      <c r="F4076" s="1">
        <v>61666852</v>
      </c>
      <c r="G4076" s="16">
        <v>54493.902041660134</v>
      </c>
      <c r="H4076">
        <v>206.49</v>
      </c>
      <c r="I4076" s="1">
        <v>551.16000000000008</v>
      </c>
      <c r="J4076" s="16">
        <v>533239.36482936307</v>
      </c>
      <c r="K4076" s="5">
        <v>8.4300154403514488E-2</v>
      </c>
      <c r="L4076" s="10">
        <v>842190.93400000001</v>
      </c>
    </row>
    <row r="4077" spans="1:12" x14ac:dyDescent="0.25">
      <c r="A4077">
        <v>4076</v>
      </c>
      <c r="B4077" s="3">
        <v>0.10769043454310982</v>
      </c>
      <c r="C4077" s="3">
        <v>7.3870922664572403E-2</v>
      </c>
      <c r="D4077" s="1">
        <v>149974.90856371188</v>
      </c>
      <c r="E4077" s="1">
        <v>4427505</v>
      </c>
      <c r="F4077" s="1">
        <v>22506406</v>
      </c>
      <c r="G4077" s="16">
        <v>40986.697919424732</v>
      </c>
      <c r="H4077">
        <v>137.11000000000001</v>
      </c>
      <c r="I4077" s="1">
        <v>437.79</v>
      </c>
      <c r="J4077" s="16">
        <v>190961.60648313662</v>
      </c>
      <c r="K4077" s="5">
        <v>0.11076725255130337</v>
      </c>
      <c r="L4077" s="10">
        <v>184240.93419999999</v>
      </c>
    </row>
    <row r="4078" spans="1:12" x14ac:dyDescent="0.25">
      <c r="A4078">
        <v>4077</v>
      </c>
      <c r="B4078" s="3">
        <v>0.15892262839652688</v>
      </c>
      <c r="C4078" s="3">
        <v>6.3603206016333819E-2</v>
      </c>
      <c r="D4078" s="1">
        <v>140936.49116376898</v>
      </c>
      <c r="E4078" s="1">
        <v>4433207</v>
      </c>
      <c r="F4078" s="1">
        <v>18647180</v>
      </c>
      <c r="G4078" s="16">
        <v>38844.191599899583</v>
      </c>
      <c r="H4078">
        <v>233.72</v>
      </c>
      <c r="I4078" s="1">
        <v>803.38</v>
      </c>
      <c r="J4078" s="16">
        <v>179780.68276366856</v>
      </c>
      <c r="K4078" s="5">
        <v>-0.10783376708971659</v>
      </c>
      <c r="L4078" s="10">
        <v>-184097.0618</v>
      </c>
    </row>
    <row r="4079" spans="1:12" x14ac:dyDescent="0.25">
      <c r="A4079">
        <v>4078</v>
      </c>
      <c r="B4079" s="3">
        <v>0.10206318403111656</v>
      </c>
      <c r="C4079" s="3">
        <v>4.4253265031718066E-2</v>
      </c>
      <c r="D4079" s="1">
        <v>375828.09007034695</v>
      </c>
      <c r="E4079" s="1">
        <v>12049338</v>
      </c>
      <c r="F4079" s="1">
        <v>47586458</v>
      </c>
      <c r="G4079" s="16">
        <v>31959.282401656739</v>
      </c>
      <c r="H4079">
        <v>91.72</v>
      </c>
      <c r="I4079" s="1">
        <v>380.09000000000003</v>
      </c>
      <c r="J4079" s="16">
        <v>407787.37247200368</v>
      </c>
      <c r="K4079" s="5">
        <v>0.12638184123530261</v>
      </c>
      <c r="L4079" s="10">
        <v>975471.11459999997</v>
      </c>
    </row>
    <row r="4080" spans="1:12" x14ac:dyDescent="0.25">
      <c r="A4080">
        <v>4079</v>
      </c>
      <c r="B4080" s="3">
        <v>0.18469611031321478</v>
      </c>
      <c r="C4080" s="3">
        <v>7.9148402938784515E-2</v>
      </c>
      <c r="D4080" s="1">
        <v>51592.014313524283</v>
      </c>
      <c r="E4080" s="1">
        <v>1781668</v>
      </c>
      <c r="F4080" s="1">
        <v>10829362</v>
      </c>
      <c r="G4080" s="16">
        <v>18249.886799009691</v>
      </c>
      <c r="H4080">
        <v>114.66</v>
      </c>
      <c r="I4080" s="1">
        <v>540.93000000000006</v>
      </c>
      <c r="J4080" s="16">
        <v>69841.901112533975</v>
      </c>
      <c r="K4080" s="5">
        <v>9.9285378798197474E-2</v>
      </c>
      <c r="L4080" s="10">
        <v>58025.240400000002</v>
      </c>
    </row>
    <row r="4081" spans="1:12" x14ac:dyDescent="0.25">
      <c r="A4081">
        <v>4080</v>
      </c>
      <c r="B4081" s="3">
        <v>0.22644661217518205</v>
      </c>
      <c r="C4081" s="3">
        <v>5.9308441617421048E-2</v>
      </c>
      <c r="D4081" s="1">
        <v>57550.428568174444</v>
      </c>
      <c r="E4081" s="1">
        <v>2326920</v>
      </c>
      <c r="F4081" s="1">
        <v>17509339</v>
      </c>
      <c r="G4081" s="16">
        <v>11452.802136049575</v>
      </c>
      <c r="H4081">
        <v>80.489999999999995</v>
      </c>
      <c r="I4081" s="1">
        <v>293.70999999999998</v>
      </c>
      <c r="J4081" s="16">
        <v>69003.230704224014</v>
      </c>
      <c r="K4081" s="5">
        <v>4.7178114651740689E-2</v>
      </c>
      <c r="L4081" s="10">
        <v>70782.049100000004</v>
      </c>
    </row>
    <row r="4082" spans="1:12" x14ac:dyDescent="0.25">
      <c r="A4082">
        <v>4081</v>
      </c>
      <c r="B4082" s="3">
        <v>0.22436798070358902</v>
      </c>
      <c r="C4082" s="3">
        <v>2.9182934996343383E-2</v>
      </c>
      <c r="D4082" s="1">
        <v>292750.95104862109</v>
      </c>
      <c r="E4082" s="1">
        <v>19517413</v>
      </c>
      <c r="F4082" s="1">
        <v>65338100</v>
      </c>
      <c r="G4082" s="16">
        <v>7463.3479782090126</v>
      </c>
      <c r="H4082">
        <v>51.65</v>
      </c>
      <c r="I4082" s="1">
        <v>250.26000000000002</v>
      </c>
      <c r="J4082" s="16">
        <v>300214.29902683012</v>
      </c>
      <c r="K4082" s="5">
        <v>0.11096705749655236</v>
      </c>
      <c r="L4082" s="10">
        <v>970071.78859999997</v>
      </c>
    </row>
    <row r="4083" spans="1:12" x14ac:dyDescent="0.25">
      <c r="A4083">
        <v>4082</v>
      </c>
      <c r="B4083" s="3">
        <v>0.16458854075673429</v>
      </c>
      <c r="C4083" s="3">
        <v>3.3903071780341999E-2</v>
      </c>
      <c r="D4083" s="1">
        <v>90469.421021938222</v>
      </c>
      <c r="E4083" s="1">
        <v>2904046</v>
      </c>
      <c r="F4083" s="1">
        <v>18253763</v>
      </c>
      <c r="G4083" s="16">
        <v>50974.830261960567</v>
      </c>
      <c r="H4083">
        <v>322.63</v>
      </c>
      <c r="I4083" s="1">
        <v>903.39</v>
      </c>
      <c r="J4083" s="16">
        <v>141444.25128389878</v>
      </c>
      <c r="K4083" s="5">
        <v>0.11891263566811064</v>
      </c>
      <c r="L4083" s="10">
        <v>430177.31699999998</v>
      </c>
    </row>
    <row r="4084" spans="1:12" x14ac:dyDescent="0.25">
      <c r="A4084">
        <v>4083</v>
      </c>
      <c r="B4084" s="3">
        <v>0.18847867721605216</v>
      </c>
      <c r="C4084" s="3">
        <v>2.5114850750572487E-2</v>
      </c>
      <c r="D4084" s="1">
        <v>118437.12582435372</v>
      </c>
      <c r="E4084" s="1">
        <v>4147544</v>
      </c>
      <c r="F4084" s="1">
        <v>21110816</v>
      </c>
      <c r="G4084" s="16">
        <v>39190.091305324822</v>
      </c>
      <c r="H4084">
        <v>313.27</v>
      </c>
      <c r="I4084" s="1">
        <v>899.22</v>
      </c>
      <c r="J4084" s="16">
        <v>157627.21712967852</v>
      </c>
      <c r="K4084" s="5">
        <v>0.21898585996569778</v>
      </c>
      <c r="L4084" s="10">
        <v>1194808.7139999999</v>
      </c>
    </row>
    <row r="4085" spans="1:12" x14ac:dyDescent="0.25">
      <c r="A4085">
        <v>4084</v>
      </c>
      <c r="B4085" s="3">
        <v>0.24530751818951435</v>
      </c>
      <c r="C4085" s="3">
        <v>7.3371129436739541E-2</v>
      </c>
      <c r="D4085" s="1">
        <v>85787.769380523358</v>
      </c>
      <c r="E4085" s="1">
        <v>3735236</v>
      </c>
      <c r="F4085" s="1">
        <v>20020662</v>
      </c>
      <c r="G4085" s="16">
        <v>22144.330256633744</v>
      </c>
      <c r="H4085">
        <v>317.14999999999998</v>
      </c>
      <c r="I4085" s="1">
        <v>796.5</v>
      </c>
      <c r="J4085" s="16">
        <v>107932.09963715711</v>
      </c>
      <c r="K4085" s="5">
        <v>-1.4755893634815845E-3</v>
      </c>
      <c r="L4085" s="10">
        <v>31261.905500000001</v>
      </c>
    </row>
    <row r="4086" spans="1:12" x14ac:dyDescent="0.25">
      <c r="A4086">
        <v>4085</v>
      </c>
      <c r="B4086" s="3">
        <v>0.12427433667766505</v>
      </c>
      <c r="C4086" s="3">
        <v>5.8524106283987021E-2</v>
      </c>
      <c r="D4086" s="1">
        <v>317408.73546055838</v>
      </c>
      <c r="E4086" s="1">
        <v>10100645</v>
      </c>
      <c r="F4086" s="1">
        <v>33475023</v>
      </c>
      <c r="G4086" s="16">
        <v>45198.295629691012</v>
      </c>
      <c r="H4086">
        <v>172.26</v>
      </c>
      <c r="I4086" s="1">
        <v>590.52</v>
      </c>
      <c r="J4086" s="16">
        <v>362607.03109024942</v>
      </c>
      <c r="K4086" s="5">
        <v>0.13615359696491489</v>
      </c>
      <c r="L4086" s="10">
        <v>595923.95669999998</v>
      </c>
    </row>
    <row r="4087" spans="1:12" x14ac:dyDescent="0.25">
      <c r="A4087">
        <v>4086</v>
      </c>
      <c r="B4087" s="3">
        <v>0.24610621303221242</v>
      </c>
      <c r="C4087" s="3">
        <v>4.3740356831183304E-2</v>
      </c>
      <c r="D4087" s="1">
        <v>213143.50050395864</v>
      </c>
      <c r="E4087" s="1">
        <v>16380375</v>
      </c>
      <c r="F4087" s="1">
        <v>52409909</v>
      </c>
      <c r="G4087" s="16">
        <v>18796.46068497072</v>
      </c>
      <c r="H4087">
        <v>204.37</v>
      </c>
      <c r="I4087" s="1">
        <v>538.71</v>
      </c>
      <c r="J4087" s="16">
        <v>231939.96118892936</v>
      </c>
      <c r="K4087" s="5">
        <v>0.1363878113607393</v>
      </c>
      <c r="L4087" s="10">
        <v>542675.02780000004</v>
      </c>
    </row>
    <row r="4088" spans="1:12" x14ac:dyDescent="0.25">
      <c r="A4088">
        <v>4087</v>
      </c>
      <c r="B4088" s="3">
        <v>0.13088694432075032</v>
      </c>
      <c r="C4088" s="3">
        <v>5.4284597145730612E-2</v>
      </c>
      <c r="D4088" s="1">
        <v>103881.95692081749</v>
      </c>
      <c r="E4088" s="1">
        <v>2961514</v>
      </c>
      <c r="F4088" s="1">
        <v>15229698</v>
      </c>
      <c r="G4088" s="16">
        <v>40800.483252782949</v>
      </c>
      <c r="H4088">
        <v>163.81</v>
      </c>
      <c r="I4088" s="1">
        <v>602.12</v>
      </c>
      <c r="J4088" s="16">
        <v>144682.44017360045</v>
      </c>
      <c r="K4088" s="5">
        <v>7.090840643502519E-2</v>
      </c>
      <c r="L4088" s="10">
        <v>163016.50330000001</v>
      </c>
    </row>
    <row r="4089" spans="1:12" x14ac:dyDescent="0.25">
      <c r="A4089">
        <v>4088</v>
      </c>
      <c r="B4089" s="3">
        <v>0.22848580877250332</v>
      </c>
      <c r="C4089" s="3">
        <v>2.8338864931858256E-2</v>
      </c>
      <c r="D4089" s="1">
        <v>25590.599228122115</v>
      </c>
      <c r="E4089" s="1">
        <v>804626</v>
      </c>
      <c r="F4089" s="1">
        <v>6827820</v>
      </c>
      <c r="G4089" s="16">
        <v>23266.731572440065</v>
      </c>
      <c r="H4089">
        <v>278.99</v>
      </c>
      <c r="I4089" s="1">
        <v>838.1</v>
      </c>
      <c r="J4089" s="16">
        <v>48857.33080056218</v>
      </c>
      <c r="K4089" s="5">
        <v>5.1978472834851713E-2</v>
      </c>
      <c r="L4089" s="10">
        <v>87536.651599999997</v>
      </c>
    </row>
    <row r="4090" spans="1:12" x14ac:dyDescent="0.25">
      <c r="A4090">
        <v>4089</v>
      </c>
      <c r="B4090" s="3">
        <v>0.1547576602770665</v>
      </c>
      <c r="C4090" s="3">
        <v>6.3156927691584666E-2</v>
      </c>
      <c r="D4090" s="1">
        <v>147254.55610217593</v>
      </c>
      <c r="E4090" s="1">
        <v>5399410</v>
      </c>
      <c r="F4090" s="1">
        <v>24822294</v>
      </c>
      <c r="G4090" s="16">
        <v>48313.192264516547</v>
      </c>
      <c r="H4090">
        <v>236.09</v>
      </c>
      <c r="I4090" s="1">
        <v>692.61</v>
      </c>
      <c r="J4090" s="16">
        <v>195567.74836669248</v>
      </c>
      <c r="K4090" s="5">
        <v>9.5428963328274517E-3</v>
      </c>
      <c r="L4090" s="10">
        <v>44097.465499999998</v>
      </c>
    </row>
    <row r="4091" spans="1:12" x14ac:dyDescent="0.25">
      <c r="A4091">
        <v>4090</v>
      </c>
      <c r="B4091" s="3">
        <v>0.1919617834578691</v>
      </c>
      <c r="C4091" s="3">
        <v>7.2908011491193928E-2</v>
      </c>
      <c r="D4091" s="1">
        <v>213306.18300309364</v>
      </c>
      <c r="E4091" s="1">
        <v>9364364</v>
      </c>
      <c r="F4091" s="1">
        <v>32330229</v>
      </c>
      <c r="G4091" s="16">
        <v>9186.492327554075</v>
      </c>
      <c r="H4091">
        <v>40.11</v>
      </c>
      <c r="I4091" s="1">
        <v>174.22000000000003</v>
      </c>
      <c r="J4091" s="16">
        <v>222492.6753306477</v>
      </c>
      <c r="K4091" s="5">
        <v>-3.3959181588561212E-2</v>
      </c>
      <c r="L4091" s="10">
        <v>-69681.544699999999</v>
      </c>
    </row>
    <row r="4092" spans="1:12" x14ac:dyDescent="0.25">
      <c r="A4092">
        <v>4091</v>
      </c>
      <c r="B4092" s="3">
        <v>0.19766286174022113</v>
      </c>
      <c r="C4092" s="3">
        <v>5.0011927238853497E-2</v>
      </c>
      <c r="D4092" s="1">
        <v>55676.079471052602</v>
      </c>
      <c r="E4092" s="1">
        <v>2017442</v>
      </c>
      <c r="F4092" s="1">
        <v>14792475</v>
      </c>
      <c r="G4092" s="16">
        <v>12706.838093922046</v>
      </c>
      <c r="H4092">
        <v>71.680000000000007</v>
      </c>
      <c r="I4092" s="1">
        <v>285.92999999999995</v>
      </c>
      <c r="J4092" s="16">
        <v>68382.917564974647</v>
      </c>
      <c r="K4092" s="5">
        <v>0.18741927964229474</v>
      </c>
      <c r="L4092" s="10">
        <v>217565.3512</v>
      </c>
    </row>
    <row r="4093" spans="1:12" x14ac:dyDescent="0.25">
      <c r="A4093">
        <v>4092</v>
      </c>
      <c r="B4093" s="3">
        <v>0.21629866133255216</v>
      </c>
      <c r="C4093" s="3">
        <v>7.4825711555701419E-2</v>
      </c>
      <c r="D4093" s="1">
        <v>68652.060694298663</v>
      </c>
      <c r="E4093" s="1">
        <v>3406074</v>
      </c>
      <c r="F4093" s="1">
        <v>21680680</v>
      </c>
      <c r="G4093" s="16">
        <v>17020.775206368304</v>
      </c>
      <c r="H4093">
        <v>141.13999999999999</v>
      </c>
      <c r="I4093" s="1">
        <v>510.81</v>
      </c>
      <c r="J4093" s="16">
        <v>85672.835900666963</v>
      </c>
      <c r="K4093" s="5">
        <v>8.2937644636172703E-2</v>
      </c>
      <c r="L4093" s="10">
        <v>97922.747600000002</v>
      </c>
    </row>
    <row r="4094" spans="1:12" x14ac:dyDescent="0.25">
      <c r="A4094">
        <v>4093</v>
      </c>
      <c r="B4094" s="3">
        <v>0.1972716609738584</v>
      </c>
      <c r="C4094" s="3">
        <v>6.5362386498222735E-2</v>
      </c>
      <c r="D4094" s="1">
        <v>130173.69482256254</v>
      </c>
      <c r="E4094" s="1">
        <v>5867485</v>
      </c>
      <c r="F4094" s="1">
        <v>26113738</v>
      </c>
      <c r="G4094" s="16">
        <v>65112.677584232879</v>
      </c>
      <c r="H4094">
        <v>707.92</v>
      </c>
      <c r="I4094" s="1">
        <v>1541.1399999999999</v>
      </c>
      <c r="J4094" s="16">
        <v>195286.37240679542</v>
      </c>
      <c r="K4094" s="5">
        <v>5.1099840872456823E-2</v>
      </c>
      <c r="L4094" s="10">
        <v>127661.8222</v>
      </c>
    </row>
    <row r="4095" spans="1:12" x14ac:dyDescent="0.25">
      <c r="A4095">
        <v>4094</v>
      </c>
      <c r="B4095" s="3">
        <v>0.20557310171423798</v>
      </c>
      <c r="C4095" s="3">
        <v>5.0131052758588798E-2</v>
      </c>
      <c r="D4095" s="1">
        <v>137373.39154586548</v>
      </c>
      <c r="E4095" s="1">
        <v>6454899</v>
      </c>
      <c r="F4095" s="1">
        <v>32078307</v>
      </c>
      <c r="G4095" s="16">
        <v>19820.102562190463</v>
      </c>
      <c r="H4095">
        <v>149.19999999999999</v>
      </c>
      <c r="I4095" s="1">
        <v>389.61</v>
      </c>
      <c r="J4095" s="16">
        <v>157193.49410805595</v>
      </c>
      <c r="K4095" s="5">
        <v>0.19139925890586765</v>
      </c>
      <c r="L4095" s="10">
        <v>463765.88909999997</v>
      </c>
    </row>
    <row r="4096" spans="1:12" x14ac:dyDescent="0.25">
      <c r="A4096">
        <v>4095</v>
      </c>
      <c r="B4096" s="3">
        <v>0.20601164294741925</v>
      </c>
      <c r="C4096" s="3">
        <v>2.9571484675266973E-2</v>
      </c>
      <c r="D4096" s="1">
        <v>101109.64283195056</v>
      </c>
      <c r="E4096" s="1">
        <v>4761447</v>
      </c>
      <c r="F4096" s="1">
        <v>29963192</v>
      </c>
      <c r="G4096" s="16">
        <v>38681.846005455984</v>
      </c>
      <c r="H4096">
        <v>368.16</v>
      </c>
      <c r="I4096" s="1">
        <v>951.51</v>
      </c>
      <c r="J4096" s="16">
        <v>139791.48883740656</v>
      </c>
      <c r="K4096" s="5">
        <v>0.11507763753276186</v>
      </c>
      <c r="L4096" s="10">
        <v>519461.80589999998</v>
      </c>
    </row>
    <row r="4097" spans="1:12" x14ac:dyDescent="0.25">
      <c r="A4097">
        <v>4096</v>
      </c>
      <c r="B4097" s="3">
        <v>0.21147932199199665</v>
      </c>
      <c r="C4097" s="3">
        <v>2.9093373951490951E-2</v>
      </c>
      <c r="D4097" s="1">
        <v>207951.09604351388</v>
      </c>
      <c r="E4097" s="1">
        <v>12767286</v>
      </c>
      <c r="F4097" s="1">
        <v>50939918</v>
      </c>
      <c r="G4097" s="16">
        <v>25548.594483143919</v>
      </c>
      <c r="H4097">
        <v>202.76</v>
      </c>
      <c r="I4097" s="1">
        <v>554.32999999999993</v>
      </c>
      <c r="J4097" s="16">
        <v>233499.6905266578</v>
      </c>
      <c r="K4097" s="5">
        <v>7.5192080810201123E-2</v>
      </c>
      <c r="L4097" s="10">
        <v>522849.54269999999</v>
      </c>
    </row>
    <row r="4098" spans="1:12" x14ac:dyDescent="0.25">
      <c r="A4098">
        <v>4097</v>
      </c>
      <c r="B4098" s="3">
        <v>0.24325807196361682</v>
      </c>
      <c r="C4098" s="3">
        <v>2.536427599541316E-2</v>
      </c>
      <c r="D4098" s="1">
        <v>86908.104166693622</v>
      </c>
      <c r="E4098" s="1">
        <v>4959890</v>
      </c>
      <c r="F4098" s="1">
        <v>34585999</v>
      </c>
      <c r="G4098" s="16">
        <v>27935.701842809747</v>
      </c>
      <c r="H4098">
        <v>390.02</v>
      </c>
      <c r="I4098" s="1">
        <v>941.12</v>
      </c>
      <c r="J4098" s="16">
        <v>114843.80600950337</v>
      </c>
      <c r="K4098" s="5">
        <v>2.7283092656745743E-3</v>
      </c>
      <c r="L4098" s="10">
        <v>42803.864600000001</v>
      </c>
    </row>
    <row r="4099" spans="1:12" x14ac:dyDescent="0.25">
      <c r="A4099">
        <v>4098</v>
      </c>
      <c r="B4099" s="3">
        <v>0.13859986429960339</v>
      </c>
      <c r="C4099" s="3">
        <v>3.229372979050936E-2</v>
      </c>
      <c r="D4099" s="1">
        <v>388166.94505048014</v>
      </c>
      <c r="E4099" s="1">
        <v>15317811</v>
      </c>
      <c r="F4099" s="1">
        <v>44927065</v>
      </c>
      <c r="G4099" s="16">
        <v>23623.165078296166</v>
      </c>
      <c r="H4099">
        <v>87.05</v>
      </c>
      <c r="I4099" s="1">
        <v>307.26</v>
      </c>
      <c r="J4099" s="16">
        <v>411790.11012877629</v>
      </c>
      <c r="K4099" s="5">
        <v>8.1148965611229334E-2</v>
      </c>
      <c r="L4099" s="10">
        <v>880550.3726</v>
      </c>
    </row>
    <row r="4100" spans="1:12" x14ac:dyDescent="0.25">
      <c r="A4100">
        <v>4099</v>
      </c>
      <c r="B4100" s="3">
        <v>0.16733501629598521</v>
      </c>
      <c r="C4100" s="3">
        <v>4.5710050743911358E-2</v>
      </c>
      <c r="D4100" s="1">
        <v>99819.498692205845</v>
      </c>
      <c r="E4100" s="1">
        <v>3235984</v>
      </c>
      <c r="F4100" s="1">
        <v>13769033</v>
      </c>
      <c r="G4100" s="16">
        <v>29114.713957871361</v>
      </c>
      <c r="H4100">
        <v>131.44</v>
      </c>
      <c r="I4100" s="1">
        <v>379.37</v>
      </c>
      <c r="J4100" s="16">
        <v>128934.21265007721</v>
      </c>
      <c r="K4100" s="5">
        <v>4.4526051277501477E-2</v>
      </c>
      <c r="L4100" s="10">
        <v>104672.77190000001</v>
      </c>
    </row>
    <row r="4101" spans="1:12" x14ac:dyDescent="0.25">
      <c r="A4101">
        <v>4100</v>
      </c>
      <c r="B4101" s="3">
        <v>0.12914406402318424</v>
      </c>
      <c r="C4101" s="3">
        <v>5.3185920972638412E-2</v>
      </c>
      <c r="D4101" s="1">
        <v>205878.31310785175</v>
      </c>
      <c r="E4101" s="1">
        <v>6699280</v>
      </c>
      <c r="F4101" s="1">
        <v>26892907</v>
      </c>
      <c r="G4101" s="16">
        <v>43106.733517573644</v>
      </c>
      <c r="H4101">
        <v>170.81</v>
      </c>
      <c r="I4101" s="1">
        <v>536.47</v>
      </c>
      <c r="J4101" s="16">
        <v>248985.0466254254</v>
      </c>
      <c r="K4101" s="5">
        <v>0.14498112085806847</v>
      </c>
      <c r="L4101" s="10">
        <v>473825.75819999998</v>
      </c>
    </row>
    <row r="4102" spans="1:12" x14ac:dyDescent="0.25">
      <c r="A4102">
        <v>4101</v>
      </c>
      <c r="B4102" s="3">
        <v>0.11893955487716741</v>
      </c>
      <c r="C4102" s="3">
        <v>2.2684288277867629E-2</v>
      </c>
      <c r="D4102" s="1">
        <v>109340.78654458461</v>
      </c>
      <c r="E4102" s="1">
        <v>2992047</v>
      </c>
      <c r="F4102" s="1">
        <v>14082091</v>
      </c>
      <c r="G4102" s="16">
        <v>46574.557232311367</v>
      </c>
      <c r="H4102">
        <v>170.11</v>
      </c>
      <c r="I4102" s="1">
        <v>469.79</v>
      </c>
      <c r="J4102" s="16">
        <v>155915.34377689598</v>
      </c>
      <c r="K4102" s="5">
        <v>2.1428083453989329E-2</v>
      </c>
      <c r="L4102" s="10">
        <v>133391.08259999999</v>
      </c>
    </row>
    <row r="4103" spans="1:12" x14ac:dyDescent="0.25">
      <c r="A4103">
        <v>4102</v>
      </c>
      <c r="B4103" s="3">
        <v>0.10294513025186976</v>
      </c>
      <c r="C4103" s="3">
        <v>4.9691773277719467E-2</v>
      </c>
      <c r="D4103" s="1">
        <v>327796.47600545629</v>
      </c>
      <c r="E4103" s="1">
        <v>10561174</v>
      </c>
      <c r="F4103" s="1">
        <v>43820335</v>
      </c>
      <c r="G4103" s="16">
        <v>67157.467091485058</v>
      </c>
      <c r="H4103">
        <v>215.92</v>
      </c>
      <c r="I4103" s="1">
        <v>702.39</v>
      </c>
      <c r="J4103" s="16">
        <v>394953.94309694134</v>
      </c>
      <c r="K4103" s="5">
        <v>0.23040857709752322</v>
      </c>
      <c r="L4103" s="10">
        <v>1413085.5118</v>
      </c>
    </row>
    <row r="4104" spans="1:12" x14ac:dyDescent="0.25">
      <c r="A4104">
        <v>4103</v>
      </c>
      <c r="B4104" s="3">
        <v>0.11332860041397692</v>
      </c>
      <c r="C4104" s="3">
        <v>2.5293278168927489E-2</v>
      </c>
      <c r="D4104" s="1">
        <v>343003.59218864271</v>
      </c>
      <c r="E4104" s="1">
        <v>10386052</v>
      </c>
      <c r="F4104" s="1">
        <v>36143365</v>
      </c>
      <c r="G4104" s="16">
        <v>38203.17905028876</v>
      </c>
      <c r="H4104">
        <v>118.3</v>
      </c>
      <c r="I4104" s="1">
        <v>381.53000000000003</v>
      </c>
      <c r="J4104" s="16">
        <v>381206.77123893145</v>
      </c>
      <c r="K4104" s="5">
        <v>0.14812663389297132</v>
      </c>
      <c r="L4104" s="10">
        <v>1898685.0933000001</v>
      </c>
    </row>
    <row r="4105" spans="1:12" x14ac:dyDescent="0.25">
      <c r="A4105">
        <v>4104</v>
      </c>
      <c r="B4105" s="3">
        <v>0.1409121088028007</v>
      </c>
      <c r="C4105" s="3">
        <v>5.1336266032918965E-2</v>
      </c>
      <c r="D4105" s="1">
        <v>62319.822256763167</v>
      </c>
      <c r="E4105" s="1">
        <v>1839572</v>
      </c>
      <c r="F4105" s="1">
        <v>12470617</v>
      </c>
      <c r="G4105" s="16">
        <v>47395.873020552077</v>
      </c>
      <c r="H4105">
        <v>240.43</v>
      </c>
      <c r="I4105" s="1">
        <v>882.34000000000015</v>
      </c>
      <c r="J4105" s="16">
        <v>109715.69527731524</v>
      </c>
      <c r="K4105" s="5">
        <v>0.11885993046276042</v>
      </c>
      <c r="L4105" s="10">
        <v>198001.46590000001</v>
      </c>
    </row>
    <row r="4106" spans="1:12" x14ac:dyDescent="0.25">
      <c r="A4106">
        <v>4105</v>
      </c>
      <c r="B4106" s="3">
        <v>0.14148024096727135</v>
      </c>
      <c r="C4106" s="3">
        <v>5.2388069124405121E-2</v>
      </c>
      <c r="D4106" s="1">
        <v>101838.22805299445</v>
      </c>
      <c r="E4106" s="1">
        <v>3012055</v>
      </c>
      <c r="F4106" s="1">
        <v>18565989</v>
      </c>
      <c r="G4106" s="16">
        <v>36819.127020234824</v>
      </c>
      <c r="H4106">
        <v>161.16</v>
      </c>
      <c r="I4106" s="1">
        <v>589.02</v>
      </c>
      <c r="J4106" s="16">
        <v>138657.35507322929</v>
      </c>
      <c r="K4106" s="5">
        <v>0.16418005344066616</v>
      </c>
      <c r="L4106" s="10">
        <v>345564.30300000001</v>
      </c>
    </row>
    <row r="4107" spans="1:12" x14ac:dyDescent="0.25">
      <c r="A4107">
        <v>4106</v>
      </c>
      <c r="B4107" s="3">
        <v>0.22238931411582413</v>
      </c>
      <c r="C4107" s="3">
        <v>6.5354237121034761E-2</v>
      </c>
      <c r="D4107" s="1">
        <v>116822.32559233338</v>
      </c>
      <c r="E4107" s="1">
        <v>4649878</v>
      </c>
      <c r="F4107" s="1">
        <v>18112697</v>
      </c>
      <c r="G4107" s="16">
        <v>14796.77663231923</v>
      </c>
      <c r="H4107">
        <v>100.79</v>
      </c>
      <c r="I4107" s="1">
        <v>302.53000000000003</v>
      </c>
      <c r="J4107" s="16">
        <v>131619.1022246526</v>
      </c>
      <c r="K4107" s="5">
        <v>9.4296758646169182E-2</v>
      </c>
      <c r="L4107" s="10">
        <v>134538.04980000001</v>
      </c>
    </row>
    <row r="4108" spans="1:12" x14ac:dyDescent="0.25">
      <c r="A4108">
        <v>4107</v>
      </c>
      <c r="B4108" s="3">
        <v>0.1947247040551468</v>
      </c>
      <c r="C4108" s="3">
        <v>5.4691943294140538E-2</v>
      </c>
      <c r="D4108" s="1">
        <v>51538.369924258528</v>
      </c>
      <c r="E4108" s="1">
        <v>1487457</v>
      </c>
      <c r="F4108" s="1">
        <v>9639528</v>
      </c>
      <c r="G4108" s="16">
        <v>14149.898622917684</v>
      </c>
      <c r="H4108">
        <v>78.099999999999994</v>
      </c>
      <c r="I4108" s="1">
        <v>268.39999999999998</v>
      </c>
      <c r="J4108" s="16">
        <v>65688.268547176209</v>
      </c>
      <c r="K4108" s="5">
        <v>0.18298618966822508</v>
      </c>
      <c r="L4108" s="10">
        <v>170376.04310000001</v>
      </c>
    </row>
    <row r="4109" spans="1:12" x14ac:dyDescent="0.25">
      <c r="A4109">
        <v>4108</v>
      </c>
      <c r="B4109" s="3">
        <v>0.19655779905044291</v>
      </c>
      <c r="C4109" s="3">
        <v>7.7833166908887919E-2</v>
      </c>
      <c r="D4109" s="1">
        <v>117714.89680883122</v>
      </c>
      <c r="E4109" s="1">
        <v>5287070</v>
      </c>
      <c r="F4109" s="1">
        <v>22794612</v>
      </c>
      <c r="G4109" s="16">
        <v>25535.72065607597</v>
      </c>
      <c r="H4109">
        <v>221.11</v>
      </c>
      <c r="I4109" s="1">
        <v>828.25</v>
      </c>
      <c r="J4109" s="16">
        <v>143250.61746490721</v>
      </c>
      <c r="K4109" s="5">
        <v>0.24101917645289134</v>
      </c>
      <c r="L4109" s="10">
        <v>315598.05790000001</v>
      </c>
    </row>
    <row r="4110" spans="1:12" x14ac:dyDescent="0.25">
      <c r="A4110">
        <v>4109</v>
      </c>
      <c r="B4110" s="3">
        <v>0.23979103745816951</v>
      </c>
      <c r="C4110" s="3">
        <v>3.3842331419904385E-2</v>
      </c>
      <c r="D4110" s="1">
        <v>30737.102624774172</v>
      </c>
      <c r="E4110" s="1">
        <v>995406</v>
      </c>
      <c r="F4110" s="1">
        <v>7568649</v>
      </c>
      <c r="G4110" s="16">
        <v>14295.702341437185</v>
      </c>
      <c r="H4110">
        <v>111.4</v>
      </c>
      <c r="I4110" s="1">
        <v>335.97</v>
      </c>
      <c r="J4110" s="16">
        <v>45032.804966211355</v>
      </c>
      <c r="K4110" s="5">
        <v>0.20405765028502773</v>
      </c>
      <c r="L4110" s="10">
        <v>236110.9651</v>
      </c>
    </row>
    <row r="4111" spans="1:12" x14ac:dyDescent="0.25">
      <c r="A4111">
        <v>4110</v>
      </c>
      <c r="B4111" s="3">
        <v>0.24238120280850456</v>
      </c>
      <c r="C4111" s="3">
        <v>6.0170542550719908E-2</v>
      </c>
      <c r="D4111" s="1">
        <v>69686.003117604429</v>
      </c>
      <c r="E4111" s="1">
        <v>2999137</v>
      </c>
      <c r="F4111" s="1">
        <v>14680002</v>
      </c>
      <c r="G4111" s="16">
        <v>14427.422157477818</v>
      </c>
      <c r="H4111">
        <v>151.63999999999999</v>
      </c>
      <c r="I4111" s="1">
        <v>455.38</v>
      </c>
      <c r="J4111" s="16">
        <v>84113.425275082249</v>
      </c>
      <c r="K4111" s="5">
        <v>0.15063500025957655</v>
      </c>
      <c r="L4111" s="10">
        <v>162646.9915</v>
      </c>
    </row>
    <row r="4112" spans="1:12" x14ac:dyDescent="0.25">
      <c r="A4112">
        <v>4111</v>
      </c>
      <c r="B4112" s="3">
        <v>0.10412491792504365</v>
      </c>
      <c r="C4112" s="3">
        <v>5.5323860259560348E-2</v>
      </c>
      <c r="D4112" s="1">
        <v>181740.4931138113</v>
      </c>
      <c r="E4112" s="1">
        <v>5280376</v>
      </c>
      <c r="F4112" s="1">
        <v>27682490</v>
      </c>
      <c r="G4112" s="16">
        <v>121556.90149320263</v>
      </c>
      <c r="H4112">
        <v>440.91</v>
      </c>
      <c r="I4112" s="1">
        <v>1363.93</v>
      </c>
      <c r="J4112" s="16">
        <v>303297.39460701391</v>
      </c>
      <c r="K4112" s="5">
        <v>4.0004079989921754E-2</v>
      </c>
      <c r="L4112" s="10">
        <v>143677.42189999999</v>
      </c>
    </row>
    <row r="4113" spans="1:12" x14ac:dyDescent="0.25">
      <c r="A4113">
        <v>4112</v>
      </c>
      <c r="B4113" s="3">
        <v>0.23640393725131542</v>
      </c>
      <c r="C4113" s="3">
        <v>6.5832740346692092E-2</v>
      </c>
      <c r="D4113" s="1">
        <v>173318.8561629919</v>
      </c>
      <c r="E4113" s="1">
        <v>9541001</v>
      </c>
      <c r="F4113" s="1">
        <v>36263841</v>
      </c>
      <c r="G4113" s="16">
        <v>15846.330618612628</v>
      </c>
      <c r="H4113">
        <v>157.33000000000001</v>
      </c>
      <c r="I4113" s="1">
        <v>424.58000000000004</v>
      </c>
      <c r="J4113" s="16">
        <v>189165.18678160454</v>
      </c>
      <c r="K4113" s="5">
        <v>0.17285926147513753</v>
      </c>
      <c r="L4113" s="10">
        <v>362408.21039999998</v>
      </c>
    </row>
    <row r="4114" spans="1:12" x14ac:dyDescent="0.25">
      <c r="A4114">
        <v>4113</v>
      </c>
      <c r="B4114" s="3">
        <v>0.14272440373451817</v>
      </c>
      <c r="C4114" s="3">
        <v>5.8253152724722784E-2</v>
      </c>
      <c r="D4114" s="1">
        <v>490896.27915033518</v>
      </c>
      <c r="E4114" s="1">
        <v>19842221</v>
      </c>
      <c r="F4114" s="1">
        <v>59706603</v>
      </c>
      <c r="G4114" s="16">
        <v>55515.09823206615</v>
      </c>
      <c r="H4114">
        <v>286.20999999999998</v>
      </c>
      <c r="I4114" s="1">
        <v>782.3</v>
      </c>
      <c r="J4114" s="16">
        <v>546411.37738240138</v>
      </c>
      <c r="K4114" s="5">
        <v>1.3195402347474544E-2</v>
      </c>
      <c r="L4114" s="10">
        <v>129725.811</v>
      </c>
    </row>
    <row r="4115" spans="1:12" x14ac:dyDescent="0.25">
      <c r="A4115">
        <v>4114</v>
      </c>
      <c r="B4115" s="3">
        <v>0.19503458766228488</v>
      </c>
      <c r="C4115" s="3">
        <v>4.3148212635923125E-2</v>
      </c>
      <c r="D4115" s="1">
        <v>127177.58231682258</v>
      </c>
      <c r="E4115" s="1">
        <v>5668973</v>
      </c>
      <c r="F4115" s="1">
        <v>23424575</v>
      </c>
      <c r="G4115" s="16">
        <v>24457.504610074779</v>
      </c>
      <c r="H4115">
        <v>167.9</v>
      </c>
      <c r="I4115" s="1">
        <v>586.63</v>
      </c>
      <c r="J4115" s="16">
        <v>151635.08692689735</v>
      </c>
      <c r="K4115" s="5">
        <v>0.31407878448011195</v>
      </c>
      <c r="L4115" s="10">
        <v>881303.33459999994</v>
      </c>
    </row>
    <row r="4116" spans="1:12" x14ac:dyDescent="0.25">
      <c r="A4116">
        <v>4115</v>
      </c>
      <c r="B4116" s="3">
        <v>0.1368351376126779</v>
      </c>
      <c r="C4116" s="3">
        <v>3.4870353321018947E-2</v>
      </c>
      <c r="D4116" s="1">
        <v>326420.67788045719</v>
      </c>
      <c r="E4116" s="1">
        <v>12750051</v>
      </c>
      <c r="F4116" s="1">
        <v>52191076</v>
      </c>
      <c r="G4116" s="16">
        <v>34798.178219631161</v>
      </c>
      <c r="H4116">
        <v>126.49</v>
      </c>
      <c r="I4116" s="1">
        <v>326.52999999999997</v>
      </c>
      <c r="J4116" s="16">
        <v>361218.85610008833</v>
      </c>
      <c r="K4116" s="5">
        <v>0.24081954761564289</v>
      </c>
      <c r="L4116" s="10">
        <v>2024338.4624000001</v>
      </c>
    </row>
    <row r="4117" spans="1:12" x14ac:dyDescent="0.25">
      <c r="A4117">
        <v>4116</v>
      </c>
      <c r="B4117" s="3">
        <v>0.23891605183499121</v>
      </c>
      <c r="C4117" s="3">
        <v>4.5493141911217526E-2</v>
      </c>
      <c r="D4117" s="1">
        <v>91895.214325836292</v>
      </c>
      <c r="E4117" s="1">
        <v>5125841</v>
      </c>
      <c r="F4117" s="1">
        <v>30031161</v>
      </c>
      <c r="G4117" s="16">
        <v>9064.6267750105744</v>
      </c>
      <c r="H4117">
        <v>70.23</v>
      </c>
      <c r="I4117" s="1">
        <v>275.64999999999998</v>
      </c>
      <c r="J4117" s="16">
        <v>100959.84110084687</v>
      </c>
      <c r="K4117" s="5">
        <v>0.16107389493049953</v>
      </c>
      <c r="L4117" s="10">
        <v>301374.23249999998</v>
      </c>
    </row>
    <row r="4118" spans="1:12" x14ac:dyDescent="0.25">
      <c r="A4118">
        <v>4117</v>
      </c>
      <c r="B4118" s="3">
        <v>0.17259421400857622</v>
      </c>
      <c r="C4118" s="3">
        <v>2.5383803177368769E-2</v>
      </c>
      <c r="D4118" s="1">
        <v>350223.29011971742</v>
      </c>
      <c r="E4118" s="1">
        <v>16902678</v>
      </c>
      <c r="F4118" s="1">
        <v>57680367</v>
      </c>
      <c r="G4118" s="16">
        <v>40442.097621249122</v>
      </c>
      <c r="H4118">
        <v>277.08999999999997</v>
      </c>
      <c r="I4118" s="1">
        <v>1003.27</v>
      </c>
      <c r="J4118" s="16">
        <v>390665.38774096651</v>
      </c>
      <c r="K4118" s="5">
        <v>6.4554399709239152E-2</v>
      </c>
      <c r="L4118" s="10">
        <v>880128.27269999997</v>
      </c>
    </row>
    <row r="4119" spans="1:12" x14ac:dyDescent="0.25">
      <c r="A4119">
        <v>4118</v>
      </c>
      <c r="B4119" s="3">
        <v>0.20350733837490009</v>
      </c>
      <c r="C4119" s="3">
        <v>5.8368386786584708E-2</v>
      </c>
      <c r="D4119" s="1">
        <v>154617.99844403099</v>
      </c>
      <c r="E4119" s="1">
        <v>7190110</v>
      </c>
      <c r="F4119" s="1">
        <v>27723336</v>
      </c>
      <c r="G4119" s="16">
        <v>28233.190765088813</v>
      </c>
      <c r="H4119">
        <v>209.22</v>
      </c>
      <c r="I4119" s="1">
        <v>693.59</v>
      </c>
      <c r="J4119" s="16">
        <v>182851.1892091198</v>
      </c>
      <c r="K4119" s="5">
        <v>8.3632494350728226E-2</v>
      </c>
      <c r="L4119" s="10">
        <v>189585.03750000001</v>
      </c>
    </row>
    <row r="4120" spans="1:12" x14ac:dyDescent="0.25">
      <c r="A4120">
        <v>4119</v>
      </c>
      <c r="B4120" s="3">
        <v>0.17200233045185098</v>
      </c>
      <c r="C4120" s="3">
        <v>2.2163007485207529E-2</v>
      </c>
      <c r="D4120" s="1">
        <v>132749.30586454857</v>
      </c>
      <c r="E4120" s="1">
        <v>4376719</v>
      </c>
      <c r="F4120" s="1">
        <v>16641040</v>
      </c>
      <c r="G4120" s="16">
        <v>42915.014768578701</v>
      </c>
      <c r="H4120">
        <v>292.44</v>
      </c>
      <c r="I4120" s="1">
        <v>793.92</v>
      </c>
      <c r="J4120" s="16">
        <v>175664.32063312727</v>
      </c>
      <c r="K4120" s="5">
        <v>3.6653693171168122E-2</v>
      </c>
      <c r="L4120" s="10">
        <v>255109.00090000001</v>
      </c>
    </row>
    <row r="4121" spans="1:12" x14ac:dyDescent="0.25">
      <c r="A4121">
        <v>4120</v>
      </c>
      <c r="B4121" s="3">
        <v>0.17574340149501261</v>
      </c>
      <c r="C4121" s="3">
        <v>6.8804350817699186E-2</v>
      </c>
      <c r="D4121" s="1">
        <v>102628.3514258231</v>
      </c>
      <c r="E4121" s="1">
        <v>4161221</v>
      </c>
      <c r="F4121" s="1">
        <v>25253674</v>
      </c>
      <c r="G4121" s="16">
        <v>18986.010519768231</v>
      </c>
      <c r="H4121">
        <v>91.1</v>
      </c>
      <c r="I4121" s="1">
        <v>264.27999999999997</v>
      </c>
      <c r="J4121" s="16">
        <v>121614.36194559133</v>
      </c>
      <c r="K4121" s="5">
        <v>1.8425877018639313E-2</v>
      </c>
      <c r="L4121" s="10">
        <v>48899.661500000002</v>
      </c>
    </row>
    <row r="4122" spans="1:12" x14ac:dyDescent="0.25">
      <c r="A4122">
        <v>4121</v>
      </c>
      <c r="B4122" s="3">
        <v>0.12202217170355555</v>
      </c>
      <c r="C4122" s="3">
        <v>2.6271553128415712E-2</v>
      </c>
      <c r="D4122" s="1">
        <v>387786.57404096215</v>
      </c>
      <c r="E4122" s="1">
        <v>13911626</v>
      </c>
      <c r="F4122" s="1">
        <v>53343124</v>
      </c>
      <c r="G4122" s="16">
        <v>53685.305095897231</v>
      </c>
      <c r="H4122">
        <v>228.74</v>
      </c>
      <c r="I4122" s="1">
        <v>811.92</v>
      </c>
      <c r="J4122" s="16">
        <v>441471.87913685938</v>
      </c>
      <c r="K4122" s="5">
        <v>-4.2794792692560285E-2</v>
      </c>
      <c r="L4122" s="10">
        <v>-522784.7095</v>
      </c>
    </row>
    <row r="4123" spans="1:12" x14ac:dyDescent="0.25">
      <c r="A4123">
        <v>4122</v>
      </c>
      <c r="B4123" s="3">
        <v>0.22842687322270119</v>
      </c>
      <c r="C4123" s="3">
        <v>4.8311663059378243E-2</v>
      </c>
      <c r="D4123" s="1">
        <v>101178.59976192619</v>
      </c>
      <c r="E4123" s="1">
        <v>4122498</v>
      </c>
      <c r="F4123" s="1">
        <v>14563844</v>
      </c>
      <c r="G4123" s="16">
        <v>18176.992957711234</v>
      </c>
      <c r="H4123">
        <v>168.29</v>
      </c>
      <c r="I4123" s="1">
        <v>605.5</v>
      </c>
      <c r="J4123" s="16">
        <v>119355.59271963743</v>
      </c>
      <c r="K4123" s="5">
        <v>3.0529955944173678E-2</v>
      </c>
      <c r="L4123" s="10">
        <v>81670.912299999996</v>
      </c>
    </row>
    <row r="4124" spans="1:12" x14ac:dyDescent="0.25">
      <c r="A4124">
        <v>4123</v>
      </c>
      <c r="B4124" s="3">
        <v>0.17957498350604884</v>
      </c>
      <c r="C4124" s="3">
        <v>3.8238328496519411E-2</v>
      </c>
      <c r="D4124" s="1">
        <v>70948.463489366972</v>
      </c>
      <c r="E4124" s="1">
        <v>2404526</v>
      </c>
      <c r="F4124" s="1">
        <v>14445322</v>
      </c>
      <c r="G4124" s="16">
        <v>42509.917220477786</v>
      </c>
      <c r="H4124">
        <v>255.84</v>
      </c>
      <c r="I4124" s="1">
        <v>611.92000000000007</v>
      </c>
      <c r="J4124" s="16">
        <v>113458.38070984476</v>
      </c>
      <c r="K4124" s="5">
        <v>-2.7819932022484124E-2</v>
      </c>
      <c r="L4124" s="10">
        <v>-52941.984799999998</v>
      </c>
    </row>
    <row r="4125" spans="1:12" x14ac:dyDescent="0.25">
      <c r="A4125">
        <v>4124</v>
      </c>
      <c r="B4125" s="3">
        <v>0.2226592686862878</v>
      </c>
      <c r="C4125" s="3">
        <v>7.0739145428122416E-2</v>
      </c>
      <c r="D4125" s="1">
        <v>154238.19615026246</v>
      </c>
      <c r="E4125" s="1">
        <v>10170397</v>
      </c>
      <c r="F4125" s="1">
        <v>46465569</v>
      </c>
      <c r="G4125" s="16">
        <v>11310.123876279482</v>
      </c>
      <c r="H4125">
        <v>77.11</v>
      </c>
      <c r="I4125" s="1">
        <v>230.71000000000004</v>
      </c>
      <c r="J4125" s="16">
        <v>165548.32002654194</v>
      </c>
      <c r="K4125" s="5">
        <v>0.14707160099426073</v>
      </c>
      <c r="L4125" s="10">
        <v>208317.60579999999</v>
      </c>
    </row>
    <row r="4126" spans="1:12" x14ac:dyDescent="0.25">
      <c r="A4126">
        <v>4125</v>
      </c>
      <c r="B4126" s="3">
        <v>0.10959227066928522</v>
      </c>
      <c r="C4126" s="3">
        <v>3.6376229815894445E-2</v>
      </c>
      <c r="D4126" s="1">
        <v>91377.52752776022</v>
      </c>
      <c r="E4126" s="1">
        <v>2422567</v>
      </c>
      <c r="F4126" s="1">
        <v>13270582</v>
      </c>
      <c r="G4126" s="16">
        <v>54767.740354935246</v>
      </c>
      <c r="H4126">
        <v>185.67</v>
      </c>
      <c r="I4126" s="1">
        <v>638.29999999999995</v>
      </c>
      <c r="J4126" s="16">
        <v>146145.26788269548</v>
      </c>
      <c r="K4126" s="5">
        <v>0.22892585137519328</v>
      </c>
      <c r="L4126" s="10">
        <v>738913.45889999997</v>
      </c>
    </row>
    <row r="4127" spans="1:12" x14ac:dyDescent="0.25">
      <c r="A4127">
        <v>4126</v>
      </c>
      <c r="B4127" s="3">
        <v>0.11430927675848815</v>
      </c>
      <c r="C4127" s="3">
        <v>2.242957030440762E-2</v>
      </c>
      <c r="D4127" s="1">
        <v>103426.5902411</v>
      </c>
      <c r="E4127" s="1">
        <v>3145624</v>
      </c>
      <c r="F4127" s="1">
        <v>23017891</v>
      </c>
      <c r="G4127" s="16">
        <v>49270.019379244157</v>
      </c>
      <c r="H4127">
        <v>173.59</v>
      </c>
      <c r="I4127" s="1">
        <v>479.56000000000006</v>
      </c>
      <c r="J4127" s="16">
        <v>152696.60962034416</v>
      </c>
      <c r="K4127" s="5">
        <v>-4.613079414212877E-2</v>
      </c>
      <c r="L4127" s="10">
        <v>-237529.38860000001</v>
      </c>
    </row>
    <row r="4128" spans="1:12" x14ac:dyDescent="0.25">
      <c r="A4128">
        <v>4127</v>
      </c>
      <c r="B4128" s="3">
        <v>0.21290915039440977</v>
      </c>
      <c r="C4128" s="3">
        <v>2.3861419194053757E-2</v>
      </c>
      <c r="D4128" s="1">
        <v>201155.65824317664</v>
      </c>
      <c r="E4128" s="1">
        <v>12462683</v>
      </c>
      <c r="F4128" s="1">
        <v>43540396</v>
      </c>
      <c r="G4128" s="16">
        <v>17546.731873936067</v>
      </c>
      <c r="H4128">
        <v>110.95</v>
      </c>
      <c r="I4128" s="1">
        <v>290.7</v>
      </c>
      <c r="J4128" s="16">
        <v>218702.39011711272</v>
      </c>
      <c r="K4128" s="5">
        <v>-1.4659132717934252E-2</v>
      </c>
      <c r="L4128" s="10">
        <v>-126043.82670000001</v>
      </c>
    </row>
    <row r="4129" spans="1:12" x14ac:dyDescent="0.25">
      <c r="A4129">
        <v>4128</v>
      </c>
      <c r="B4129" s="3">
        <v>0.10977413869735295</v>
      </c>
      <c r="C4129" s="3">
        <v>6.9810342528466657E-2</v>
      </c>
      <c r="D4129" s="1">
        <v>380814.6855997509</v>
      </c>
      <c r="E4129" s="1">
        <v>11347902</v>
      </c>
      <c r="F4129" s="1">
        <v>42938930</v>
      </c>
      <c r="G4129" s="16">
        <v>50240.634671396794</v>
      </c>
      <c r="H4129">
        <v>170.43</v>
      </c>
      <c r="I4129" s="1">
        <v>587.71</v>
      </c>
      <c r="J4129" s="16">
        <v>431055.32027114771</v>
      </c>
      <c r="K4129" s="5">
        <v>4.1639286339357304E-2</v>
      </c>
      <c r="L4129" s="10">
        <v>210075.03200000001</v>
      </c>
    </row>
    <row r="4130" spans="1:12" x14ac:dyDescent="0.25">
      <c r="A4130">
        <v>4129</v>
      </c>
      <c r="B4130" s="3">
        <v>0.10071064031313146</v>
      </c>
      <c r="C4130" s="3">
        <v>2.4938207044180909E-2</v>
      </c>
      <c r="D4130" s="1">
        <v>76199.133539521368</v>
      </c>
      <c r="E4130" s="1">
        <v>1960894</v>
      </c>
      <c r="F4130" s="1">
        <v>14116289</v>
      </c>
      <c r="G4130" s="16">
        <v>15506.752926882316</v>
      </c>
      <c r="H4130">
        <v>39.700000000000003</v>
      </c>
      <c r="I4130" s="1">
        <v>174.51999999999998</v>
      </c>
      <c r="J4130" s="16">
        <v>91705.886466403681</v>
      </c>
      <c r="K4130" s="5">
        <v>5.9871573154302596E-2</v>
      </c>
      <c r="L4130" s="10">
        <v>239614.17800000001</v>
      </c>
    </row>
    <row r="4131" spans="1:12" x14ac:dyDescent="0.25">
      <c r="A4131">
        <v>4130</v>
      </c>
      <c r="B4131" s="3">
        <v>0.13029642852213796</v>
      </c>
      <c r="C4131" s="3">
        <v>5.7487525583093585E-2</v>
      </c>
      <c r="D4131" s="1">
        <v>221044.84191474627</v>
      </c>
      <c r="E4131" s="1">
        <v>8314320</v>
      </c>
      <c r="F4131" s="1">
        <v>44771990</v>
      </c>
      <c r="G4131" s="16">
        <v>50906.536214194042</v>
      </c>
      <c r="H4131">
        <v>203.29</v>
      </c>
      <c r="I4131" s="1">
        <v>502.62</v>
      </c>
      <c r="J4131" s="16">
        <v>271951.3781289403</v>
      </c>
      <c r="K4131" s="5">
        <v>0.21109985790436514</v>
      </c>
      <c r="L4131" s="10">
        <v>785329.41379999998</v>
      </c>
    </row>
    <row r="4132" spans="1:12" x14ac:dyDescent="0.25">
      <c r="A4132">
        <v>4131</v>
      </c>
      <c r="B4132" s="3">
        <v>0.22532200620080975</v>
      </c>
      <c r="C4132" s="3">
        <v>5.3618735193913081E-2</v>
      </c>
      <c r="D4132" s="1">
        <v>380676.12759423035</v>
      </c>
      <c r="E4132" s="1">
        <v>25535965</v>
      </c>
      <c r="F4132" s="1">
        <v>78255664</v>
      </c>
      <c r="G4132" s="16">
        <v>50723.348194568542</v>
      </c>
      <c r="H4132">
        <v>760.11</v>
      </c>
      <c r="I4132" s="1">
        <v>1893.1</v>
      </c>
      <c r="J4132" s="16">
        <v>431399.47578879888</v>
      </c>
      <c r="K4132" s="5">
        <v>9.165387638553138E-2</v>
      </c>
      <c r="L4132" s="10">
        <v>551695.07640000002</v>
      </c>
    </row>
    <row r="4133" spans="1:12" x14ac:dyDescent="0.25">
      <c r="A4133">
        <v>4132</v>
      </c>
      <c r="B4133" s="3">
        <v>0.11703577084153931</v>
      </c>
      <c r="C4133" s="3">
        <v>3.1075614785113323E-2</v>
      </c>
      <c r="D4133" s="1">
        <v>184394.24387922022</v>
      </c>
      <c r="E4133" s="1">
        <v>5677772</v>
      </c>
      <c r="F4133" s="1">
        <v>23053085</v>
      </c>
      <c r="G4133" s="16">
        <v>35506.669906368086</v>
      </c>
      <c r="H4133">
        <v>127.78</v>
      </c>
      <c r="I4133" s="1">
        <v>396.23</v>
      </c>
      <c r="J4133" s="16">
        <v>219900.91378558829</v>
      </c>
      <c r="K4133" s="5">
        <v>0.19932102721615313</v>
      </c>
      <c r="L4133" s="10">
        <v>1145841.7076999999</v>
      </c>
    </row>
    <row r="4134" spans="1:12" x14ac:dyDescent="0.25">
      <c r="A4134">
        <v>4133</v>
      </c>
      <c r="B4134" s="3">
        <v>0.17241850343095605</v>
      </c>
      <c r="C4134" s="3">
        <v>6.76128075784177E-2</v>
      </c>
      <c r="D4134" s="1">
        <v>72611.542483828569</v>
      </c>
      <c r="E4134" s="1">
        <v>2397598</v>
      </c>
      <c r="F4134" s="1">
        <v>14211632</v>
      </c>
      <c r="G4134" s="16">
        <v>19706.865660747513</v>
      </c>
      <c r="H4134">
        <v>92.23</v>
      </c>
      <c r="I4134" s="1">
        <v>302.34000000000003</v>
      </c>
      <c r="J4134" s="16">
        <v>92318.408144576082</v>
      </c>
      <c r="K4134" s="5">
        <v>0.15604850471764559</v>
      </c>
      <c r="L4134" s="10">
        <v>166289.76759999999</v>
      </c>
    </row>
    <row r="4135" spans="1:12" x14ac:dyDescent="0.25">
      <c r="A4135">
        <v>4134</v>
      </c>
      <c r="B4135" s="3">
        <v>0.2064121858102011</v>
      </c>
      <c r="C4135" s="3">
        <v>7.0004153273790018E-2</v>
      </c>
      <c r="D4135" s="1">
        <v>160133.32878266598</v>
      </c>
      <c r="E4135" s="1">
        <v>9521590</v>
      </c>
      <c r="F4135" s="1">
        <v>45278926</v>
      </c>
      <c r="G4135" s="16">
        <v>18153.550129032723</v>
      </c>
      <c r="H4135">
        <v>109.27</v>
      </c>
      <c r="I4135" s="1">
        <v>335.98</v>
      </c>
      <c r="J4135" s="16">
        <v>178286.8789116987</v>
      </c>
      <c r="K4135" s="5">
        <v>-8.2633335772470867E-2</v>
      </c>
      <c r="L4135" s="10">
        <v>-92251.114000000001</v>
      </c>
    </row>
    <row r="4136" spans="1:12" x14ac:dyDescent="0.25">
      <c r="A4136">
        <v>4135</v>
      </c>
      <c r="B4136" s="3">
        <v>0.12492832975176102</v>
      </c>
      <c r="C4136" s="3">
        <v>7.2882667328454359E-2</v>
      </c>
      <c r="D4136" s="1">
        <v>454605.54091106745</v>
      </c>
      <c r="E4136" s="1">
        <v>16581343</v>
      </c>
      <c r="F4136" s="1">
        <v>49874136</v>
      </c>
      <c r="G4136" s="16">
        <v>49578.812518834668</v>
      </c>
      <c r="H4136">
        <v>216.89</v>
      </c>
      <c r="I4136" s="1">
        <v>774.18999999999994</v>
      </c>
      <c r="J4136" s="16">
        <v>504184.35342990211</v>
      </c>
      <c r="K4136" s="5">
        <v>0.14211091058766032</v>
      </c>
      <c r="L4136" s="10">
        <v>619764.28570000001</v>
      </c>
    </row>
    <row r="4137" spans="1:12" x14ac:dyDescent="0.25">
      <c r="A4137">
        <v>4136</v>
      </c>
      <c r="B4137" s="3">
        <v>0.23924186989716539</v>
      </c>
      <c r="C4137" s="3">
        <v>5.3661675148832813E-2</v>
      </c>
      <c r="D4137" s="1">
        <v>97349.898662161955</v>
      </c>
      <c r="E4137" s="1">
        <v>4138080</v>
      </c>
      <c r="F4137" s="1">
        <v>20314184</v>
      </c>
      <c r="G4137" s="16">
        <v>7855.7546489052957</v>
      </c>
      <c r="H4137">
        <v>46.34</v>
      </c>
      <c r="I4137" s="1">
        <v>149.47000000000003</v>
      </c>
      <c r="J4137" s="16">
        <v>105205.65331106725</v>
      </c>
      <c r="K4137" s="5">
        <v>7.0245505725747212E-2</v>
      </c>
      <c r="L4137" s="10">
        <v>110275.8118</v>
      </c>
    </row>
    <row r="4138" spans="1:12" x14ac:dyDescent="0.25">
      <c r="A4138">
        <v>4137</v>
      </c>
      <c r="B4138" s="3">
        <v>0.22585611773640818</v>
      </c>
      <c r="C4138" s="3">
        <v>3.2259435814813602E-2</v>
      </c>
      <c r="D4138" s="1">
        <v>157963.98495542505</v>
      </c>
      <c r="E4138" s="1">
        <v>8231408</v>
      </c>
      <c r="F4138" s="1">
        <v>28538892</v>
      </c>
      <c r="G4138" s="16">
        <v>8342.1072829425048</v>
      </c>
      <c r="H4138">
        <v>45.05</v>
      </c>
      <c r="I4138" s="1">
        <v>181.2</v>
      </c>
      <c r="J4138" s="16">
        <v>166306.09223836756</v>
      </c>
      <c r="K4138" s="5">
        <v>7.9495583366596068E-2</v>
      </c>
      <c r="L4138" s="10">
        <v>327839.11009999999</v>
      </c>
    </row>
    <row r="4139" spans="1:12" x14ac:dyDescent="0.25">
      <c r="A4139">
        <v>4138</v>
      </c>
      <c r="B4139" s="3">
        <v>0.19401421480342745</v>
      </c>
      <c r="C4139" s="3">
        <v>2.0110153872420506E-2</v>
      </c>
      <c r="D4139" s="1">
        <v>427463.78493525792</v>
      </c>
      <c r="E4139" s="1">
        <v>23521501</v>
      </c>
      <c r="F4139" s="1">
        <v>75833892</v>
      </c>
      <c r="G4139" s="16">
        <v>36975.217767987029</v>
      </c>
      <c r="H4139">
        <v>312.62</v>
      </c>
      <c r="I4139" s="1">
        <v>952.00999999999988</v>
      </c>
      <c r="J4139" s="16">
        <v>464439.00270324497</v>
      </c>
      <c r="K4139" s="5">
        <v>4.8899680341008542E-2</v>
      </c>
      <c r="L4139" s="10">
        <v>1066555.6917000001</v>
      </c>
    </row>
    <row r="4140" spans="1:12" x14ac:dyDescent="0.25">
      <c r="A4140">
        <v>4139</v>
      </c>
      <c r="B4140" s="3">
        <v>0.17245445836871892</v>
      </c>
      <c r="C4140" s="3">
        <v>6.4821709324870094E-2</v>
      </c>
      <c r="D4140" s="1">
        <v>132808.88596043771</v>
      </c>
      <c r="E4140" s="1">
        <v>5299832</v>
      </c>
      <c r="F4140" s="1">
        <v>21664363</v>
      </c>
      <c r="G4140" s="16">
        <v>39306.340782993269</v>
      </c>
      <c r="H4140">
        <v>268.89999999999998</v>
      </c>
      <c r="I4140" s="1">
        <v>844.43999999999994</v>
      </c>
      <c r="J4140" s="16">
        <v>172115.22674343098</v>
      </c>
      <c r="K4140" s="5">
        <v>4.5187829078047727E-2</v>
      </c>
      <c r="L4140" s="10">
        <v>116266.1618</v>
      </c>
    </row>
    <row r="4141" spans="1:12" x14ac:dyDescent="0.25">
      <c r="A4141">
        <v>4140</v>
      </c>
      <c r="B4141" s="3">
        <v>0.10203995413598424</v>
      </c>
      <c r="C4141" s="3">
        <v>3.937533781826133E-2</v>
      </c>
      <c r="D4141" s="1">
        <v>217119.5630817161</v>
      </c>
      <c r="E4141" s="1">
        <v>5612170</v>
      </c>
      <c r="F4141" s="1">
        <v>20871864</v>
      </c>
      <c r="G4141" s="16">
        <v>54335.402046808362</v>
      </c>
      <c r="H4141">
        <v>173.48</v>
      </c>
      <c r="I4141" s="1">
        <v>474.12</v>
      </c>
      <c r="J4141" s="16">
        <v>271454.96512852446</v>
      </c>
      <c r="K4141" s="5">
        <v>4.2333100049454439E-3</v>
      </c>
      <c r="L4141" s="10">
        <v>54510.200700000001</v>
      </c>
    </row>
    <row r="4142" spans="1:12" x14ac:dyDescent="0.25">
      <c r="A4142">
        <v>4141</v>
      </c>
      <c r="B4142" s="3">
        <v>0.10124988487236662</v>
      </c>
      <c r="C4142" s="3">
        <v>3.8085491531036013E-2</v>
      </c>
      <c r="D4142" s="1">
        <v>154278.07262064406</v>
      </c>
      <c r="E4142" s="1">
        <v>4425384</v>
      </c>
      <c r="F4142" s="1">
        <v>22925157</v>
      </c>
      <c r="G4142" s="16">
        <v>81279.202490696262</v>
      </c>
      <c r="H4142">
        <v>287.54000000000002</v>
      </c>
      <c r="I4142" s="1">
        <v>965.21</v>
      </c>
      <c r="J4142" s="16">
        <v>235557.27511134034</v>
      </c>
      <c r="K4142" s="5">
        <v>0.22767165996647007</v>
      </c>
      <c r="L4142" s="10">
        <v>1162362.5175000001</v>
      </c>
    </row>
    <row r="4143" spans="1:12" x14ac:dyDescent="0.25">
      <c r="A4143">
        <v>4142</v>
      </c>
      <c r="B4143" s="3">
        <v>0.21719419454424374</v>
      </c>
      <c r="C4143" s="3">
        <v>4.8382683786186251E-2</v>
      </c>
      <c r="D4143" s="1">
        <v>79431.919750621601</v>
      </c>
      <c r="E4143" s="1">
        <v>3958968</v>
      </c>
      <c r="F4143" s="1">
        <v>23209479</v>
      </c>
      <c r="G4143" s="16">
        <v>19832.827048862051</v>
      </c>
      <c r="H4143">
        <v>165.8</v>
      </c>
      <c r="I4143" s="1">
        <v>499.32000000000005</v>
      </c>
      <c r="J4143" s="16">
        <v>99264.746799483648</v>
      </c>
      <c r="K4143" s="5">
        <v>-1.6212270504647137E-2</v>
      </c>
      <c r="L4143" s="10">
        <v>13326.565199999999</v>
      </c>
    </row>
    <row r="4144" spans="1:12" x14ac:dyDescent="0.25">
      <c r="A4144">
        <v>4143</v>
      </c>
      <c r="B4144" s="3">
        <v>0.23077861224920004</v>
      </c>
      <c r="C4144" s="3">
        <v>2.1786344993163381E-2</v>
      </c>
      <c r="D4144" s="1">
        <v>238177.51300007285</v>
      </c>
      <c r="E4144" s="1">
        <v>16551845</v>
      </c>
      <c r="F4144" s="1">
        <v>56014982</v>
      </c>
      <c r="G4144" s="16">
        <v>13843.934151080728</v>
      </c>
      <c r="H4144">
        <v>100.6</v>
      </c>
      <c r="I4144" s="1">
        <v>274.09000000000003</v>
      </c>
      <c r="J4144" s="16">
        <v>252021.44715115358</v>
      </c>
      <c r="K4144" s="5">
        <v>3.5100411926118333E-2</v>
      </c>
      <c r="L4144" s="10">
        <v>434131.94679999998</v>
      </c>
    </row>
    <row r="4145" spans="1:12" x14ac:dyDescent="0.25">
      <c r="A4145">
        <v>4144</v>
      </c>
      <c r="B4145" s="3">
        <v>0.17011341690903375</v>
      </c>
      <c r="C4145" s="3">
        <v>2.5916884145256475E-2</v>
      </c>
      <c r="D4145" s="1">
        <v>111898.63126427175</v>
      </c>
      <c r="E4145" s="1">
        <v>4415229</v>
      </c>
      <c r="F4145" s="1">
        <v>26657082</v>
      </c>
      <c r="G4145" s="16">
        <v>33347.684710913229</v>
      </c>
      <c r="H4145">
        <v>184.98</v>
      </c>
      <c r="I4145" s="1">
        <v>528.36</v>
      </c>
      <c r="J4145" s="16">
        <v>145246.31597518499</v>
      </c>
      <c r="K4145" s="5">
        <v>0.1253806614011912</v>
      </c>
      <c r="L4145" s="10">
        <v>627791.11410000001</v>
      </c>
    </row>
    <row r="4146" spans="1:12" x14ac:dyDescent="0.25">
      <c r="A4146">
        <v>4145</v>
      </c>
      <c r="B4146" s="3">
        <v>0.17411740826956457</v>
      </c>
      <c r="C4146" s="3">
        <v>6.6250611713447316E-2</v>
      </c>
      <c r="D4146" s="1">
        <v>36691.145872397217</v>
      </c>
      <c r="E4146" s="1">
        <v>1006763</v>
      </c>
      <c r="F4146" s="1">
        <v>8016827</v>
      </c>
      <c r="G4146" s="16">
        <v>20438.925972600045</v>
      </c>
      <c r="H4146">
        <v>117.36</v>
      </c>
      <c r="I4146" s="1">
        <v>404.21000000000004</v>
      </c>
      <c r="J4146" s="16">
        <v>57130.071844997263</v>
      </c>
      <c r="K4146" s="5">
        <v>0.21185949676630214</v>
      </c>
      <c r="L4146" s="10">
        <v>139689.16529999999</v>
      </c>
    </row>
    <row r="4147" spans="1:12" x14ac:dyDescent="0.25">
      <c r="A4147">
        <v>4146</v>
      </c>
      <c r="B4147" s="3">
        <v>0.1688351904303933</v>
      </c>
      <c r="C4147" s="3">
        <v>6.7167178671783262E-2</v>
      </c>
      <c r="D4147" s="1">
        <v>169670.27436295827</v>
      </c>
      <c r="E4147" s="1">
        <v>5530276</v>
      </c>
      <c r="F4147" s="1">
        <v>20668123</v>
      </c>
      <c r="G4147" s="16">
        <v>25975.817157874273</v>
      </c>
      <c r="H4147">
        <v>142.56</v>
      </c>
      <c r="I4147" s="1">
        <v>395.94</v>
      </c>
      <c r="J4147" s="16">
        <v>195646.09152083253</v>
      </c>
      <c r="K4147" s="5">
        <v>-5.4511189348590755E-2</v>
      </c>
      <c r="L4147" s="10">
        <v>-85534.897599999997</v>
      </c>
    </row>
    <row r="4148" spans="1:12" x14ac:dyDescent="0.25">
      <c r="A4148">
        <v>4147</v>
      </c>
      <c r="B4148" s="3">
        <v>0.2175918610752906</v>
      </c>
      <c r="C4148" s="3">
        <v>4.3179814676470855E-2</v>
      </c>
      <c r="D4148" s="1">
        <v>90696.329585888045</v>
      </c>
      <c r="E4148" s="1">
        <v>4529603</v>
      </c>
      <c r="F4148" s="1">
        <v>22142621</v>
      </c>
      <c r="G4148" s="16">
        <v>30622.464470104769</v>
      </c>
      <c r="H4148">
        <v>256.64999999999998</v>
      </c>
      <c r="I4148" s="1">
        <v>646.53</v>
      </c>
      <c r="J4148" s="16">
        <v>121318.79405599281</v>
      </c>
      <c r="K4148" s="5">
        <v>0.105168129786779</v>
      </c>
      <c r="L4148" s="10">
        <v>253618.45019999999</v>
      </c>
    </row>
    <row r="4149" spans="1:12" x14ac:dyDescent="0.25">
      <c r="A4149">
        <v>4148</v>
      </c>
      <c r="B4149" s="3">
        <v>0.18096218996285746</v>
      </c>
      <c r="C4149" s="3">
        <v>4.53681409203473E-2</v>
      </c>
      <c r="D4149" s="1">
        <v>141163.2567382523</v>
      </c>
      <c r="E4149" s="1">
        <v>5870954</v>
      </c>
      <c r="F4149" s="1">
        <v>29642612</v>
      </c>
      <c r="G4149" s="16">
        <v>23235.725411273528</v>
      </c>
      <c r="H4149">
        <v>115.97</v>
      </c>
      <c r="I4149" s="1">
        <v>370.65999999999997</v>
      </c>
      <c r="J4149" s="16">
        <v>164398.98214952584</v>
      </c>
      <c r="K4149" s="5">
        <v>1.1439416291510334E-2</v>
      </c>
      <c r="L4149" s="10">
        <v>61841.853499999997</v>
      </c>
    </row>
    <row r="4150" spans="1:12" x14ac:dyDescent="0.25">
      <c r="A4150">
        <v>4149</v>
      </c>
      <c r="B4150" s="3">
        <v>0.13121672882152144</v>
      </c>
      <c r="C4150" s="3">
        <v>7.639756451035111E-2</v>
      </c>
      <c r="D4150" s="1">
        <v>89351.26086820419</v>
      </c>
      <c r="E4150" s="1">
        <v>2550171</v>
      </c>
      <c r="F4150" s="1">
        <v>16855759</v>
      </c>
      <c r="G4150" s="16">
        <v>67028.58455075731</v>
      </c>
      <c r="H4150">
        <v>310.89999999999998</v>
      </c>
      <c r="I4150" s="1">
        <v>987.73</v>
      </c>
      <c r="J4150" s="16">
        <v>156379.84541896149</v>
      </c>
      <c r="K4150" s="5">
        <v>0.14694992140842766</v>
      </c>
      <c r="L4150" s="10">
        <v>221034.3634</v>
      </c>
    </row>
    <row r="4151" spans="1:12" x14ac:dyDescent="0.25">
      <c r="A4151">
        <v>4150</v>
      </c>
      <c r="B4151" s="3">
        <v>0.23861854095496426</v>
      </c>
      <c r="C4151" s="3">
        <v>7.2561964481952804E-2</v>
      </c>
      <c r="D4151" s="1">
        <v>272210.91964867001</v>
      </c>
      <c r="E4151" s="1">
        <v>19911166</v>
      </c>
      <c r="F4151" s="1">
        <v>65915372</v>
      </c>
      <c r="G4151" s="16">
        <v>14033.837054830004</v>
      </c>
      <c r="H4151">
        <v>142.4</v>
      </c>
      <c r="I4151" s="1">
        <v>479.59000000000003</v>
      </c>
      <c r="J4151" s="16">
        <v>286244.7567035</v>
      </c>
      <c r="K4151" s="5">
        <v>1.7024985775400854E-2</v>
      </c>
      <c r="L4151" s="10">
        <v>56608.064899999998</v>
      </c>
    </row>
    <row r="4152" spans="1:12" x14ac:dyDescent="0.25">
      <c r="A4152">
        <v>4151</v>
      </c>
      <c r="B4152" s="3">
        <v>0.13679389455313734</v>
      </c>
      <c r="C4152" s="3">
        <v>2.6312042203837128E-2</v>
      </c>
      <c r="D4152" s="1">
        <v>124067.66822553909</v>
      </c>
      <c r="E4152" s="1">
        <v>4182189</v>
      </c>
      <c r="F4152" s="1">
        <v>26018394</v>
      </c>
      <c r="G4152" s="16">
        <v>31533.278401195221</v>
      </c>
      <c r="H4152">
        <v>114.66</v>
      </c>
      <c r="I4152" s="1">
        <v>331.67999999999995</v>
      </c>
      <c r="J4152" s="16">
        <v>155600.94662673431</v>
      </c>
      <c r="K4152" s="5">
        <v>3.150477172677385E-2</v>
      </c>
      <c r="L4152" s="10">
        <v>170095.64730000001</v>
      </c>
    </row>
    <row r="4153" spans="1:12" x14ac:dyDescent="0.25">
      <c r="A4153">
        <v>4152</v>
      </c>
      <c r="B4153" s="3">
        <v>0.13270288889249318</v>
      </c>
      <c r="C4153" s="3">
        <v>3.041205552282699E-2</v>
      </c>
      <c r="D4153" s="1">
        <v>132144.2227999137</v>
      </c>
      <c r="E4153" s="1">
        <v>3790945</v>
      </c>
      <c r="F4153" s="1">
        <v>19556119</v>
      </c>
      <c r="G4153" s="16">
        <v>25420.735082332598</v>
      </c>
      <c r="H4153">
        <v>89.88</v>
      </c>
      <c r="I4153" s="1">
        <v>303.20999999999998</v>
      </c>
      <c r="J4153" s="16">
        <v>157564.95788224629</v>
      </c>
      <c r="K4153" s="5">
        <v>8.0449959801293922E-2</v>
      </c>
      <c r="L4153" s="10">
        <v>357150.20309999998</v>
      </c>
    </row>
    <row r="4154" spans="1:12" x14ac:dyDescent="0.25">
      <c r="A4154">
        <v>4153</v>
      </c>
      <c r="B4154" s="3">
        <v>0.23695068130808739</v>
      </c>
      <c r="C4154" s="3">
        <v>4.9858696808999722E-2</v>
      </c>
      <c r="D4154" s="1">
        <v>49444.034155520712</v>
      </c>
      <c r="E4154" s="1">
        <v>2082857</v>
      </c>
      <c r="F4154" s="1">
        <v>13898108</v>
      </c>
      <c r="G4154" s="16">
        <v>13387.610182384511</v>
      </c>
      <c r="H4154">
        <v>133.62</v>
      </c>
      <c r="I4154" s="1">
        <v>424.94</v>
      </c>
      <c r="J4154" s="16">
        <v>62831.644337905222</v>
      </c>
      <c r="K4154" s="5">
        <v>0.1827893774814992</v>
      </c>
      <c r="L4154" s="10">
        <v>185997.01519999999</v>
      </c>
    </row>
    <row r="4155" spans="1:12" x14ac:dyDescent="0.25">
      <c r="A4155">
        <v>4154</v>
      </c>
      <c r="B4155" s="3">
        <v>0.17391982793237359</v>
      </c>
      <c r="C4155" s="3">
        <v>7.1410722950038308E-2</v>
      </c>
      <c r="D4155" s="1">
        <v>94392.167611385055</v>
      </c>
      <c r="E4155" s="1">
        <v>3793584</v>
      </c>
      <c r="F4155" s="1">
        <v>22438056</v>
      </c>
      <c r="G4155" s="16">
        <v>39847.410533507864</v>
      </c>
      <c r="H4155">
        <v>228.31</v>
      </c>
      <c r="I4155" s="1">
        <v>737.68000000000006</v>
      </c>
      <c r="J4155" s="16">
        <v>134239.57814489293</v>
      </c>
      <c r="K4155" s="5">
        <v>0.10521898100061437</v>
      </c>
      <c r="L4155" s="10">
        <v>181609.47839999999</v>
      </c>
    </row>
    <row r="4156" spans="1:12" x14ac:dyDescent="0.25">
      <c r="A4156">
        <v>4155</v>
      </c>
      <c r="B4156" s="3">
        <v>0.22973758544371276</v>
      </c>
      <c r="C4156" s="3">
        <v>6.7622945824571692E-2</v>
      </c>
      <c r="D4156" s="1">
        <v>56350.653912949165</v>
      </c>
      <c r="E4156" s="1">
        <v>1777555</v>
      </c>
      <c r="F4156" s="1">
        <v>9808841</v>
      </c>
      <c r="G4156" s="16">
        <v>12222.553678869926</v>
      </c>
      <c r="H4156">
        <v>114.36</v>
      </c>
      <c r="I4156" s="1">
        <v>409.97</v>
      </c>
      <c r="J4156" s="16">
        <v>68573.207591819097</v>
      </c>
      <c r="K4156" s="5">
        <v>1.2721539889230866E-2</v>
      </c>
      <c r="L4156" s="10">
        <v>25760.804100000001</v>
      </c>
    </row>
    <row r="4157" spans="1:12" x14ac:dyDescent="0.25">
      <c r="A4157">
        <v>4156</v>
      </c>
      <c r="B4157" s="3">
        <v>0.20418052998957525</v>
      </c>
      <c r="C4157" s="3">
        <v>2.6201083920099472E-2</v>
      </c>
      <c r="D4157" s="1">
        <v>121189.82471516704</v>
      </c>
      <c r="E4157" s="1">
        <v>5654726</v>
      </c>
      <c r="F4157" s="1">
        <v>23433297</v>
      </c>
      <c r="G4157" s="16">
        <v>17639.14509084075</v>
      </c>
      <c r="H4157">
        <v>104.6</v>
      </c>
      <c r="I4157" s="1">
        <v>335.87</v>
      </c>
      <c r="J4157" s="16">
        <v>138828.96980600778</v>
      </c>
      <c r="K4157" s="5">
        <v>0.13118216631088547</v>
      </c>
      <c r="L4157" s="10">
        <v>622309.0048</v>
      </c>
    </row>
    <row r="4158" spans="1:12" x14ac:dyDescent="0.25">
      <c r="A4158">
        <v>4157</v>
      </c>
      <c r="B4158" s="3">
        <v>0.18953299688958969</v>
      </c>
      <c r="C4158" s="3">
        <v>2.8184287682962564E-2</v>
      </c>
      <c r="D4158" s="1">
        <v>83553.66168843281</v>
      </c>
      <c r="E4158" s="1">
        <v>2937393</v>
      </c>
      <c r="F4158" s="1">
        <v>16713204</v>
      </c>
      <c r="G4158" s="16">
        <v>15102.677379560906</v>
      </c>
      <c r="H4158">
        <v>80.27</v>
      </c>
      <c r="I4158" s="1">
        <v>300.60000000000002</v>
      </c>
      <c r="J4158" s="16">
        <v>98656.339067993715</v>
      </c>
      <c r="K4158" s="5">
        <v>9.8319006166859152E-2</v>
      </c>
      <c r="L4158" s="10">
        <v>328906.10320000001</v>
      </c>
    </row>
    <row r="4159" spans="1:12" x14ac:dyDescent="0.25">
      <c r="A4159">
        <v>4158</v>
      </c>
      <c r="B4159" s="3">
        <v>0.14892209987200175</v>
      </c>
      <c r="C4159" s="3">
        <v>2.2357758818829131E-2</v>
      </c>
      <c r="D4159" s="1">
        <v>293571.76551430026</v>
      </c>
      <c r="E4159" s="1">
        <v>12304695</v>
      </c>
      <c r="F4159" s="1">
        <v>47950661</v>
      </c>
      <c r="G4159" s="16">
        <v>38138.994255891324</v>
      </c>
      <c r="H4159">
        <v>177.38</v>
      </c>
      <c r="I4159" s="1">
        <v>497.79</v>
      </c>
      <c r="J4159" s="16">
        <v>331710.75977019157</v>
      </c>
      <c r="K4159" s="5">
        <v>0.14727531561074605</v>
      </c>
      <c r="L4159" s="10">
        <v>1930058.4294</v>
      </c>
    </row>
    <row r="4160" spans="1:12" x14ac:dyDescent="0.25">
      <c r="A4160">
        <v>4159</v>
      </c>
      <c r="B4160" s="3">
        <v>0.19377025470719797</v>
      </c>
      <c r="C4160" s="3">
        <v>6.6022374748389484E-2</v>
      </c>
      <c r="D4160" s="1">
        <v>240423.30641413052</v>
      </c>
      <c r="E4160" s="1">
        <v>10649873</v>
      </c>
      <c r="F4160" s="1">
        <v>36428086</v>
      </c>
      <c r="G4160" s="16">
        <v>33895.169646672279</v>
      </c>
      <c r="H4160">
        <v>230.27</v>
      </c>
      <c r="I4160" s="1">
        <v>667.2</v>
      </c>
      <c r="J4160" s="16">
        <v>274318.47606080282</v>
      </c>
      <c r="K4160" s="5">
        <v>0.11375726720384174</v>
      </c>
      <c r="L4160" s="10">
        <v>321775.86090000003</v>
      </c>
    </row>
    <row r="4161" spans="1:12" x14ac:dyDescent="0.25">
      <c r="A4161">
        <v>4160</v>
      </c>
      <c r="B4161" s="3">
        <v>0.17771840170786796</v>
      </c>
      <c r="C4161" s="3">
        <v>7.6099573330086198E-2</v>
      </c>
      <c r="D4161" s="1">
        <v>200640.25811528202</v>
      </c>
      <c r="E4161" s="1">
        <v>9988912</v>
      </c>
      <c r="F4161" s="1">
        <v>43793548</v>
      </c>
      <c r="G4161" s="16">
        <v>23539.340152188892</v>
      </c>
      <c r="H4161">
        <v>139.55000000000001</v>
      </c>
      <c r="I4161" s="1">
        <v>528.76</v>
      </c>
      <c r="J4161" s="16">
        <v>224179.59826747092</v>
      </c>
      <c r="K4161" s="5">
        <v>8.4077972432882869E-3</v>
      </c>
      <c r="L4161" s="10">
        <v>42915.481899999999</v>
      </c>
    </row>
    <row r="4162" spans="1:12" x14ac:dyDescent="0.25">
      <c r="A4162">
        <v>4161</v>
      </c>
      <c r="B4162" s="3">
        <v>0.22417210323088549</v>
      </c>
      <c r="C4162" s="3">
        <v>7.6635505309722227E-2</v>
      </c>
      <c r="D4162" s="1">
        <v>125967.22187087401</v>
      </c>
      <c r="E4162" s="1">
        <v>5048530</v>
      </c>
      <c r="F4162" s="1">
        <v>19794297</v>
      </c>
      <c r="G4162" s="16">
        <v>24340.336933729028</v>
      </c>
      <c r="H4162">
        <v>278.86</v>
      </c>
      <c r="I4162" s="1">
        <v>931.19999999999993</v>
      </c>
      <c r="J4162" s="16">
        <v>150307.55880460303</v>
      </c>
      <c r="K4162" s="5">
        <v>9.741455231930532E-2</v>
      </c>
      <c r="L4162" s="10">
        <v>134744.5098</v>
      </c>
    </row>
    <row r="4163" spans="1:12" x14ac:dyDescent="0.25">
      <c r="A4163">
        <v>4162</v>
      </c>
      <c r="B4163" s="3">
        <v>0.16508184309585822</v>
      </c>
      <c r="C4163" s="3">
        <v>4.884323047367399E-2</v>
      </c>
      <c r="D4163" s="1">
        <v>283741.31160186714</v>
      </c>
      <c r="E4163" s="1">
        <v>13088977</v>
      </c>
      <c r="F4163" s="1">
        <v>48239358</v>
      </c>
      <c r="G4163" s="16">
        <v>28864.311701052313</v>
      </c>
      <c r="H4163">
        <v>153.52000000000001</v>
      </c>
      <c r="I4163" s="1">
        <v>614.25</v>
      </c>
      <c r="J4163" s="16">
        <v>312605.62330291944</v>
      </c>
      <c r="K4163" s="5">
        <v>0.30835232742948071</v>
      </c>
      <c r="L4163" s="10">
        <v>1463016.0271000001</v>
      </c>
    </row>
    <row r="4164" spans="1:12" x14ac:dyDescent="0.25">
      <c r="A4164">
        <v>4163</v>
      </c>
      <c r="B4164" s="3">
        <v>0.13526853428121466</v>
      </c>
      <c r="C4164" s="3">
        <v>3.2334090218634787E-2</v>
      </c>
      <c r="D4164" s="1">
        <v>187483.38180391217</v>
      </c>
      <c r="E4164" s="1">
        <v>6275389</v>
      </c>
      <c r="F4164" s="1">
        <v>23200332</v>
      </c>
      <c r="G4164" s="16">
        <v>26085.833552232983</v>
      </c>
      <c r="H4164">
        <v>108.61</v>
      </c>
      <c r="I4164" s="1">
        <v>435.78999999999996</v>
      </c>
      <c r="J4164" s="16">
        <v>213569.21535614514</v>
      </c>
      <c r="K4164" s="5">
        <v>7.5860493273018581E-2</v>
      </c>
      <c r="L4164" s="10">
        <v>394872.95929999999</v>
      </c>
    </row>
    <row r="4165" spans="1:12" x14ac:dyDescent="0.25">
      <c r="A4165">
        <v>4164</v>
      </c>
      <c r="B4165" s="3">
        <v>0.19750009682546815</v>
      </c>
      <c r="C4165" s="3">
        <v>4.8757080104830271E-2</v>
      </c>
      <c r="D4165" s="1">
        <v>97205.960283998444</v>
      </c>
      <c r="E4165" s="1">
        <v>4386479</v>
      </c>
      <c r="F4165" s="1">
        <v>22838198</v>
      </c>
      <c r="G4165" s="16">
        <v>18286.597620668617</v>
      </c>
      <c r="H4165">
        <v>128.22</v>
      </c>
      <c r="I4165" s="1">
        <v>500.73</v>
      </c>
      <c r="J4165" s="16">
        <v>115492.55790466706</v>
      </c>
      <c r="K4165" s="5">
        <v>0.35129350426812384</v>
      </c>
      <c r="L4165" s="10">
        <v>664581.06640000001</v>
      </c>
    </row>
    <row r="4166" spans="1:12" x14ac:dyDescent="0.25">
      <c r="A4166">
        <v>4165</v>
      </c>
      <c r="B4166" s="3">
        <v>0.1051662063930001</v>
      </c>
      <c r="C4166" s="3">
        <v>6.3806292401148948E-2</v>
      </c>
      <c r="D4166" s="1">
        <v>200618.32792626112</v>
      </c>
      <c r="E4166" s="1">
        <v>5856041</v>
      </c>
      <c r="F4166" s="1">
        <v>36800422</v>
      </c>
      <c r="G4166" s="16">
        <v>80699.514740258179</v>
      </c>
      <c r="H4166">
        <v>295.08</v>
      </c>
      <c r="I4166" s="1">
        <v>1003.9300000000001</v>
      </c>
      <c r="J4166" s="16">
        <v>281317.84266651928</v>
      </c>
      <c r="K4166" s="5">
        <v>0.22790520566677494</v>
      </c>
      <c r="L4166" s="10">
        <v>749679.25699999998</v>
      </c>
    </row>
    <row r="4167" spans="1:12" x14ac:dyDescent="0.25">
      <c r="A4167">
        <v>4166</v>
      </c>
      <c r="B4167" s="3">
        <v>0.1734612352717631</v>
      </c>
      <c r="C4167" s="3">
        <v>4.2576493131869848E-2</v>
      </c>
      <c r="D4167" s="1">
        <v>98562.835198974761</v>
      </c>
      <c r="E4167" s="1">
        <v>3266831</v>
      </c>
      <c r="F4167" s="1">
        <v>17127499</v>
      </c>
      <c r="G4167" s="16">
        <v>18351.247823306709</v>
      </c>
      <c r="H4167">
        <v>86.56</v>
      </c>
      <c r="I4167" s="1">
        <v>258.33000000000004</v>
      </c>
      <c r="J4167" s="16">
        <v>116914.08302228147</v>
      </c>
      <c r="K4167" s="5">
        <v>0.16013567353888786</v>
      </c>
      <c r="L4167" s="10">
        <v>349517.23749999999</v>
      </c>
    </row>
    <row r="4168" spans="1:12" x14ac:dyDescent="0.25">
      <c r="A4168">
        <v>4167</v>
      </c>
      <c r="B4168" s="3">
        <v>0.19561847693723217</v>
      </c>
      <c r="C4168" s="3">
        <v>7.5249056359106989E-2</v>
      </c>
      <c r="D4168" s="1">
        <v>157787.96467868055</v>
      </c>
      <c r="E4168" s="1">
        <v>7053879</v>
      </c>
      <c r="F4168" s="1">
        <v>25203526</v>
      </c>
      <c r="G4168" s="16">
        <v>24003.555830588448</v>
      </c>
      <c r="H4168">
        <v>133.41</v>
      </c>
      <c r="I4168" s="1">
        <v>374.53</v>
      </c>
      <c r="J4168" s="16">
        <v>181791.520509269</v>
      </c>
      <c r="K4168" s="5">
        <v>0.14868886244530627</v>
      </c>
      <c r="L4168" s="10">
        <v>235706.41940000001</v>
      </c>
    </row>
    <row r="4169" spans="1:12" x14ac:dyDescent="0.25">
      <c r="A4169">
        <v>4168</v>
      </c>
      <c r="B4169" s="3">
        <v>0.13088816869293193</v>
      </c>
      <c r="C4169" s="3">
        <v>2.1101478705700644E-2</v>
      </c>
      <c r="D4169" s="1">
        <v>137206.36083583624</v>
      </c>
      <c r="E4169" s="1">
        <v>3911559</v>
      </c>
      <c r="F4169" s="1">
        <v>18383687</v>
      </c>
      <c r="G4169" s="16">
        <v>35480.227991823929</v>
      </c>
      <c r="H4169">
        <v>142.46</v>
      </c>
      <c r="I4169" s="1">
        <v>531.40000000000009</v>
      </c>
      <c r="J4169" s="16">
        <v>172686.58882766016</v>
      </c>
      <c r="K4169" s="5">
        <v>0.13634659631313972</v>
      </c>
      <c r="L4169" s="10">
        <v>1028883.1596</v>
      </c>
    </row>
    <row r="4170" spans="1:12" x14ac:dyDescent="0.25">
      <c r="A4170">
        <v>4169</v>
      </c>
      <c r="B4170" s="3">
        <v>0.13703210063657775</v>
      </c>
      <c r="C4170" s="3">
        <v>4.6883911497151015E-2</v>
      </c>
      <c r="D4170" s="1">
        <v>183379.69977330175</v>
      </c>
      <c r="E4170" s="1">
        <v>5340362</v>
      </c>
      <c r="F4170" s="1">
        <v>18748064</v>
      </c>
      <c r="G4170" s="16">
        <v>30032.318548654421</v>
      </c>
      <c r="H4170">
        <v>109.34</v>
      </c>
      <c r="I4170" s="1">
        <v>382.38</v>
      </c>
      <c r="J4170" s="16">
        <v>213412.01832195616</v>
      </c>
      <c r="K4170" s="5">
        <v>0.22641415658028297</v>
      </c>
      <c r="L4170" s="10">
        <v>767360.68389999995</v>
      </c>
    </row>
    <row r="4171" spans="1:12" x14ac:dyDescent="0.25">
      <c r="A4171">
        <v>4170</v>
      </c>
      <c r="B4171" s="3">
        <v>0.16681148395572143</v>
      </c>
      <c r="C4171" s="3">
        <v>2.4594972013152593E-2</v>
      </c>
      <c r="D4171" s="1">
        <v>32228.736611713164</v>
      </c>
      <c r="E4171" s="1">
        <v>868878</v>
      </c>
      <c r="F4171" s="1">
        <v>7744537</v>
      </c>
      <c r="G4171" s="16">
        <v>13430.781401613584</v>
      </c>
      <c r="H4171">
        <v>60.41</v>
      </c>
      <c r="I4171" s="1">
        <v>251.54</v>
      </c>
      <c r="J4171" s="16">
        <v>45659.518013326749</v>
      </c>
      <c r="K4171" s="5">
        <v>0.19007745606916734</v>
      </c>
      <c r="L4171" s="10">
        <v>312652.40669999999</v>
      </c>
    </row>
    <row r="4172" spans="1:12" x14ac:dyDescent="0.25">
      <c r="A4172">
        <v>4171</v>
      </c>
      <c r="B4172" s="3">
        <v>0.2475804303880986</v>
      </c>
      <c r="C4172" s="3">
        <v>5.9363867626610542E-2</v>
      </c>
      <c r="D4172" s="1">
        <v>112989.63576786713</v>
      </c>
      <c r="E4172" s="1">
        <v>6597831</v>
      </c>
      <c r="F4172" s="1">
        <v>37795372</v>
      </c>
      <c r="G4172" s="16">
        <v>11744.815910335012</v>
      </c>
      <c r="H4172">
        <v>97.43</v>
      </c>
      <c r="I4172" s="1">
        <v>335.15999999999997</v>
      </c>
      <c r="J4172" s="16">
        <v>124734.45167820214</v>
      </c>
      <c r="K4172" s="5">
        <v>0.23492537195120103</v>
      </c>
      <c r="L4172" s="10">
        <v>410282.37609999999</v>
      </c>
    </row>
    <row r="4173" spans="1:12" x14ac:dyDescent="0.25">
      <c r="A4173">
        <v>4172</v>
      </c>
      <c r="B4173" s="3">
        <v>0.22609580897875639</v>
      </c>
      <c r="C4173" s="3">
        <v>3.0015421509125402E-2</v>
      </c>
      <c r="D4173" s="1">
        <v>159248.86708949722</v>
      </c>
      <c r="E4173" s="1">
        <v>10736012</v>
      </c>
      <c r="F4173" s="1">
        <v>50352708</v>
      </c>
      <c r="G4173" s="16">
        <v>42391.48697385563</v>
      </c>
      <c r="H4173">
        <v>494.93</v>
      </c>
      <c r="I4173" s="1">
        <v>1420.0100000000002</v>
      </c>
      <c r="J4173" s="16">
        <v>201640.35406335286</v>
      </c>
      <c r="K4173" s="5">
        <v>9.7354792308779942E-2</v>
      </c>
      <c r="L4173" s="10">
        <v>557861.04339999997</v>
      </c>
    </row>
    <row r="4174" spans="1:12" x14ac:dyDescent="0.25">
      <c r="A4174">
        <v>4173</v>
      </c>
      <c r="B4174" s="3">
        <v>0.18370800164881107</v>
      </c>
      <c r="C4174" s="3">
        <v>5.1364198981705494E-2</v>
      </c>
      <c r="D4174" s="1">
        <v>74797.831699888673</v>
      </c>
      <c r="E4174" s="1">
        <v>2573683</v>
      </c>
      <c r="F4174" s="1">
        <v>12422871</v>
      </c>
      <c r="G4174" s="16">
        <v>22127.234892261793</v>
      </c>
      <c r="H4174">
        <v>138.02000000000001</v>
      </c>
      <c r="I4174" s="1">
        <v>458.64</v>
      </c>
      <c r="J4174" s="16">
        <v>96925.06659215047</v>
      </c>
      <c r="K4174" s="5">
        <v>0.12705900971735029</v>
      </c>
      <c r="L4174" s="10">
        <v>194763.43489999999</v>
      </c>
    </row>
    <row r="4175" spans="1:12" x14ac:dyDescent="0.25">
      <c r="A4175">
        <v>4174</v>
      </c>
      <c r="B4175" s="3">
        <v>0.22541152760221861</v>
      </c>
      <c r="C4175" s="3">
        <v>7.0679147931809502E-2</v>
      </c>
      <c r="D4175" s="1">
        <v>45752.119490661986</v>
      </c>
      <c r="E4175" s="1">
        <v>1842472</v>
      </c>
      <c r="F4175" s="1">
        <v>10890749</v>
      </c>
      <c r="G4175" s="16">
        <v>19986.030484686969</v>
      </c>
      <c r="H4175">
        <v>179.92</v>
      </c>
      <c r="I4175" s="1">
        <v>439.94999999999993</v>
      </c>
      <c r="J4175" s="16">
        <v>65738.149975348962</v>
      </c>
      <c r="K4175" s="5">
        <v>0.12691186765504589</v>
      </c>
      <c r="L4175" s="10">
        <v>83228.106299999999</v>
      </c>
    </row>
    <row r="4176" spans="1:12" x14ac:dyDescent="0.25">
      <c r="A4176">
        <v>4175</v>
      </c>
      <c r="B4176" s="3">
        <v>0.12202938761086236</v>
      </c>
      <c r="C4176" s="3">
        <v>7.4680144226857981E-2</v>
      </c>
      <c r="D4176" s="1">
        <v>88179.947793567539</v>
      </c>
      <c r="E4176" s="1">
        <v>2438558</v>
      </c>
      <c r="F4176" s="1">
        <v>17176899</v>
      </c>
      <c r="G4176" s="16">
        <v>26183.128934045169</v>
      </c>
      <c r="H4176">
        <v>86.01</v>
      </c>
      <c r="I4176" s="1">
        <v>241.13</v>
      </c>
      <c r="J4176" s="16">
        <v>114363.0767276127</v>
      </c>
      <c r="K4176" s="5">
        <v>8.5964368498258933E-2</v>
      </c>
      <c r="L4176" s="10">
        <v>100351.02129999999</v>
      </c>
    </row>
    <row r="4177" spans="1:12" x14ac:dyDescent="0.25">
      <c r="A4177">
        <v>4176</v>
      </c>
      <c r="B4177" s="3">
        <v>0.2090829609492742</v>
      </c>
      <c r="C4177" s="3">
        <v>4.0766330812163909E-2</v>
      </c>
      <c r="D4177" s="1">
        <v>69450.317467147746</v>
      </c>
      <c r="E4177" s="1">
        <v>3321646</v>
      </c>
      <c r="F4177" s="1">
        <v>23880061</v>
      </c>
      <c r="G4177" s="16">
        <v>12997.394908254604</v>
      </c>
      <c r="H4177">
        <v>79.94</v>
      </c>
      <c r="I4177" s="1">
        <v>239.04</v>
      </c>
      <c r="J4177" s="16">
        <v>82447.712375402349</v>
      </c>
      <c r="K4177" s="5">
        <v>0.19860116174920608</v>
      </c>
      <c r="L4177" s="10">
        <v>349209.71710000001</v>
      </c>
    </row>
    <row r="4178" spans="1:12" x14ac:dyDescent="0.25">
      <c r="A4178">
        <v>4177</v>
      </c>
      <c r="B4178" s="3">
        <v>0.23342211556894535</v>
      </c>
      <c r="C4178" s="3">
        <v>4.6541876110028482E-2</v>
      </c>
      <c r="D4178" s="1">
        <v>149519.09322614991</v>
      </c>
      <c r="E4178" s="1">
        <v>8103533</v>
      </c>
      <c r="F4178" s="1">
        <v>29706630</v>
      </c>
      <c r="G4178" s="16">
        <v>8656.4238621769036</v>
      </c>
      <c r="H4178">
        <v>64.13</v>
      </c>
      <c r="I4178" s="1">
        <v>310.21000000000004</v>
      </c>
      <c r="J4178" s="16">
        <v>158175.5170883268</v>
      </c>
      <c r="K4178" s="5">
        <v>9.7338741432951362E-2</v>
      </c>
      <c r="L4178" s="10">
        <v>240303.1323</v>
      </c>
    </row>
    <row r="4179" spans="1:12" x14ac:dyDescent="0.25">
      <c r="A4179">
        <v>4178</v>
      </c>
      <c r="B4179" s="3">
        <v>0.14960511394702364</v>
      </c>
      <c r="C4179" s="3">
        <v>6.4941333149009545E-2</v>
      </c>
      <c r="D4179" s="1">
        <v>264855.34927150031</v>
      </c>
      <c r="E4179" s="1">
        <v>9478270</v>
      </c>
      <c r="F4179" s="1">
        <v>35917047</v>
      </c>
      <c r="G4179" s="16">
        <v>31721.466733487574</v>
      </c>
      <c r="H4179">
        <v>148.31</v>
      </c>
      <c r="I4179" s="1">
        <v>431.04</v>
      </c>
      <c r="J4179" s="16">
        <v>296576.81600498786</v>
      </c>
      <c r="K4179" s="5">
        <v>-5.3359076952815457E-2</v>
      </c>
      <c r="L4179" s="10">
        <v>-146232.5085</v>
      </c>
    </row>
    <row r="4180" spans="1:12" x14ac:dyDescent="0.25">
      <c r="A4180">
        <v>4179</v>
      </c>
      <c r="B4180" s="3">
        <v>0.19662042807088739</v>
      </c>
      <c r="C4180" s="3">
        <v>2.8804641659318488E-2</v>
      </c>
      <c r="D4180" s="1">
        <v>135264.51694530394</v>
      </c>
      <c r="E4180" s="1">
        <v>6077208</v>
      </c>
      <c r="F4180" s="1">
        <v>24629007</v>
      </c>
      <c r="G4180" s="16">
        <v>20947.704667092738</v>
      </c>
      <c r="H4180">
        <v>117.38</v>
      </c>
      <c r="I4180" s="1">
        <v>363.08</v>
      </c>
      <c r="J4180" s="16">
        <v>156212.22161239668</v>
      </c>
      <c r="K4180" s="5">
        <v>3.3410102105024E-2</v>
      </c>
      <c r="L4180" s="10">
        <v>175271.28150000001</v>
      </c>
    </row>
    <row r="4181" spans="1:12" x14ac:dyDescent="0.25">
      <c r="A4181">
        <v>4180</v>
      </c>
      <c r="B4181" s="3">
        <v>0.17716561086781304</v>
      </c>
      <c r="C4181" s="3">
        <v>7.1664901333440362E-2</v>
      </c>
      <c r="D4181" s="1">
        <v>41682.320289720337</v>
      </c>
      <c r="E4181" s="1">
        <v>1400289</v>
      </c>
      <c r="F4181" s="1">
        <v>11339621</v>
      </c>
      <c r="G4181" s="16">
        <v>39307.380812984768</v>
      </c>
      <c r="H4181">
        <v>231.31</v>
      </c>
      <c r="I4181" s="1">
        <v>663.22</v>
      </c>
      <c r="J4181" s="16">
        <v>80989.701102705105</v>
      </c>
      <c r="K4181" s="5">
        <v>0.17882346360938112</v>
      </c>
      <c r="L4181" s="10">
        <v>152506.26620000001</v>
      </c>
    </row>
    <row r="4182" spans="1:12" x14ac:dyDescent="0.25">
      <c r="A4182">
        <v>4181</v>
      </c>
      <c r="B4182" s="3">
        <v>0.12689143807243383</v>
      </c>
      <c r="C4182" s="3">
        <v>7.5657885631872215E-2</v>
      </c>
      <c r="D4182" s="1">
        <v>121649.61043747465</v>
      </c>
      <c r="E4182" s="1">
        <v>3917786</v>
      </c>
      <c r="F4182" s="1">
        <v>21926045</v>
      </c>
      <c r="G4182" s="16">
        <v>54887.922232281744</v>
      </c>
      <c r="H4182">
        <v>213.9</v>
      </c>
      <c r="I4182" s="1">
        <v>507.99</v>
      </c>
      <c r="J4182" s="16">
        <v>176537.53266975639</v>
      </c>
      <c r="K4182" s="5">
        <v>0.10123864185298788</v>
      </c>
      <c r="L4182" s="10">
        <v>178181.05660000001</v>
      </c>
    </row>
    <row r="4183" spans="1:12" x14ac:dyDescent="0.25">
      <c r="A4183">
        <v>4182</v>
      </c>
      <c r="B4183" s="3">
        <v>0.16454916143761816</v>
      </c>
      <c r="C4183" s="3">
        <v>5.523771973341364E-2</v>
      </c>
      <c r="D4183" s="1">
        <v>273480.77529800945</v>
      </c>
      <c r="E4183" s="1">
        <v>10506204</v>
      </c>
      <c r="F4183" s="1">
        <v>41629806</v>
      </c>
      <c r="G4183" s="16">
        <v>12305.287482861246</v>
      </c>
      <c r="H4183">
        <v>45.42</v>
      </c>
      <c r="I4183" s="1">
        <v>170.62</v>
      </c>
      <c r="J4183" s="16">
        <v>285786.06278087071</v>
      </c>
      <c r="K4183" s="5">
        <v>1.6925664549060374E-2</v>
      </c>
      <c r="L4183" s="10">
        <v>109436.1012</v>
      </c>
    </row>
    <row r="4184" spans="1:12" x14ac:dyDescent="0.25">
      <c r="A4184">
        <v>4183</v>
      </c>
      <c r="B4184" s="3">
        <v>0.24885322073408928</v>
      </c>
      <c r="C4184" s="3">
        <v>3.5744391883203892E-2</v>
      </c>
      <c r="D4184" s="1">
        <v>244388.95685652856</v>
      </c>
      <c r="E4184" s="1">
        <v>19127585</v>
      </c>
      <c r="F4184" s="1">
        <v>65589756</v>
      </c>
      <c r="G4184" s="16">
        <v>6045.7649120806809</v>
      </c>
      <c r="H4184">
        <v>50.57</v>
      </c>
      <c r="I4184" s="1">
        <v>213.89</v>
      </c>
      <c r="J4184" s="16">
        <v>250434.72176860925</v>
      </c>
      <c r="K4184" s="5">
        <v>7.3851701706354439E-2</v>
      </c>
      <c r="L4184" s="10">
        <v>441743.22519999999</v>
      </c>
    </row>
    <row r="4185" spans="1:12" x14ac:dyDescent="0.25">
      <c r="A4185">
        <v>4184</v>
      </c>
      <c r="B4185" s="3">
        <v>0.13452132132642175</v>
      </c>
      <c r="C4185" s="3">
        <v>5.4367212335069887E-2</v>
      </c>
      <c r="D4185" s="1">
        <v>216248.96638552655</v>
      </c>
      <c r="E4185" s="1">
        <v>7213258</v>
      </c>
      <c r="F4185" s="1">
        <v>36318167</v>
      </c>
      <c r="G4185" s="16">
        <v>15424.469742424311</v>
      </c>
      <c r="H4185">
        <v>55.04</v>
      </c>
      <c r="I4185" s="1">
        <v>206.51999999999998</v>
      </c>
      <c r="J4185" s="16">
        <v>231673.43612795087</v>
      </c>
      <c r="K4185" s="5">
        <v>5.3592129690671134E-2</v>
      </c>
      <c r="L4185" s="10">
        <v>201023.63130000001</v>
      </c>
    </row>
    <row r="4186" spans="1:12" x14ac:dyDescent="0.25">
      <c r="A4186">
        <v>4185</v>
      </c>
      <c r="B4186" s="3">
        <v>0.15554753769154167</v>
      </c>
      <c r="C4186" s="3">
        <v>5.7726339586106679E-2</v>
      </c>
      <c r="D4186" s="1">
        <v>27345.077954784629</v>
      </c>
      <c r="E4186" s="1">
        <v>849876</v>
      </c>
      <c r="F4186" s="1">
        <v>10875295</v>
      </c>
      <c r="G4186" s="16">
        <v>14957.227872909894</v>
      </c>
      <c r="H4186">
        <v>62.03</v>
      </c>
      <c r="I4186" s="1">
        <v>203.71</v>
      </c>
      <c r="J4186" s="16">
        <v>42302.305827694523</v>
      </c>
      <c r="K4186" s="5">
        <v>0.18229930878258938</v>
      </c>
      <c r="L4186" s="10">
        <v>112064.39969999999</v>
      </c>
    </row>
    <row r="4187" spans="1:12" x14ac:dyDescent="0.25">
      <c r="A4187">
        <v>4186</v>
      </c>
      <c r="B4187" s="3">
        <v>0.19386362893741482</v>
      </c>
      <c r="C4187" s="3">
        <v>7.5799845595808546E-2</v>
      </c>
      <c r="D4187" s="1">
        <v>92206.325291909714</v>
      </c>
      <c r="E4187" s="1">
        <v>3294110</v>
      </c>
      <c r="F4187" s="1">
        <v>15354741</v>
      </c>
      <c r="G4187" s="16">
        <v>27167.300556943872</v>
      </c>
      <c r="H4187">
        <v>184.67</v>
      </c>
      <c r="I4187" s="1">
        <v>648.28</v>
      </c>
      <c r="J4187" s="16">
        <v>119373.62584885358</v>
      </c>
      <c r="K4187" s="5">
        <v>9.4985043811144365E-2</v>
      </c>
      <c r="L4187" s="10">
        <v>104918.1284</v>
      </c>
    </row>
    <row r="4188" spans="1:12" x14ac:dyDescent="0.25">
      <c r="A4188">
        <v>4187</v>
      </c>
      <c r="B4188" s="3">
        <v>0.17432497617630832</v>
      </c>
      <c r="C4188" s="3">
        <v>7.984902347866514E-2</v>
      </c>
      <c r="D4188" s="1">
        <v>124808.53320168442</v>
      </c>
      <c r="E4188" s="1">
        <v>5025863</v>
      </c>
      <c r="F4188" s="1">
        <v>31566371</v>
      </c>
      <c r="G4188" s="16">
        <v>36488.725756874861</v>
      </c>
      <c r="H4188">
        <v>209.85</v>
      </c>
      <c r="I4188" s="1">
        <v>568.48</v>
      </c>
      <c r="J4188" s="16">
        <v>161297.25895855928</v>
      </c>
      <c r="K4188" s="5">
        <v>0.16909190671869365</v>
      </c>
      <c r="L4188" s="10">
        <v>225780.73989999999</v>
      </c>
    </row>
    <row r="4189" spans="1:12" x14ac:dyDescent="0.25">
      <c r="A4189">
        <v>4188</v>
      </c>
      <c r="B4189" s="3">
        <v>0.13882413563508705</v>
      </c>
      <c r="C4189" s="3">
        <v>5.6484425040526198E-2</v>
      </c>
      <c r="D4189" s="1">
        <v>121848.3934428412</v>
      </c>
      <c r="E4189" s="1">
        <v>4146251</v>
      </c>
      <c r="F4189" s="1">
        <v>28133305</v>
      </c>
      <c r="G4189" s="16">
        <v>19002.687703794611</v>
      </c>
      <c r="H4189">
        <v>70.08</v>
      </c>
      <c r="I4189" s="1">
        <v>251.52999999999997</v>
      </c>
      <c r="J4189" s="16">
        <v>140851.08114663581</v>
      </c>
      <c r="K4189" s="5">
        <v>0.27737998020506505</v>
      </c>
      <c r="L4189" s="10">
        <v>517497.11359999998</v>
      </c>
    </row>
    <row r="4190" spans="1:12" x14ac:dyDescent="0.25">
      <c r="A4190">
        <v>4189</v>
      </c>
      <c r="B4190" s="3">
        <v>0.24682435148713339</v>
      </c>
      <c r="C4190" s="3">
        <v>7.2818194139585637E-2</v>
      </c>
      <c r="D4190" s="1">
        <v>41149.94364306538</v>
      </c>
      <c r="E4190" s="1">
        <v>1357625</v>
      </c>
      <c r="F4190" s="1">
        <v>9821919</v>
      </c>
      <c r="G4190" s="16">
        <v>13061.071610068097</v>
      </c>
      <c r="H4190">
        <v>142.99</v>
      </c>
      <c r="I4190" s="1">
        <v>418.66</v>
      </c>
      <c r="J4190" s="16">
        <v>54211.015253133475</v>
      </c>
      <c r="K4190" s="5">
        <v>0.10207654301958545</v>
      </c>
      <c r="L4190" s="10">
        <v>58984.968399999998</v>
      </c>
    </row>
    <row r="4191" spans="1:12" x14ac:dyDescent="0.25">
      <c r="A4191">
        <v>4190</v>
      </c>
      <c r="B4191" s="3">
        <v>0.23094931687442746</v>
      </c>
      <c r="C4191" s="3">
        <v>4.5857164952681925E-2</v>
      </c>
      <c r="D4191" s="1">
        <v>300861.15317247005</v>
      </c>
      <c r="E4191" s="1">
        <v>20931207</v>
      </c>
      <c r="F4191" s="1">
        <v>67160425</v>
      </c>
      <c r="G4191" s="16">
        <v>13497.484662342718</v>
      </c>
      <c r="H4191">
        <v>98.24</v>
      </c>
      <c r="I4191" s="1">
        <v>353.98</v>
      </c>
      <c r="J4191" s="16">
        <v>314358.63783481275</v>
      </c>
      <c r="K4191" s="5">
        <v>-9.020556457117565E-3</v>
      </c>
      <c r="L4191" s="10">
        <v>-1106.8766000000001</v>
      </c>
    </row>
    <row r="4192" spans="1:12" x14ac:dyDescent="0.25">
      <c r="A4192">
        <v>4191</v>
      </c>
      <c r="B4192" s="3">
        <v>0.11537335213849</v>
      </c>
      <c r="C4192" s="3">
        <v>3.5061196264205813E-2</v>
      </c>
      <c r="D4192" s="1">
        <v>343334.27431294479</v>
      </c>
      <c r="E4192" s="1">
        <v>11860969</v>
      </c>
      <c r="F4192" s="1">
        <v>51002827</v>
      </c>
      <c r="G4192" s="16">
        <v>11423.023444591159</v>
      </c>
      <c r="H4192">
        <v>31.74</v>
      </c>
      <c r="I4192" s="1">
        <v>164.58</v>
      </c>
      <c r="J4192" s="16">
        <v>354757.29775753594</v>
      </c>
      <c r="K4192" s="5">
        <v>-2.828647383872273E-2</v>
      </c>
      <c r="L4192" s="10">
        <v>-179606.15849999999</v>
      </c>
    </row>
    <row r="4193" spans="1:12" x14ac:dyDescent="0.25">
      <c r="A4193">
        <v>4192</v>
      </c>
      <c r="B4193" s="3">
        <v>0.13162575624835282</v>
      </c>
      <c r="C4193" s="3">
        <v>3.6592983046300251E-2</v>
      </c>
      <c r="D4193" s="1">
        <v>69393.522785023422</v>
      </c>
      <c r="E4193" s="1">
        <v>1983356</v>
      </c>
      <c r="F4193" s="1">
        <v>12593241</v>
      </c>
      <c r="G4193" s="16">
        <v>69531.253302256824</v>
      </c>
      <c r="H4193">
        <v>281.02</v>
      </c>
      <c r="I4193" s="1">
        <v>714.94999999999993</v>
      </c>
      <c r="J4193" s="16">
        <v>138924.77608728025</v>
      </c>
      <c r="K4193" s="5">
        <v>0.15798229784354201</v>
      </c>
      <c r="L4193" s="10">
        <v>495445.42879999999</v>
      </c>
    </row>
    <row r="4194" spans="1:12" x14ac:dyDescent="0.25">
      <c r="A4194">
        <v>4193</v>
      </c>
      <c r="B4194" s="3">
        <v>0.18649833150936929</v>
      </c>
      <c r="C4194" s="3">
        <v>5.140454619971925E-2</v>
      </c>
      <c r="D4194" s="1">
        <v>171151.99163546122</v>
      </c>
      <c r="E4194" s="1">
        <v>7313939</v>
      </c>
      <c r="F4194" s="1">
        <v>30041868</v>
      </c>
      <c r="G4194" s="16">
        <v>19677.567212585975</v>
      </c>
      <c r="H4194">
        <v>125.55</v>
      </c>
      <c r="I4194" s="1">
        <v>468.57</v>
      </c>
      <c r="J4194" s="16">
        <v>190829.55884804719</v>
      </c>
      <c r="K4194" s="5">
        <v>6.7528708691840245E-2</v>
      </c>
      <c r="L4194" s="10">
        <v>219762.3069</v>
      </c>
    </row>
    <row r="4195" spans="1:12" x14ac:dyDescent="0.25">
      <c r="A4195">
        <v>4194</v>
      </c>
      <c r="B4195" s="3">
        <v>0.15857394802510866</v>
      </c>
      <c r="C4195" s="3">
        <v>7.6759138068092897E-2</v>
      </c>
      <c r="D4195" s="1">
        <v>154073.20927118856</v>
      </c>
      <c r="E4195" s="1">
        <v>5752628</v>
      </c>
      <c r="F4195" s="1">
        <v>23706574</v>
      </c>
      <c r="G4195" s="16">
        <v>7065.6232971697464</v>
      </c>
      <c r="H4195">
        <v>25.15</v>
      </c>
      <c r="I4195" s="1">
        <v>121.56</v>
      </c>
      <c r="J4195" s="16">
        <v>161138.83256835831</v>
      </c>
      <c r="K4195" s="5">
        <v>-4.4559414348946225E-2</v>
      </c>
      <c r="L4195" s="10">
        <v>-36225.573299999996</v>
      </c>
    </row>
    <row r="4196" spans="1:12" x14ac:dyDescent="0.25">
      <c r="A4196">
        <v>4195</v>
      </c>
      <c r="B4196" s="3">
        <v>0.16453397461581654</v>
      </c>
      <c r="C4196" s="3">
        <v>7.3991868488868129E-2</v>
      </c>
      <c r="D4196" s="1">
        <v>40012.591701968784</v>
      </c>
      <c r="E4196" s="1">
        <v>1284142</v>
      </c>
      <c r="F4196" s="1">
        <v>10777390</v>
      </c>
      <c r="G4196" s="16">
        <v>38711.491514207548</v>
      </c>
      <c r="H4196">
        <v>245.5</v>
      </c>
      <c r="I4196" s="1">
        <v>924.26</v>
      </c>
      <c r="J4196" s="16">
        <v>78724.083216176339</v>
      </c>
      <c r="K4196" s="5">
        <v>1.9346642266384315E-2</v>
      </c>
      <c r="L4196" s="10">
        <v>36786.011400000003</v>
      </c>
    </row>
    <row r="4197" spans="1:12" x14ac:dyDescent="0.25">
      <c r="A4197">
        <v>4196</v>
      </c>
      <c r="B4197" s="3">
        <v>0.24230099210018299</v>
      </c>
      <c r="C4197" s="3">
        <v>3.6435480198711734E-2</v>
      </c>
      <c r="D4197" s="1">
        <v>80788.17137277055</v>
      </c>
      <c r="E4197" s="1">
        <v>4587368</v>
      </c>
      <c r="F4197" s="1">
        <v>32774851</v>
      </c>
      <c r="G4197" s="16">
        <v>26661.283951441757</v>
      </c>
      <c r="H4197">
        <v>369.18</v>
      </c>
      <c r="I4197" s="1">
        <v>996.84000000000015</v>
      </c>
      <c r="J4197" s="16">
        <v>107449.45532421231</v>
      </c>
      <c r="K4197" s="5">
        <v>0.10493007263589027</v>
      </c>
      <c r="L4197" s="10">
        <v>280975.26280000003</v>
      </c>
    </row>
    <row r="4198" spans="1:12" x14ac:dyDescent="0.25">
      <c r="A4198">
        <v>4197</v>
      </c>
      <c r="B4198" s="3">
        <v>0.20699783036254055</v>
      </c>
      <c r="C4198" s="3">
        <v>7.4437321519429764E-2</v>
      </c>
      <c r="D4198" s="1">
        <v>95868.211117048791</v>
      </c>
      <c r="E4198" s="1">
        <v>4537117</v>
      </c>
      <c r="F4198" s="1">
        <v>30488014</v>
      </c>
      <c r="G4198" s="16">
        <v>39018.712759653616</v>
      </c>
      <c r="H4198">
        <v>298.06</v>
      </c>
      <c r="I4198" s="1">
        <v>703.23</v>
      </c>
      <c r="J4198" s="16">
        <v>134886.92387670241</v>
      </c>
      <c r="K4198" s="5">
        <v>2.8187059837634164E-2</v>
      </c>
      <c r="L4198" s="10">
        <v>67064.595000000001</v>
      </c>
    </row>
    <row r="4199" spans="1:12" x14ac:dyDescent="0.25">
      <c r="A4199">
        <v>4198</v>
      </c>
      <c r="B4199" s="3">
        <v>0.21124745723973543</v>
      </c>
      <c r="C4199" s="3">
        <v>2.5892294957570852E-2</v>
      </c>
      <c r="D4199" s="1">
        <v>166551.37567213393</v>
      </c>
      <c r="E4199" s="1">
        <v>8053560</v>
      </c>
      <c r="F4199" s="1">
        <v>36154917</v>
      </c>
      <c r="G4199" s="16">
        <v>13103.101053903571</v>
      </c>
      <c r="H4199">
        <v>103.76</v>
      </c>
      <c r="I4199" s="1">
        <v>417.96999999999997</v>
      </c>
      <c r="J4199" s="16">
        <v>179654.47672603751</v>
      </c>
      <c r="K4199" s="5">
        <v>0.13999188584146355</v>
      </c>
      <c r="L4199" s="10">
        <v>827675.36239999998</v>
      </c>
    </row>
    <row r="4200" spans="1:12" x14ac:dyDescent="0.25">
      <c r="A4200">
        <v>4199</v>
      </c>
      <c r="B4200" s="3">
        <v>0.14042714826900871</v>
      </c>
      <c r="C4200" s="3">
        <v>3.0223272134285634E-2</v>
      </c>
      <c r="D4200" s="1">
        <v>251180.05942505106</v>
      </c>
      <c r="E4200" s="1">
        <v>8611075</v>
      </c>
      <c r="F4200" s="1">
        <v>30865595</v>
      </c>
      <c r="G4200" s="16">
        <v>35400.405710541119</v>
      </c>
      <c r="H4200">
        <v>153.77000000000001</v>
      </c>
      <c r="I4200" s="1">
        <v>501.82000000000005</v>
      </c>
      <c r="J4200" s="16">
        <v>286580.46513559215</v>
      </c>
      <c r="K4200" s="5">
        <v>9.4553157116071179E-2</v>
      </c>
      <c r="L4200" s="10">
        <v>749017.88269999996</v>
      </c>
    </row>
    <row r="4201" spans="1:12" x14ac:dyDescent="0.25">
      <c r="A4201">
        <v>4200</v>
      </c>
      <c r="B4201" s="3">
        <v>0.23952461838927952</v>
      </c>
      <c r="C4201" s="3">
        <v>3.280877365030372E-2</v>
      </c>
      <c r="D4201" s="1">
        <v>251209.12029138711</v>
      </c>
      <c r="E4201" s="1">
        <v>18484692</v>
      </c>
      <c r="F4201" s="1">
        <v>56725109</v>
      </c>
      <c r="G4201" s="16">
        <v>18754.36712076882</v>
      </c>
      <c r="H4201">
        <v>191.72</v>
      </c>
      <c r="I4201" s="1">
        <v>615.38</v>
      </c>
      <c r="J4201" s="16">
        <v>269963.48741215596</v>
      </c>
      <c r="K4201" s="5">
        <v>7.3452776466510772E-2</v>
      </c>
      <c r="L4201" s="10">
        <v>546179.48019999999</v>
      </c>
    </row>
    <row r="4202" spans="1:12" x14ac:dyDescent="0.25">
      <c r="A4202">
        <v>4201</v>
      </c>
      <c r="B4202" s="3">
        <v>0.11765900988560893</v>
      </c>
      <c r="C4202" s="3">
        <v>5.1332975828370694E-2</v>
      </c>
      <c r="D4202" s="1">
        <v>109910.62036134842</v>
      </c>
      <c r="E4202" s="1">
        <v>3393883</v>
      </c>
      <c r="F4202" s="1">
        <v>22431040</v>
      </c>
      <c r="G4202" s="16">
        <v>52907.28375001892</v>
      </c>
      <c r="H4202">
        <v>191.23</v>
      </c>
      <c r="I4202" s="1">
        <v>633.76</v>
      </c>
      <c r="J4202" s="16">
        <v>162817.90411136736</v>
      </c>
      <c r="K4202" s="5">
        <v>0.19637909423028566</v>
      </c>
      <c r="L4202" s="10">
        <v>506521.24320000003</v>
      </c>
    </row>
    <row r="4203" spans="1:12" x14ac:dyDescent="0.25">
      <c r="A4203">
        <v>4202</v>
      </c>
      <c r="B4203" s="3">
        <v>0.10041066800962062</v>
      </c>
      <c r="C4203" s="3">
        <v>2.9660799374328993E-2</v>
      </c>
      <c r="D4203" s="1">
        <v>124677.51306526335</v>
      </c>
      <c r="E4203" s="1">
        <v>3205216</v>
      </c>
      <c r="F4203" s="1">
        <v>14480208</v>
      </c>
      <c r="G4203" s="16">
        <v>35851.421248239749</v>
      </c>
      <c r="H4203">
        <v>101.83</v>
      </c>
      <c r="I4203" s="1">
        <v>304.65999999999997</v>
      </c>
      <c r="J4203" s="16">
        <v>160528.93431350309</v>
      </c>
      <c r="K4203" s="5">
        <v>4.7969179668793764E-2</v>
      </c>
      <c r="L4203" s="10">
        <v>227354.4633</v>
      </c>
    </row>
    <row r="4204" spans="1:12" x14ac:dyDescent="0.25">
      <c r="A4204">
        <v>4203</v>
      </c>
      <c r="B4204" s="3">
        <v>0.14238632333277212</v>
      </c>
      <c r="C4204" s="3">
        <v>5.6971647008985424E-2</v>
      </c>
      <c r="D4204" s="1">
        <v>101074.55831164535</v>
      </c>
      <c r="E4204" s="1">
        <v>2998954</v>
      </c>
      <c r="F4204" s="1">
        <v>20289900</v>
      </c>
      <c r="G4204" s="16">
        <v>19565.379555549967</v>
      </c>
      <c r="H4204">
        <v>74.05</v>
      </c>
      <c r="I4204" s="1">
        <v>265.2</v>
      </c>
      <c r="J4204" s="16">
        <v>120639.93786719532</v>
      </c>
      <c r="K4204" s="5">
        <v>5.8702273189919656E-2</v>
      </c>
      <c r="L4204" s="10">
        <v>111073.05190000001</v>
      </c>
    </row>
    <row r="4205" spans="1:12" x14ac:dyDescent="0.25">
      <c r="A4205">
        <v>4204</v>
      </c>
      <c r="B4205" s="3">
        <v>0.20836128276365951</v>
      </c>
      <c r="C4205" s="3">
        <v>5.8868762623952881E-2</v>
      </c>
      <c r="D4205" s="1">
        <v>196811.03267890669</v>
      </c>
      <c r="E4205" s="1">
        <v>9378727</v>
      </c>
      <c r="F4205" s="1">
        <v>38459217</v>
      </c>
      <c r="G4205" s="16">
        <v>25687.214363581563</v>
      </c>
      <c r="H4205">
        <v>198.43</v>
      </c>
      <c r="I4205" s="1">
        <v>645.29999999999995</v>
      </c>
      <c r="J4205" s="16">
        <v>222498.24704248825</v>
      </c>
      <c r="K4205" s="5">
        <v>7.6541557005055313E-2</v>
      </c>
      <c r="L4205" s="10">
        <v>239472.7458</v>
      </c>
    </row>
    <row r="4206" spans="1:12" x14ac:dyDescent="0.25">
      <c r="A4206">
        <v>4205</v>
      </c>
      <c r="B4206" s="3">
        <v>0.1796826516076207</v>
      </c>
      <c r="C4206" s="3">
        <v>5.1227904757559992E-2</v>
      </c>
      <c r="D4206" s="1">
        <v>344422.36351752502</v>
      </c>
      <c r="E4206" s="1">
        <v>14235278</v>
      </c>
      <c r="F4206" s="1">
        <v>39634808</v>
      </c>
      <c r="G4206" s="16">
        <v>13885.202338821158</v>
      </c>
      <c r="H4206">
        <v>56.23</v>
      </c>
      <c r="I4206" s="1">
        <v>176.54999999999998</v>
      </c>
      <c r="J4206" s="16">
        <v>358307.56585634616</v>
      </c>
      <c r="K4206" s="5">
        <v>-6.7596178922307654E-2</v>
      </c>
      <c r="L4206" s="10">
        <v>-305973.28999999998</v>
      </c>
    </row>
    <row r="4207" spans="1:12" x14ac:dyDescent="0.25">
      <c r="A4207">
        <v>4206</v>
      </c>
      <c r="B4207" s="3">
        <v>0.17724134490079452</v>
      </c>
      <c r="C4207" s="3">
        <v>5.6103712939617759E-2</v>
      </c>
      <c r="D4207" s="1">
        <v>130292.15652963324</v>
      </c>
      <c r="E4207" s="1">
        <v>5321463</v>
      </c>
      <c r="F4207" s="1">
        <v>31788162</v>
      </c>
      <c r="G4207" s="16">
        <v>31433.130927213002</v>
      </c>
      <c r="H4207">
        <v>185.28</v>
      </c>
      <c r="I4207" s="1">
        <v>682.92</v>
      </c>
      <c r="J4207" s="16">
        <v>161725.28745684624</v>
      </c>
      <c r="K4207" s="5">
        <v>0.13172215014812949</v>
      </c>
      <c r="L4207" s="10">
        <v>349105.5686</v>
      </c>
    </row>
    <row r="4208" spans="1:12" x14ac:dyDescent="0.25">
      <c r="A4208">
        <v>4207</v>
      </c>
      <c r="B4208" s="3">
        <v>0.17930689186495016</v>
      </c>
      <c r="C4208" s="3">
        <v>5.5569364504771346E-2</v>
      </c>
      <c r="D4208" s="1">
        <v>124070.7566771922</v>
      </c>
      <c r="E4208" s="1">
        <v>4200779</v>
      </c>
      <c r="F4208" s="1">
        <v>19127734</v>
      </c>
      <c r="G4208" s="16">
        <v>28245.500631795756</v>
      </c>
      <c r="H4208">
        <v>169.44</v>
      </c>
      <c r="I4208" s="1">
        <v>492.04</v>
      </c>
      <c r="J4208" s="16">
        <v>152316.25730898796</v>
      </c>
      <c r="K4208" s="5">
        <v>0.10933683269146074</v>
      </c>
      <c r="L4208" s="10">
        <v>208643.12700000001</v>
      </c>
    </row>
    <row r="4209" spans="1:12" x14ac:dyDescent="0.25">
      <c r="A4209">
        <v>4208</v>
      </c>
      <c r="B4209" s="3">
        <v>0.10996343520487287</v>
      </c>
      <c r="C4209" s="3">
        <v>3.3832667331997107E-2</v>
      </c>
      <c r="D4209" s="1">
        <v>126818.39739550884</v>
      </c>
      <c r="E4209" s="1">
        <v>3366364</v>
      </c>
      <c r="F4209" s="1">
        <v>16367644</v>
      </c>
      <c r="G4209" s="16">
        <v>29977.228535087655</v>
      </c>
      <c r="H4209">
        <v>90.63</v>
      </c>
      <c r="I4209" s="1">
        <v>285.49</v>
      </c>
      <c r="J4209" s="16">
        <v>156795.62593059649</v>
      </c>
      <c r="K4209" s="5">
        <v>3.3981655312627063E-2</v>
      </c>
      <c r="L4209" s="10">
        <v>142752.4835</v>
      </c>
    </row>
    <row r="4210" spans="1:12" x14ac:dyDescent="0.25">
      <c r="A4210">
        <v>4209</v>
      </c>
      <c r="B4210" s="3">
        <v>0.21842846639904817</v>
      </c>
      <c r="C4210" s="3">
        <v>3.573900796807903E-2</v>
      </c>
      <c r="D4210" s="1">
        <v>187776.5136410704</v>
      </c>
      <c r="E4210" s="1">
        <v>9418228</v>
      </c>
      <c r="F4210" s="1">
        <v>32117005</v>
      </c>
      <c r="G4210" s="16">
        <v>15227.536080020696</v>
      </c>
      <c r="H4210">
        <v>100.37</v>
      </c>
      <c r="I4210" s="1">
        <v>323.01</v>
      </c>
      <c r="J4210" s="16">
        <v>203004.04972109108</v>
      </c>
      <c r="K4210" s="5">
        <v>2.2046701343893388E-2</v>
      </c>
      <c r="L4210" s="10">
        <v>104070.35490000001</v>
      </c>
    </row>
    <row r="4211" spans="1:12" x14ac:dyDescent="0.25">
      <c r="A4211">
        <v>4210</v>
      </c>
      <c r="B4211" s="3">
        <v>0.17341017672625703</v>
      </c>
      <c r="C4211" s="3">
        <v>7.7737641273683059E-2</v>
      </c>
      <c r="D4211" s="1">
        <v>293439.54662159405</v>
      </c>
      <c r="E4211" s="1">
        <v>14232175</v>
      </c>
      <c r="F4211" s="1">
        <v>43908534</v>
      </c>
      <c r="G4211" s="16">
        <v>42598.777310681675</v>
      </c>
      <c r="H4211">
        <v>293.85000000000002</v>
      </c>
      <c r="I4211" s="1">
        <v>841.98</v>
      </c>
      <c r="J4211" s="16">
        <v>336038.32393227576</v>
      </c>
      <c r="K4211" s="5">
        <v>0.27750991359192401</v>
      </c>
      <c r="L4211" s="10">
        <v>732067.87410000002</v>
      </c>
    </row>
    <row r="4212" spans="1:12" x14ac:dyDescent="0.25">
      <c r="A4212">
        <v>4211</v>
      </c>
      <c r="B4212" s="3">
        <v>0.11186852706859489</v>
      </c>
      <c r="C4212" s="3">
        <v>4.4024739935147508E-2</v>
      </c>
      <c r="D4212" s="1">
        <v>256876.88464479419</v>
      </c>
      <c r="E4212" s="1">
        <v>7727130</v>
      </c>
      <c r="F4212" s="1">
        <v>28865837</v>
      </c>
      <c r="G4212" s="16">
        <v>10399.809800338357</v>
      </c>
      <c r="H4212">
        <v>25.19</v>
      </c>
      <c r="I4212" s="1">
        <v>94.66</v>
      </c>
      <c r="J4212" s="16">
        <v>267276.69444513257</v>
      </c>
      <c r="K4212" s="5">
        <v>2.980228838343648E-2</v>
      </c>
      <c r="L4212" s="10">
        <v>152708.4357</v>
      </c>
    </row>
    <row r="4213" spans="1:12" x14ac:dyDescent="0.25">
      <c r="A4213">
        <v>4212</v>
      </c>
      <c r="B4213" s="3">
        <v>0.22565881460015705</v>
      </c>
      <c r="C4213" s="3">
        <v>5.2360985502795249E-2</v>
      </c>
      <c r="D4213" s="1">
        <v>162689.54330756006</v>
      </c>
      <c r="E4213" s="1">
        <v>8469017</v>
      </c>
      <c r="F4213" s="1">
        <v>32368820</v>
      </c>
      <c r="G4213" s="16">
        <v>25879.174921836187</v>
      </c>
      <c r="H4213">
        <v>232.76</v>
      </c>
      <c r="I4213" s="1">
        <v>578.77</v>
      </c>
      <c r="J4213" s="16">
        <v>188568.71822939624</v>
      </c>
      <c r="K4213" s="5">
        <v>7.7874171975644002E-2</v>
      </c>
      <c r="L4213" s="10">
        <v>248356.64139999999</v>
      </c>
    </row>
    <row r="4214" spans="1:12" x14ac:dyDescent="0.25">
      <c r="A4214">
        <v>4213</v>
      </c>
      <c r="B4214" s="3">
        <v>0.16142654151868907</v>
      </c>
      <c r="C4214" s="3">
        <v>2.7274607953028451E-2</v>
      </c>
      <c r="D4214" s="1">
        <v>209503.42919574247</v>
      </c>
      <c r="E4214" s="1">
        <v>7929206</v>
      </c>
      <c r="F4214" s="1">
        <v>32184507</v>
      </c>
      <c r="G4214" s="16">
        <v>29673.782918889283</v>
      </c>
      <c r="H4214">
        <v>153.15</v>
      </c>
      <c r="I4214" s="1">
        <v>434.26</v>
      </c>
      <c r="J4214" s="16">
        <v>239177.21211463175</v>
      </c>
      <c r="K4214" s="5">
        <v>0.13525451064693439</v>
      </c>
      <c r="L4214" s="10">
        <v>1030110.8506</v>
      </c>
    </row>
    <row r="4215" spans="1:12" x14ac:dyDescent="0.25">
      <c r="A4215">
        <v>4214</v>
      </c>
      <c r="B4215" s="3">
        <v>0.20830505656900644</v>
      </c>
      <c r="C4215" s="3">
        <v>5.217471219986379E-2</v>
      </c>
      <c r="D4215" s="1">
        <v>190004.58123086719</v>
      </c>
      <c r="E4215" s="1">
        <v>11433455</v>
      </c>
      <c r="F4215" s="1">
        <v>49174387</v>
      </c>
      <c r="G4215" s="16">
        <v>21853.474205817118</v>
      </c>
      <c r="H4215">
        <v>168.42</v>
      </c>
      <c r="I4215" s="1">
        <v>450.11</v>
      </c>
      <c r="J4215" s="16">
        <v>211858.05543668431</v>
      </c>
      <c r="K4215" s="5">
        <v>1.055342612908234E-2</v>
      </c>
      <c r="L4215" s="10">
        <v>74457.455600000001</v>
      </c>
    </row>
    <row r="4216" spans="1:12" x14ac:dyDescent="0.25">
      <c r="A4216">
        <v>4215</v>
      </c>
      <c r="B4216" s="3">
        <v>0.14184299228344033</v>
      </c>
      <c r="C4216" s="3">
        <v>6.541290108401987E-2</v>
      </c>
      <c r="D4216" s="1">
        <v>233186.16322384463</v>
      </c>
      <c r="E4216" s="1">
        <v>9377167</v>
      </c>
      <c r="F4216" s="1">
        <v>43388874</v>
      </c>
      <c r="G4216" s="16">
        <v>65087.533589182844</v>
      </c>
      <c r="H4216">
        <v>285.76</v>
      </c>
      <c r="I4216" s="1">
        <v>717.37999999999988</v>
      </c>
      <c r="J4216" s="16">
        <v>298273.69681302749</v>
      </c>
      <c r="K4216" s="5">
        <v>3.5205743837827569E-2</v>
      </c>
      <c r="L4216" s="10">
        <v>122909.5909</v>
      </c>
    </row>
    <row r="4217" spans="1:12" x14ac:dyDescent="0.25">
      <c r="A4217">
        <v>4216</v>
      </c>
      <c r="B4217" s="3">
        <v>0.18322298940741577</v>
      </c>
      <c r="C4217" s="3">
        <v>5.751426799460653E-2</v>
      </c>
      <c r="D4217" s="1">
        <v>125230.7681279688</v>
      </c>
      <c r="E4217" s="1">
        <v>5266233</v>
      </c>
      <c r="F4217" s="1">
        <v>24755766</v>
      </c>
      <c r="G4217" s="16">
        <v>21119.22661166883</v>
      </c>
      <c r="H4217">
        <v>107.18</v>
      </c>
      <c r="I4217" s="1">
        <v>294.19</v>
      </c>
      <c r="J4217" s="16">
        <v>146349.99473963762</v>
      </c>
      <c r="K4217" s="5">
        <v>6.9583077721330308E-2</v>
      </c>
      <c r="L4217" s="10">
        <v>151150.27249999999</v>
      </c>
    </row>
    <row r="4218" spans="1:12" x14ac:dyDescent="0.25">
      <c r="A4218">
        <v>4217</v>
      </c>
      <c r="B4218" s="3">
        <v>0.24051002659172691</v>
      </c>
      <c r="C4218" s="3">
        <v>6.6546243479040035E-2</v>
      </c>
      <c r="D4218" s="1">
        <v>91539.295601858408</v>
      </c>
      <c r="E4218" s="1">
        <v>5148991</v>
      </c>
      <c r="F4218" s="1">
        <v>28779553</v>
      </c>
      <c r="G4218" s="16">
        <v>5432.569048106956</v>
      </c>
      <c r="H4218">
        <v>42.5</v>
      </c>
      <c r="I4218" s="1">
        <v>215.40000000000003</v>
      </c>
      <c r="J4218" s="16">
        <v>96971.86464996537</v>
      </c>
      <c r="K4218" s="5">
        <v>5.3761477767083593E-2</v>
      </c>
      <c r="L4218" s="10">
        <v>73459.337599999999</v>
      </c>
    </row>
    <row r="4219" spans="1:12" x14ac:dyDescent="0.25">
      <c r="A4219">
        <v>4218</v>
      </c>
      <c r="B4219" s="3">
        <v>0.16234403628838462</v>
      </c>
      <c r="C4219" s="3">
        <v>3.9643211085205812E-2</v>
      </c>
      <c r="D4219" s="1">
        <v>46127.104132966881</v>
      </c>
      <c r="E4219" s="1">
        <v>1230346</v>
      </c>
      <c r="F4219" s="1">
        <v>10503316</v>
      </c>
      <c r="G4219" s="16">
        <v>6481.9819908425907</v>
      </c>
      <c r="H4219">
        <v>23.67</v>
      </c>
      <c r="I4219" s="1">
        <v>110.16000000000001</v>
      </c>
      <c r="J4219" s="16">
        <v>52609.086123809473</v>
      </c>
      <c r="K4219" s="5">
        <v>0.16541834536799085</v>
      </c>
      <c r="L4219" s="10">
        <v>189813.7727</v>
      </c>
    </row>
    <row r="4220" spans="1:12" x14ac:dyDescent="0.25">
      <c r="A4220">
        <v>4219</v>
      </c>
      <c r="B4220" s="3">
        <v>0.17412631240624585</v>
      </c>
      <c r="C4220" s="3">
        <v>2.578583547582294E-2</v>
      </c>
      <c r="D4220" s="1">
        <v>64571.950750194686</v>
      </c>
      <c r="E4220" s="1">
        <v>1771819</v>
      </c>
      <c r="F4220" s="1">
        <v>10496520</v>
      </c>
      <c r="G4220" s="16">
        <v>23488.690266773938</v>
      </c>
      <c r="H4220">
        <v>134.88</v>
      </c>
      <c r="I4220" s="1">
        <v>500.54999999999995</v>
      </c>
      <c r="J4220" s="16">
        <v>88060.641016968628</v>
      </c>
      <c r="K4220" s="5">
        <v>5.0595024536513281E-2</v>
      </c>
      <c r="L4220" s="10">
        <v>156190.6403</v>
      </c>
    </row>
    <row r="4221" spans="1:12" x14ac:dyDescent="0.25">
      <c r="A4221">
        <v>4220</v>
      </c>
      <c r="B4221" s="3">
        <v>0.12049915409930209</v>
      </c>
      <c r="C4221" s="3">
        <v>7.6942827739698808E-2</v>
      </c>
      <c r="D4221" s="1">
        <v>421943.2090539792</v>
      </c>
      <c r="E4221" s="1">
        <v>15006373</v>
      </c>
      <c r="F4221" s="1">
        <v>73394648</v>
      </c>
      <c r="G4221" s="16">
        <v>70162.635863671298</v>
      </c>
      <c r="H4221">
        <v>295.02</v>
      </c>
      <c r="I4221" s="1">
        <v>864.07999999999993</v>
      </c>
      <c r="J4221" s="16">
        <v>492105.84491765051</v>
      </c>
      <c r="K4221" s="5">
        <v>9.3386217931606716E-2</v>
      </c>
      <c r="L4221" s="10">
        <v>424944.40220000001</v>
      </c>
    </row>
    <row r="4222" spans="1:12" x14ac:dyDescent="0.25">
      <c r="A4222">
        <v>4221</v>
      </c>
      <c r="B4222" s="3">
        <v>0.22751798539238186</v>
      </c>
      <c r="C4222" s="3">
        <v>5.1466266590990725E-2</v>
      </c>
      <c r="D4222" s="1">
        <v>59060.251658877605</v>
      </c>
      <c r="E4222" s="1">
        <v>2397913</v>
      </c>
      <c r="F4222" s="1">
        <v>14117681</v>
      </c>
      <c r="G4222" s="16">
        <v>13479.271672660143</v>
      </c>
      <c r="H4222">
        <v>95.44</v>
      </c>
      <c r="I4222" s="1">
        <v>305.89999999999998</v>
      </c>
      <c r="J4222" s="16">
        <v>72539.523331537755</v>
      </c>
      <c r="K4222" s="5">
        <v>0.28668808419545427</v>
      </c>
      <c r="L4222" s="10">
        <v>305175.26819999999</v>
      </c>
    </row>
    <row r="4223" spans="1:12" x14ac:dyDescent="0.25">
      <c r="A4223">
        <v>4222</v>
      </c>
      <c r="B4223" s="3">
        <v>0.14850914100963325</v>
      </c>
      <c r="C4223" s="3">
        <v>3.4311729232682442E-2</v>
      </c>
      <c r="D4223" s="1">
        <v>108800.37343970122</v>
      </c>
      <c r="E4223" s="1">
        <v>3298322</v>
      </c>
      <c r="F4223" s="1">
        <v>19427208</v>
      </c>
      <c r="G4223" s="16">
        <v>34455.925123928333</v>
      </c>
      <c r="H4223">
        <v>159.65</v>
      </c>
      <c r="I4223" s="1">
        <v>510.79999999999995</v>
      </c>
      <c r="J4223" s="16">
        <v>143256.29856362956</v>
      </c>
      <c r="K4223" s="5">
        <v>3.6506534121083026E-2</v>
      </c>
      <c r="L4223" s="10">
        <v>137397.25049999999</v>
      </c>
    </row>
    <row r="4224" spans="1:12" x14ac:dyDescent="0.25">
      <c r="A4224">
        <v>4223</v>
      </c>
      <c r="B4224" s="3">
        <v>0.16417585439574645</v>
      </c>
      <c r="C4224" s="3">
        <v>5.1920954712520326E-2</v>
      </c>
      <c r="D4224" s="1">
        <v>113516.62550031817</v>
      </c>
      <c r="E4224" s="1">
        <v>4353137</v>
      </c>
      <c r="F4224" s="1">
        <v>29137183</v>
      </c>
      <c r="G4224" s="16">
        <v>40950.080833760934</v>
      </c>
      <c r="H4224">
        <v>216.2</v>
      </c>
      <c r="I4224" s="1">
        <v>539.64</v>
      </c>
      <c r="J4224" s="16">
        <v>154466.70633407909</v>
      </c>
      <c r="K4224" s="5">
        <v>-5.8452959983535252E-3</v>
      </c>
      <c r="L4224" s="10">
        <v>7697.2969000000003</v>
      </c>
    </row>
    <row r="4225" spans="1:12" x14ac:dyDescent="0.25">
      <c r="A4225">
        <v>4224</v>
      </c>
      <c r="B4225" s="3">
        <v>0.24463422083763331</v>
      </c>
      <c r="C4225" s="3">
        <v>3.1506284041351335E-2</v>
      </c>
      <c r="D4225" s="1">
        <v>53508.527577904992</v>
      </c>
      <c r="E4225" s="1">
        <v>2323559</v>
      </c>
      <c r="F4225" s="1">
        <v>17070766</v>
      </c>
      <c r="G4225" s="16">
        <v>22520.656398865074</v>
      </c>
      <c r="H4225">
        <v>319.98</v>
      </c>
      <c r="I4225" s="1">
        <v>1063.05</v>
      </c>
      <c r="J4225" s="16">
        <v>76029.183976770059</v>
      </c>
      <c r="K4225" s="5">
        <v>0.15793434779967719</v>
      </c>
      <c r="L4225" s="10">
        <v>334317.3198</v>
      </c>
    </row>
    <row r="4226" spans="1:12" x14ac:dyDescent="0.25">
      <c r="A4226">
        <v>4225</v>
      </c>
      <c r="B4226" s="3">
        <v>0.22451118771483108</v>
      </c>
      <c r="C4226" s="3">
        <v>7.1493147055590109E-2</v>
      </c>
      <c r="D4226" s="1">
        <v>120953.81245371485</v>
      </c>
      <c r="E4226" s="1">
        <v>6259225</v>
      </c>
      <c r="F4226" s="1">
        <v>21829594</v>
      </c>
      <c r="G4226" s="16">
        <v>12537.612905778546</v>
      </c>
      <c r="H4226">
        <v>86.74</v>
      </c>
      <c r="I4226" s="1">
        <v>300.16000000000003</v>
      </c>
      <c r="J4226" s="16">
        <v>133491.42535949341</v>
      </c>
      <c r="K4226" s="5">
        <v>0.1639689975427307</v>
      </c>
      <c r="L4226" s="10">
        <v>191959.93650000001</v>
      </c>
    </row>
    <row r="4227" spans="1:12" x14ac:dyDescent="0.25">
      <c r="A4227">
        <v>4226</v>
      </c>
      <c r="B4227" s="3">
        <v>0.14363625667608085</v>
      </c>
      <c r="C4227" s="3">
        <v>6.5604681565154754E-2</v>
      </c>
      <c r="D4227" s="1">
        <v>351214.81309353461</v>
      </c>
      <c r="E4227" s="1">
        <v>12222000</v>
      </c>
      <c r="F4227" s="1">
        <v>42265545</v>
      </c>
      <c r="G4227" s="16">
        <v>27581.339475622241</v>
      </c>
      <c r="H4227">
        <v>105.15</v>
      </c>
      <c r="I4227" s="1">
        <v>270.82000000000005</v>
      </c>
      <c r="J4227" s="16">
        <v>378796.15256915684</v>
      </c>
      <c r="K4227" s="5">
        <v>7.3007800166772246E-2</v>
      </c>
      <c r="L4227" s="10">
        <v>316127.45049999998</v>
      </c>
    </row>
    <row r="4228" spans="1:12" x14ac:dyDescent="0.25">
      <c r="A4228">
        <v>4227</v>
      </c>
      <c r="B4228" s="3">
        <v>0.1522148254767037</v>
      </c>
      <c r="C4228" s="3">
        <v>5.2636863609184917E-2</v>
      </c>
      <c r="D4228" s="1">
        <v>59095.307277467939</v>
      </c>
      <c r="E4228" s="1">
        <v>1815092</v>
      </c>
      <c r="F4228" s="1">
        <v>10993405</v>
      </c>
      <c r="G4228" s="16">
        <v>13363.163932137402</v>
      </c>
      <c r="H4228">
        <v>54.25</v>
      </c>
      <c r="I4228" s="1">
        <v>209.56</v>
      </c>
      <c r="J4228" s="16">
        <v>72458.471209605341</v>
      </c>
      <c r="K4228" s="5">
        <v>0.28542317452936139</v>
      </c>
      <c r="L4228" s="10">
        <v>315472.46980000002</v>
      </c>
    </row>
    <row r="4229" spans="1:12" x14ac:dyDescent="0.25">
      <c r="A4229">
        <v>4228</v>
      </c>
      <c r="B4229" s="3">
        <v>0.17621709666346963</v>
      </c>
      <c r="C4229" s="3">
        <v>7.6310449527861479E-2</v>
      </c>
      <c r="D4229" s="1">
        <v>155903.00061249596</v>
      </c>
      <c r="E4229" s="1">
        <v>6335866</v>
      </c>
      <c r="F4229" s="1">
        <v>28390142</v>
      </c>
      <c r="G4229" s="16">
        <v>20875.69315309585</v>
      </c>
      <c r="H4229">
        <v>100.48</v>
      </c>
      <c r="I4229" s="1">
        <v>335.61</v>
      </c>
      <c r="J4229" s="16">
        <v>176778.6937655918</v>
      </c>
      <c r="K4229" s="5">
        <v>0.27677789353853965</v>
      </c>
      <c r="L4229" s="10">
        <v>420043.0968</v>
      </c>
    </row>
    <row r="4230" spans="1:12" x14ac:dyDescent="0.25">
      <c r="A4230">
        <v>4229</v>
      </c>
      <c r="B4230" s="3">
        <v>0.18769370650058481</v>
      </c>
      <c r="C4230" s="3">
        <v>7.3813267715503339E-2</v>
      </c>
      <c r="D4230" s="1">
        <v>109265.31253910874</v>
      </c>
      <c r="E4230" s="1">
        <v>4696840</v>
      </c>
      <c r="F4230" s="1">
        <v>29852514</v>
      </c>
      <c r="G4230" s="16">
        <v>41349.651795516773</v>
      </c>
      <c r="H4230">
        <v>404.1</v>
      </c>
      <c r="I4230" s="1">
        <v>1653.17</v>
      </c>
      <c r="J4230" s="16">
        <v>150614.96433462552</v>
      </c>
      <c r="K4230" s="5">
        <v>0.23715121861503663</v>
      </c>
      <c r="L4230" s="10">
        <v>354648.071</v>
      </c>
    </row>
    <row r="4231" spans="1:12" x14ac:dyDescent="0.25">
      <c r="A4231">
        <v>4230</v>
      </c>
      <c r="B4231" s="3">
        <v>0.13822507805598003</v>
      </c>
      <c r="C4231" s="3">
        <v>6.8189282186977077E-2</v>
      </c>
      <c r="D4231" s="1">
        <v>305382.68046495796</v>
      </c>
      <c r="E4231" s="1">
        <v>12024809</v>
      </c>
      <c r="F4231" s="1">
        <v>61970857</v>
      </c>
      <c r="G4231" s="16">
        <v>20095.739006620883</v>
      </c>
      <c r="H4231">
        <v>73.88</v>
      </c>
      <c r="I4231" s="1">
        <v>252.72</v>
      </c>
      <c r="J4231" s="16">
        <v>325478.41947157885</v>
      </c>
      <c r="K4231" s="5">
        <v>0.24112060672424016</v>
      </c>
      <c r="L4231" s="10">
        <v>836747.07380000001</v>
      </c>
    </row>
    <row r="4232" spans="1:12" x14ac:dyDescent="0.25">
      <c r="A4232">
        <v>4231</v>
      </c>
      <c r="B4232" s="3">
        <v>0.17231006986653444</v>
      </c>
      <c r="C4232" s="3">
        <v>4.8424647742364491E-2</v>
      </c>
      <c r="D4232" s="1">
        <v>102207.87443843996</v>
      </c>
      <c r="E4232" s="1">
        <v>3373526</v>
      </c>
      <c r="F4232" s="1">
        <v>16600117</v>
      </c>
      <c r="G4232" s="16">
        <v>50696.163432626534</v>
      </c>
      <c r="H4232">
        <v>346.49</v>
      </c>
      <c r="I4232" s="1">
        <v>818.44</v>
      </c>
      <c r="J4232" s="16">
        <v>152904.03787106648</v>
      </c>
      <c r="K4232" s="5">
        <v>0.15573236040392011</v>
      </c>
      <c r="L4232" s="10">
        <v>387639.49359999999</v>
      </c>
    </row>
    <row r="4233" spans="1:12" x14ac:dyDescent="0.25">
      <c r="A4233">
        <v>4232</v>
      </c>
      <c r="B4233" s="3">
        <v>0.16667552061642987</v>
      </c>
      <c r="C4233" s="3">
        <v>5.1949120415848815E-2</v>
      </c>
      <c r="D4233" s="1">
        <v>142421.67428079477</v>
      </c>
      <c r="E4233" s="1">
        <v>5527418</v>
      </c>
      <c r="F4233" s="1">
        <v>30135546</v>
      </c>
      <c r="G4233" s="16">
        <v>15580.276801297568</v>
      </c>
      <c r="H4233">
        <v>69.930000000000007</v>
      </c>
      <c r="I4233" s="1">
        <v>205</v>
      </c>
      <c r="J4233" s="16">
        <v>158001.95108209233</v>
      </c>
      <c r="K4233" s="5">
        <v>6.9803801104845298E-2</v>
      </c>
      <c r="L4233" s="10">
        <v>192415.59589999999</v>
      </c>
    </row>
    <row r="4234" spans="1:12" x14ac:dyDescent="0.25">
      <c r="A4234">
        <v>4233</v>
      </c>
      <c r="B4234" s="3">
        <v>0.1654216870373349</v>
      </c>
      <c r="C4234" s="3">
        <v>2.7522226422077578E-2</v>
      </c>
      <c r="D4234" s="1">
        <v>97778.685347753781</v>
      </c>
      <c r="E4234" s="1">
        <v>3772057</v>
      </c>
      <c r="F4234" s="1">
        <v>21516174</v>
      </c>
      <c r="G4234" s="16">
        <v>77369.944568723178</v>
      </c>
      <c r="H4234">
        <v>494.17</v>
      </c>
      <c r="I4234" s="1">
        <v>1080.68</v>
      </c>
      <c r="J4234" s="16">
        <v>175148.62991647696</v>
      </c>
      <c r="K4234" s="5">
        <v>0.15515225465850224</v>
      </c>
      <c r="L4234" s="10">
        <v>853478.71950000001</v>
      </c>
    </row>
    <row r="4235" spans="1:12" x14ac:dyDescent="0.25">
      <c r="A4235">
        <v>4234</v>
      </c>
      <c r="B4235" s="3">
        <v>0.12177912310375319</v>
      </c>
      <c r="C4235" s="3">
        <v>5.3049186497738043E-2</v>
      </c>
      <c r="D4235" s="1">
        <v>191928.03956609481</v>
      </c>
      <c r="E4235" s="1">
        <v>5303103</v>
      </c>
      <c r="F4235" s="1">
        <v>20592009</v>
      </c>
      <c r="G4235" s="16">
        <v>124211.16995688943</v>
      </c>
      <c r="H4235">
        <v>528.08000000000004</v>
      </c>
      <c r="I4235" s="1">
        <v>1395.5900000000001</v>
      </c>
      <c r="J4235" s="16">
        <v>316139.20952298422</v>
      </c>
      <c r="K4235" s="5">
        <v>6.9479512571697363E-2</v>
      </c>
      <c r="L4235" s="10">
        <v>321564.92050000001</v>
      </c>
    </row>
    <row r="4236" spans="1:12" x14ac:dyDescent="0.25">
      <c r="A4236">
        <v>4235</v>
      </c>
      <c r="B4236" s="3">
        <v>0.24491934476441185</v>
      </c>
      <c r="C4236" s="3">
        <v>5.4370651441055476E-2</v>
      </c>
      <c r="D4236" s="1">
        <v>121643.29024731956</v>
      </c>
      <c r="E4236" s="1">
        <v>7003540</v>
      </c>
      <c r="F4236" s="1">
        <v>36422511</v>
      </c>
      <c r="G4236" s="16">
        <v>13586.887508582762</v>
      </c>
      <c r="H4236">
        <v>110.07</v>
      </c>
      <c r="I4236" s="1">
        <v>281.89999999999998</v>
      </c>
      <c r="J4236" s="16">
        <v>135230.17775590232</v>
      </c>
      <c r="K4236" s="5">
        <v>0.12356656989689013</v>
      </c>
      <c r="L4236" s="10">
        <v>233490.83350000001</v>
      </c>
    </row>
    <row r="4237" spans="1:12" x14ac:dyDescent="0.25">
      <c r="A4237">
        <v>4236</v>
      </c>
      <c r="B4237" s="3">
        <v>0.21946957495815311</v>
      </c>
      <c r="C4237" s="3">
        <v>5.9474895545007359E-2</v>
      </c>
      <c r="D4237" s="1">
        <v>67780.53774160688</v>
      </c>
      <c r="E4237" s="1">
        <v>3417812</v>
      </c>
      <c r="F4237" s="1">
        <v>24532999</v>
      </c>
      <c r="G4237" s="16">
        <v>23058.182795972698</v>
      </c>
      <c r="H4237">
        <v>196.52</v>
      </c>
      <c r="I4237" s="1">
        <v>702.75</v>
      </c>
      <c r="J4237" s="16">
        <v>90838.720537579575</v>
      </c>
      <c r="K4237" s="5">
        <v>0.25737457360715188</v>
      </c>
      <c r="L4237" s="10">
        <v>304379.41389999999</v>
      </c>
    </row>
    <row r="4238" spans="1:12" x14ac:dyDescent="0.25">
      <c r="A4238">
        <v>4237</v>
      </c>
      <c r="B4238" s="3">
        <v>0.16575944179166402</v>
      </c>
      <c r="C4238" s="3">
        <v>4.954183999760068E-2</v>
      </c>
      <c r="D4238" s="1">
        <v>143835.97267410898</v>
      </c>
      <c r="E4238" s="1">
        <v>5557830</v>
      </c>
      <c r="F4238" s="1">
        <v>28481531</v>
      </c>
      <c r="G4238" s="16">
        <v>28928.595065493097</v>
      </c>
      <c r="H4238">
        <v>154.75</v>
      </c>
      <c r="I4238" s="1">
        <v>495.48</v>
      </c>
      <c r="J4238" s="16">
        <v>172764.56773960209</v>
      </c>
      <c r="K4238" s="5">
        <v>1.061959625192016E-2</v>
      </c>
      <c r="L4238" s="10">
        <v>63734.859100000001</v>
      </c>
    </row>
    <row r="4239" spans="1:12" x14ac:dyDescent="0.25">
      <c r="A4239">
        <v>4238</v>
      </c>
      <c r="B4239" s="3">
        <v>0.14447386385037542</v>
      </c>
      <c r="C4239" s="3">
        <v>6.1781342796384517E-2</v>
      </c>
      <c r="D4239" s="1">
        <v>53596.423892891529</v>
      </c>
      <c r="E4239" s="1">
        <v>1601911</v>
      </c>
      <c r="F4239" s="1">
        <v>15592225</v>
      </c>
      <c r="G4239" s="16">
        <v>41754.121524324903</v>
      </c>
      <c r="H4239">
        <v>187.54</v>
      </c>
      <c r="I4239" s="1">
        <v>737.57999999999993</v>
      </c>
      <c r="J4239" s="16">
        <v>95350.545417216432</v>
      </c>
      <c r="K4239" s="5">
        <v>0.11578361160351862</v>
      </c>
      <c r="L4239" s="10">
        <v>183078.8578</v>
      </c>
    </row>
    <row r="4240" spans="1:12" x14ac:dyDescent="0.25">
      <c r="A4240">
        <v>4239</v>
      </c>
      <c r="B4240" s="3">
        <v>0.12994375249318854</v>
      </c>
      <c r="C4240" s="3">
        <v>5.3823188423230542E-2</v>
      </c>
      <c r="D4240" s="1">
        <v>226080.8957147036</v>
      </c>
      <c r="E4240" s="1">
        <v>7383768</v>
      </c>
      <c r="F4240" s="1">
        <v>40590090</v>
      </c>
      <c r="G4240" s="16">
        <v>24469.884177413154</v>
      </c>
      <c r="H4240">
        <v>84.97</v>
      </c>
      <c r="I4240" s="1">
        <v>266.55</v>
      </c>
      <c r="J4240" s="16">
        <v>250550.77989211676</v>
      </c>
      <c r="K4240" s="5">
        <v>0.15134093465961351</v>
      </c>
      <c r="L4240" s="10">
        <v>537742.93960000004</v>
      </c>
    </row>
    <row r="4241" spans="1:12" x14ac:dyDescent="0.25">
      <c r="A4241">
        <v>4240</v>
      </c>
      <c r="B4241" s="3">
        <v>0.15286028529671686</v>
      </c>
      <c r="C4241" s="3">
        <v>4.7022320288313421E-2</v>
      </c>
      <c r="D4241" s="1">
        <v>118126.99390966547</v>
      </c>
      <c r="E4241" s="1">
        <v>3636527</v>
      </c>
      <c r="F4241" s="1">
        <v>21441797</v>
      </c>
      <c r="G4241" s="16">
        <v>17168.796985400248</v>
      </c>
      <c r="H4241">
        <v>69.790000000000006</v>
      </c>
      <c r="I4241" s="1">
        <v>279.26000000000005</v>
      </c>
      <c r="J4241" s="16">
        <v>135295.79089506573</v>
      </c>
      <c r="K4241" s="5">
        <v>0.13987495114807047</v>
      </c>
      <c r="L4241" s="10">
        <v>314890.75170000002</v>
      </c>
    </row>
    <row r="4242" spans="1:12" x14ac:dyDescent="0.25">
      <c r="A4242">
        <v>4241</v>
      </c>
      <c r="B4242" s="3">
        <v>0.19481743125189083</v>
      </c>
      <c r="C4242" s="3">
        <v>4.6624277377490454E-2</v>
      </c>
      <c r="D4242" s="1">
        <v>161128.80055535299</v>
      </c>
      <c r="E4242" s="1">
        <v>7174609</v>
      </c>
      <c r="F4242" s="1">
        <v>31940826</v>
      </c>
      <c r="G4242" s="16">
        <v>25084.839826738866</v>
      </c>
      <c r="H4242">
        <v>172</v>
      </c>
      <c r="I4242" s="1">
        <v>567.11</v>
      </c>
      <c r="J4242" s="16">
        <v>186213.64038209186</v>
      </c>
      <c r="K4242" s="5">
        <v>0.12547700713275298</v>
      </c>
      <c r="L4242" s="10">
        <v>384969.65620000003</v>
      </c>
    </row>
    <row r="4243" spans="1:12" x14ac:dyDescent="0.25">
      <c r="A4243">
        <v>4242</v>
      </c>
      <c r="B4243" s="3">
        <v>0.2084183549673955</v>
      </c>
      <c r="C4243" s="3">
        <v>2.9956911832180563E-2</v>
      </c>
      <c r="D4243" s="1">
        <v>69442.436969024027</v>
      </c>
      <c r="E4243" s="1">
        <v>2620239</v>
      </c>
      <c r="F4243" s="1">
        <v>17792370</v>
      </c>
      <c r="G4243" s="16">
        <v>7509.870417989313</v>
      </c>
      <c r="H4243">
        <v>45.99</v>
      </c>
      <c r="I4243" s="1">
        <v>218.79</v>
      </c>
      <c r="J4243" s="16">
        <v>76952.307387013338</v>
      </c>
      <c r="K4243" s="5">
        <v>4.1482637919897876E-2</v>
      </c>
      <c r="L4243" s="10">
        <v>124484.77959999999</v>
      </c>
    </row>
    <row r="4244" spans="1:12" x14ac:dyDescent="0.25">
      <c r="A4244">
        <v>4243</v>
      </c>
      <c r="B4244" s="3">
        <v>0.17762221094312014</v>
      </c>
      <c r="C4244" s="3">
        <v>5.4203456914659387E-2</v>
      </c>
      <c r="D4244" s="1">
        <v>103045.25208040481</v>
      </c>
      <c r="E4244" s="1">
        <v>4216438</v>
      </c>
      <c r="F4244" s="1">
        <v>22352737</v>
      </c>
      <c r="G4244" s="16">
        <v>22586.513849017796</v>
      </c>
      <c r="H4244">
        <v>133.53</v>
      </c>
      <c r="I4244" s="1">
        <v>429.97</v>
      </c>
      <c r="J4244" s="16">
        <v>125631.7659294226</v>
      </c>
      <c r="K4244" s="5">
        <v>2.1564278949081365E-2</v>
      </c>
      <c r="L4244" s="10">
        <v>58469.583299999998</v>
      </c>
    </row>
    <row r="4245" spans="1:12" x14ac:dyDescent="0.25">
      <c r="A4245">
        <v>4244</v>
      </c>
      <c r="B4245" s="3">
        <v>0.1852370968881204</v>
      </c>
      <c r="C4245" s="3">
        <v>3.6911593571501755E-2</v>
      </c>
      <c r="D4245" s="1">
        <v>135668.45434148045</v>
      </c>
      <c r="E4245" s="1">
        <v>4694482</v>
      </c>
      <c r="F4245" s="1">
        <v>18025533</v>
      </c>
      <c r="G4245" s="16">
        <v>30149.885531863536</v>
      </c>
      <c r="H4245">
        <v>190.33</v>
      </c>
      <c r="I4245" s="1">
        <v>462.1</v>
      </c>
      <c r="J4245" s="16">
        <v>165818.339873344</v>
      </c>
      <c r="K4245" s="5">
        <v>0.17007565122718321</v>
      </c>
      <c r="L4245" s="10">
        <v>626159.78</v>
      </c>
    </row>
    <row r="4246" spans="1:12" x14ac:dyDescent="0.25">
      <c r="A4246">
        <v>4245</v>
      </c>
      <c r="B4246" s="3">
        <v>0.23322755708114573</v>
      </c>
      <c r="C4246" s="3">
        <v>3.5260444364344952E-2</v>
      </c>
      <c r="D4246" s="1">
        <v>105655.77543428412</v>
      </c>
      <c r="E4246" s="1">
        <v>5720442</v>
      </c>
      <c r="F4246" s="1">
        <v>29645166</v>
      </c>
      <c r="G4246" s="16">
        <v>28648.524076662005</v>
      </c>
      <c r="H4246">
        <v>361.01</v>
      </c>
      <c r="I4246" s="1">
        <v>925.15</v>
      </c>
      <c r="J4246" s="16">
        <v>134304.29951094612</v>
      </c>
      <c r="K4246" s="5">
        <v>8.3245348308720352E-2</v>
      </c>
      <c r="L4246" s="10">
        <v>285947.29729999998</v>
      </c>
    </row>
    <row r="4247" spans="1:12" x14ac:dyDescent="0.25">
      <c r="A4247">
        <v>4246</v>
      </c>
      <c r="B4247" s="3">
        <v>0.19411890911337198</v>
      </c>
      <c r="C4247" s="3">
        <v>6.9819657708546992E-2</v>
      </c>
      <c r="D4247" s="1">
        <v>108341.52451933654</v>
      </c>
      <c r="E4247" s="1">
        <v>3874220</v>
      </c>
      <c r="F4247" s="1">
        <v>17160338</v>
      </c>
      <c r="G4247" s="16">
        <v>39689.406243369158</v>
      </c>
      <c r="H4247">
        <v>270.67</v>
      </c>
      <c r="I4247" s="1">
        <v>690.59</v>
      </c>
      <c r="J4247" s="16">
        <v>148030.93076270568</v>
      </c>
      <c r="K4247" s="5">
        <v>0.11737441427434758</v>
      </c>
      <c r="L4247" s="10">
        <v>164712.0668</v>
      </c>
    </row>
    <row r="4248" spans="1:12" x14ac:dyDescent="0.25">
      <c r="A4248">
        <v>4247</v>
      </c>
      <c r="B4248" s="3">
        <v>0.23738056560435047</v>
      </c>
      <c r="C4248" s="3">
        <v>5.2086155419982655E-2</v>
      </c>
      <c r="D4248" s="1">
        <v>123342.78111951056</v>
      </c>
      <c r="E4248" s="1">
        <v>6824719</v>
      </c>
      <c r="F4248" s="1">
        <v>28996624</v>
      </c>
      <c r="G4248" s="16">
        <v>15682.390359792125</v>
      </c>
      <c r="H4248">
        <v>157.15</v>
      </c>
      <c r="I4248" s="1">
        <v>545.97</v>
      </c>
      <c r="J4248" s="16">
        <v>139025.17147930269</v>
      </c>
      <c r="K4248" s="5">
        <v>0.17540977906472538</v>
      </c>
      <c r="L4248" s="10">
        <v>347261.23629999999</v>
      </c>
    </row>
    <row r="4249" spans="1:12" x14ac:dyDescent="0.25">
      <c r="A4249">
        <v>4248</v>
      </c>
      <c r="B4249" s="3">
        <v>0.14521254720954194</v>
      </c>
      <c r="C4249" s="3">
        <v>4.3097281648218876E-2</v>
      </c>
      <c r="D4249" s="1">
        <v>308204.30158880242</v>
      </c>
      <c r="E4249" s="1">
        <v>12640107</v>
      </c>
      <c r="F4249" s="1">
        <v>61364692</v>
      </c>
      <c r="G4249" s="16">
        <v>40752.618915101775</v>
      </c>
      <c r="H4249">
        <v>183.88</v>
      </c>
      <c r="I4249" s="1">
        <v>579.77</v>
      </c>
      <c r="J4249" s="16">
        <v>348956.92050390423</v>
      </c>
      <c r="K4249" s="5">
        <v>0.2443260329384184</v>
      </c>
      <c r="L4249" s="10">
        <v>1604247.2387000001</v>
      </c>
    </row>
    <row r="4250" spans="1:12" x14ac:dyDescent="0.25">
      <c r="A4250">
        <v>4249</v>
      </c>
      <c r="B4250" s="3">
        <v>0.16946229656621298</v>
      </c>
      <c r="C4250" s="3">
        <v>5.2822581655470505E-2</v>
      </c>
      <c r="D4250" s="1">
        <v>148294.13422006308</v>
      </c>
      <c r="E4250" s="1">
        <v>5832966</v>
      </c>
      <c r="F4250" s="1">
        <v>23156206</v>
      </c>
      <c r="G4250" s="16">
        <v>26746.294227656683</v>
      </c>
      <c r="H4250">
        <v>122.6</v>
      </c>
      <c r="I4250" s="1">
        <v>368.65</v>
      </c>
      <c r="J4250" s="16">
        <v>175040.42844771975</v>
      </c>
      <c r="K4250" s="5">
        <v>9.993092756706122E-2</v>
      </c>
      <c r="L4250" s="10">
        <v>279116.11070000002</v>
      </c>
    </row>
    <row r="4251" spans="1:12" x14ac:dyDescent="0.25">
      <c r="A4251">
        <v>4250</v>
      </c>
      <c r="B4251" s="3">
        <v>0.14321661258101964</v>
      </c>
      <c r="C4251" s="3">
        <v>5.5367283063151557E-2</v>
      </c>
      <c r="D4251" s="1">
        <v>145667.1472304512</v>
      </c>
      <c r="E4251" s="1">
        <v>5059180</v>
      </c>
      <c r="F4251" s="1">
        <v>25432820</v>
      </c>
      <c r="G4251" s="16">
        <v>28311.14595486247</v>
      </c>
      <c r="H4251">
        <v>107.79</v>
      </c>
      <c r="I4251" s="1">
        <v>307.86</v>
      </c>
      <c r="J4251" s="16">
        <v>173978.29318531367</v>
      </c>
      <c r="K4251" s="5">
        <v>9.7393873692381727E-2</v>
      </c>
      <c r="L4251" s="10">
        <v>257712.31200000001</v>
      </c>
    </row>
    <row r="4252" spans="1:12" x14ac:dyDescent="0.25">
      <c r="A4252">
        <v>4251</v>
      </c>
      <c r="B4252" s="3">
        <v>0.21928590608865478</v>
      </c>
      <c r="C4252" s="3">
        <v>7.4523096573054656E-2</v>
      </c>
      <c r="D4252" s="1">
        <v>106249.13136886116</v>
      </c>
      <c r="E4252" s="1">
        <v>4178807</v>
      </c>
      <c r="F4252" s="1">
        <v>20778703</v>
      </c>
      <c r="G4252" s="16">
        <v>33589.032249934695</v>
      </c>
      <c r="H4252">
        <v>285.95999999999998</v>
      </c>
      <c r="I4252" s="1">
        <v>742.37999999999988</v>
      </c>
      <c r="J4252" s="16">
        <v>139838.16361879586</v>
      </c>
      <c r="K4252" s="5">
        <v>0.10196485874473062</v>
      </c>
      <c r="L4252" s="10">
        <v>145932.65210000001</v>
      </c>
    </row>
    <row r="4253" spans="1:12" x14ac:dyDescent="0.25">
      <c r="A4253">
        <v>4252</v>
      </c>
      <c r="B4253" s="3">
        <v>0.15765494997683546</v>
      </c>
      <c r="C4253" s="3">
        <v>4.5705193825712878E-2</v>
      </c>
      <c r="D4253" s="1">
        <v>205240.54378100787</v>
      </c>
      <c r="E4253" s="1">
        <v>7629668</v>
      </c>
      <c r="F4253" s="1">
        <v>32058314</v>
      </c>
      <c r="G4253" s="16">
        <v>39619.870072621932</v>
      </c>
      <c r="H4253">
        <v>198.37</v>
      </c>
      <c r="I4253" s="1">
        <v>535.79</v>
      </c>
      <c r="J4253" s="16">
        <v>244860.41385362981</v>
      </c>
      <c r="K4253" s="5">
        <v>5.631755972429147E-2</v>
      </c>
      <c r="L4253" s="10">
        <v>242669.29519999999</v>
      </c>
    </row>
    <row r="4254" spans="1:12" x14ac:dyDescent="0.25">
      <c r="A4254">
        <v>4253</v>
      </c>
      <c r="B4254" s="3">
        <v>0.24228117086489387</v>
      </c>
      <c r="C4254" s="3">
        <v>2.4868201392813108E-2</v>
      </c>
      <c r="D4254" s="1">
        <v>79756.954438318411</v>
      </c>
      <c r="E4254" s="1">
        <v>4528336</v>
      </c>
      <c r="F4254" s="1">
        <v>24008599</v>
      </c>
      <c r="G4254" s="16">
        <v>12664.084326323977</v>
      </c>
      <c r="H4254">
        <v>132.93</v>
      </c>
      <c r="I4254" s="1">
        <v>411.09999999999997</v>
      </c>
      <c r="J4254" s="16">
        <v>92421.038764642391</v>
      </c>
      <c r="K4254" s="5">
        <v>-3.9860969479828041E-2</v>
      </c>
      <c r="L4254" s="10">
        <v>-108499.97100000001</v>
      </c>
    </row>
    <row r="4255" spans="1:12" x14ac:dyDescent="0.25">
      <c r="A4255">
        <v>4254</v>
      </c>
      <c r="B4255" s="3">
        <v>0.19625359464554731</v>
      </c>
      <c r="C4255" s="3">
        <v>6.1041703182544788E-2</v>
      </c>
      <c r="D4255" s="1">
        <v>122233.43730215175</v>
      </c>
      <c r="E4255" s="1">
        <v>5481714</v>
      </c>
      <c r="F4255" s="1">
        <v>29974965</v>
      </c>
      <c r="G4255" s="16">
        <v>32244.978827308863</v>
      </c>
      <c r="H4255">
        <v>224.05</v>
      </c>
      <c r="I4255" s="1">
        <v>759.65999999999985</v>
      </c>
      <c r="J4255" s="16">
        <v>154478.41612946062</v>
      </c>
      <c r="K4255" s="5">
        <v>9.9513519643067636E-2</v>
      </c>
      <c r="L4255" s="10">
        <v>216242.66200000001</v>
      </c>
    </row>
    <row r="4256" spans="1:12" x14ac:dyDescent="0.25">
      <c r="A4256">
        <v>4255</v>
      </c>
      <c r="B4256" s="3">
        <v>0.18305134164290637</v>
      </c>
      <c r="C4256" s="3">
        <v>6.1869255480277399E-2</v>
      </c>
      <c r="D4256" s="1">
        <v>80073.27600500996</v>
      </c>
      <c r="E4256" s="1">
        <v>3364423</v>
      </c>
      <c r="F4256" s="1">
        <v>22520833</v>
      </c>
      <c r="G4256" s="16">
        <v>31282.819497249442</v>
      </c>
      <c r="H4256">
        <v>193.8</v>
      </c>
      <c r="I4256" s="1">
        <v>580.74</v>
      </c>
      <c r="J4256" s="16">
        <v>111356.0955022594</v>
      </c>
      <c r="K4256" s="5">
        <v>0.11836445548293477</v>
      </c>
      <c r="L4256" s="10">
        <v>144121.55129999999</v>
      </c>
    </row>
    <row r="4257" spans="1:12" x14ac:dyDescent="0.25">
      <c r="A4257">
        <v>4256</v>
      </c>
      <c r="B4257" s="3">
        <v>0.11103933355967814</v>
      </c>
      <c r="C4257" s="3">
        <v>2.1194251196421651E-2</v>
      </c>
      <c r="D4257" s="1">
        <v>251657.20983539073</v>
      </c>
      <c r="E4257" s="1">
        <v>7541917</v>
      </c>
      <c r="F4257" s="1">
        <v>28565124</v>
      </c>
      <c r="G4257" s="16">
        <v>79227.778295513621</v>
      </c>
      <c r="H4257">
        <v>271.54000000000002</v>
      </c>
      <c r="I4257" s="1">
        <v>621.70000000000005</v>
      </c>
      <c r="J4257" s="16">
        <v>330884.98813090438</v>
      </c>
      <c r="K4257" s="5">
        <v>0.16678270420028596</v>
      </c>
      <c r="L4257" s="10">
        <v>2266192.0721999998</v>
      </c>
    </row>
    <row r="4258" spans="1:12" x14ac:dyDescent="0.25">
      <c r="A4258">
        <v>4257</v>
      </c>
      <c r="B4258" s="3">
        <v>0.2480812298399607</v>
      </c>
      <c r="C4258" s="3">
        <v>5.8006492120033559E-2</v>
      </c>
      <c r="D4258" s="1">
        <v>92809.368097126673</v>
      </c>
      <c r="E4258" s="1">
        <v>4085849</v>
      </c>
      <c r="F4258" s="1">
        <v>19466733</v>
      </c>
      <c r="G4258" s="16">
        <v>21116.958879296453</v>
      </c>
      <c r="H4258">
        <v>310.74</v>
      </c>
      <c r="I4258" s="1">
        <v>844.67</v>
      </c>
      <c r="J4258" s="16">
        <v>113926.32697642312</v>
      </c>
      <c r="K4258" s="5">
        <v>0.11724951565582289</v>
      </c>
      <c r="L4258" s="10">
        <v>185889.49350000001</v>
      </c>
    </row>
    <row r="4259" spans="1:12" x14ac:dyDescent="0.25">
      <c r="A4259">
        <v>4258</v>
      </c>
      <c r="B4259" s="3">
        <v>0.14858306601727264</v>
      </c>
      <c r="C4259" s="3">
        <v>2.2191095313574272E-2</v>
      </c>
      <c r="D4259" s="1">
        <v>127178.36997310266</v>
      </c>
      <c r="E4259" s="1">
        <v>3856461</v>
      </c>
      <c r="F4259" s="1">
        <v>20219593</v>
      </c>
      <c r="G4259" s="16">
        <v>33621.627899718296</v>
      </c>
      <c r="H4259">
        <v>156.01</v>
      </c>
      <c r="I4259" s="1">
        <v>573.02</v>
      </c>
      <c r="J4259" s="16">
        <v>160799.99787282094</v>
      </c>
      <c r="K4259" s="5">
        <v>5.0524656444123399E-2</v>
      </c>
      <c r="L4259" s="10">
        <v>355474.01490000001</v>
      </c>
    </row>
    <row r="4260" spans="1:12" x14ac:dyDescent="0.25">
      <c r="A4260">
        <v>4259</v>
      </c>
      <c r="B4260" s="3">
        <v>0.16609651839884354</v>
      </c>
      <c r="C4260" s="3">
        <v>7.9316060393219159E-2</v>
      </c>
      <c r="D4260" s="1">
        <v>205265.92055570148</v>
      </c>
      <c r="E4260" s="1">
        <v>9526661</v>
      </c>
      <c r="F4260" s="1">
        <v>47701030</v>
      </c>
      <c r="G4260" s="16">
        <v>27803.178238294448</v>
      </c>
      <c r="H4260">
        <v>124.6</v>
      </c>
      <c r="I4260" s="1">
        <v>377.70000000000005</v>
      </c>
      <c r="J4260" s="16">
        <v>233069.09879399592</v>
      </c>
      <c r="K4260" s="5">
        <v>0.18805280478717631</v>
      </c>
      <c r="L4260" s="10">
        <v>393845.95630000002</v>
      </c>
    </row>
    <row r="4261" spans="1:12" x14ac:dyDescent="0.25">
      <c r="A4261">
        <v>4260</v>
      </c>
      <c r="B4261" s="3">
        <v>0.21984521871993995</v>
      </c>
      <c r="C4261" s="3">
        <v>2.7658792822274167E-2</v>
      </c>
      <c r="D4261" s="1">
        <v>189313.92485318039</v>
      </c>
      <c r="E4261" s="1">
        <v>9564519</v>
      </c>
      <c r="F4261" s="1">
        <v>28517139</v>
      </c>
      <c r="G4261" s="16">
        <v>15797.822633193602</v>
      </c>
      <c r="H4261">
        <v>105.45</v>
      </c>
      <c r="I4261" s="1">
        <v>309.82</v>
      </c>
      <c r="J4261" s="16">
        <v>205111.74748637399</v>
      </c>
      <c r="K4261" s="5">
        <v>0.14038813958687635</v>
      </c>
      <c r="L4261" s="10">
        <v>902538.8321</v>
      </c>
    </row>
    <row r="4262" spans="1:12" x14ac:dyDescent="0.25">
      <c r="A4262">
        <v>4261</v>
      </c>
      <c r="B4262" s="3">
        <v>0.1060964948219279</v>
      </c>
      <c r="C4262" s="3">
        <v>3.995405599648616E-2</v>
      </c>
      <c r="D4262" s="1">
        <v>214021.37876999384</v>
      </c>
      <c r="E4262" s="1">
        <v>6273315</v>
      </c>
      <c r="F4262" s="1">
        <v>31716508</v>
      </c>
      <c r="G4262" s="16">
        <v>110075.93153904803</v>
      </c>
      <c r="H4262">
        <v>406.25</v>
      </c>
      <c r="I4262" s="1">
        <v>1198.46</v>
      </c>
      <c r="J4262" s="16">
        <v>324097.31030904187</v>
      </c>
      <c r="K4262" s="5">
        <v>0.28277929881796759</v>
      </c>
      <c r="L4262" s="10">
        <v>1759382.4086</v>
      </c>
    </row>
    <row r="4263" spans="1:12" x14ac:dyDescent="0.25">
      <c r="A4263">
        <v>4262</v>
      </c>
      <c r="B4263" s="3">
        <v>0.10971160732966909</v>
      </c>
      <c r="C4263" s="3">
        <v>3.6265680386241353E-2</v>
      </c>
      <c r="D4263" s="1">
        <v>160353.40373197579</v>
      </c>
      <c r="E4263" s="1">
        <v>4777031</v>
      </c>
      <c r="F4263" s="1">
        <v>22949583</v>
      </c>
      <c r="G4263" s="16">
        <v>47470.98497918481</v>
      </c>
      <c r="H4263">
        <v>161.04</v>
      </c>
      <c r="I4263" s="1">
        <v>546.89</v>
      </c>
      <c r="J4263" s="16">
        <v>207824.3887111606</v>
      </c>
      <c r="K4263" s="5">
        <v>6.0941514159074194E-2</v>
      </c>
      <c r="L4263" s="10">
        <v>300776.09370000003</v>
      </c>
    </row>
    <row r="4264" spans="1:12" x14ac:dyDescent="0.25">
      <c r="A4264">
        <v>4263</v>
      </c>
      <c r="B4264" s="3">
        <v>0.21560318722551994</v>
      </c>
      <c r="C4264" s="3">
        <v>7.7574236888612064E-2</v>
      </c>
      <c r="D4264" s="1">
        <v>140247.49087663306</v>
      </c>
      <c r="E4264" s="1">
        <v>6933530</v>
      </c>
      <c r="F4264" s="1">
        <v>28849370</v>
      </c>
      <c r="G4264" s="16">
        <v>13407.079579347454</v>
      </c>
      <c r="H4264">
        <v>110.48</v>
      </c>
      <c r="I4264" s="1">
        <v>430.36</v>
      </c>
      <c r="J4264" s="16">
        <v>153654.57045598052</v>
      </c>
      <c r="K4264" s="5">
        <v>0.22948758719371984</v>
      </c>
      <c r="L4264" s="10">
        <v>326777.38809999998</v>
      </c>
    </row>
    <row r="4265" spans="1:12" x14ac:dyDescent="0.25">
      <c r="A4265">
        <v>4264</v>
      </c>
      <c r="B4265" s="3">
        <v>0.21035748657704489</v>
      </c>
      <c r="C4265" s="3">
        <v>7.6514265026982692E-2</v>
      </c>
      <c r="D4265" s="1">
        <v>127542.01875883619</v>
      </c>
      <c r="E4265" s="1">
        <v>7775058</v>
      </c>
      <c r="F4265" s="1">
        <v>43328897</v>
      </c>
      <c r="G4265" s="16">
        <v>14344.040586950399</v>
      </c>
      <c r="H4265">
        <v>89.02</v>
      </c>
      <c r="I4265" s="1">
        <v>370.04999999999995</v>
      </c>
      <c r="J4265" s="16">
        <v>141886.05934578658</v>
      </c>
      <c r="K4265" s="5">
        <v>-4.4287407636366197E-3</v>
      </c>
      <c r="L4265" s="10">
        <v>2810.5041999999999</v>
      </c>
    </row>
    <row r="4266" spans="1:12" x14ac:dyDescent="0.25">
      <c r="A4266">
        <v>4265</v>
      </c>
      <c r="B4266" s="3">
        <v>0.14739161791428451</v>
      </c>
      <c r="C4266" s="3">
        <v>6.6898452180688239E-2</v>
      </c>
      <c r="D4266" s="1">
        <v>124250.57062427219</v>
      </c>
      <c r="E4266" s="1">
        <v>3751916</v>
      </c>
      <c r="F4266" s="1">
        <v>16994048</v>
      </c>
      <c r="G4266" s="16">
        <v>26209.919874524723</v>
      </c>
      <c r="H4266">
        <v>120.36</v>
      </c>
      <c r="I4266" s="1">
        <v>472.76000000000005</v>
      </c>
      <c r="J4266" s="16">
        <v>150460.49049879692</v>
      </c>
      <c r="K4266" s="5">
        <v>0.14136323562358075</v>
      </c>
      <c r="L4266" s="10">
        <v>245647.06599999999</v>
      </c>
    </row>
    <row r="4267" spans="1:12" x14ac:dyDescent="0.25">
      <c r="A4267">
        <v>4266</v>
      </c>
      <c r="B4267" s="3">
        <v>0.10456958778521365</v>
      </c>
      <c r="C4267" s="3">
        <v>7.341175109208202E-2</v>
      </c>
      <c r="D4267" s="1">
        <v>182071.24645429797</v>
      </c>
      <c r="E4267" s="1">
        <v>4746223</v>
      </c>
      <c r="F4267" s="1">
        <v>16595412</v>
      </c>
      <c r="G4267" s="16">
        <v>19646.344271212878</v>
      </c>
      <c r="H4267">
        <v>57.29</v>
      </c>
      <c r="I4267" s="1">
        <v>252.09</v>
      </c>
      <c r="J4267" s="16">
        <v>201717.59072551085</v>
      </c>
      <c r="K4267" s="5">
        <v>-6.0662546136456136E-3</v>
      </c>
      <c r="L4267" s="10">
        <v>1651.1126999999999</v>
      </c>
    </row>
    <row r="4268" spans="1:12" x14ac:dyDescent="0.25">
      <c r="A4268">
        <v>4267</v>
      </c>
      <c r="B4268" s="3">
        <v>0.23858794310776504</v>
      </c>
      <c r="C4268" s="3">
        <v>7.3094944365723322E-2</v>
      </c>
      <c r="D4268" s="1">
        <v>89530.062941527154</v>
      </c>
      <c r="E4268" s="1">
        <v>3795889</v>
      </c>
      <c r="F4268" s="1">
        <v>14079078</v>
      </c>
      <c r="G4268" s="16">
        <v>4938.0971450117277</v>
      </c>
      <c r="H4268">
        <v>29.06</v>
      </c>
      <c r="I4268" s="1">
        <v>150.61000000000001</v>
      </c>
      <c r="J4268" s="16">
        <v>94468.160086538875</v>
      </c>
      <c r="K4268" s="5">
        <v>0.17355227571477694</v>
      </c>
      <c r="L4268" s="10">
        <v>162436.71</v>
      </c>
    </row>
    <row r="4269" spans="1:12" x14ac:dyDescent="0.25">
      <c r="A4269">
        <v>4268</v>
      </c>
      <c r="B4269" s="3">
        <v>0.17997611471842828</v>
      </c>
      <c r="C4269" s="3">
        <v>7.7957510344792411E-2</v>
      </c>
      <c r="D4269" s="1">
        <v>27459.381890000444</v>
      </c>
      <c r="E4269" s="1">
        <v>764260</v>
      </c>
      <c r="F4269" s="1">
        <v>8480761</v>
      </c>
      <c r="G4269" s="16">
        <v>12312.445073933312</v>
      </c>
      <c r="H4269">
        <v>60.97</v>
      </c>
      <c r="I4269" s="1">
        <v>205.46</v>
      </c>
      <c r="J4269" s="16">
        <v>39771.826963933752</v>
      </c>
      <c r="K4269" s="5">
        <v>0.1874153548313815</v>
      </c>
      <c r="L4269" s="10">
        <v>87674.562699999995</v>
      </c>
    </row>
    <row r="4270" spans="1:12" x14ac:dyDescent="0.25">
      <c r="A4270">
        <v>4269</v>
      </c>
      <c r="B4270" s="3">
        <v>0.21695337607446627</v>
      </c>
      <c r="C4270" s="3">
        <v>4.1459983294273917E-2</v>
      </c>
      <c r="D4270" s="1">
        <v>91906.240302564242</v>
      </c>
      <c r="E4270" s="1">
        <v>4575066</v>
      </c>
      <c r="F4270" s="1">
        <v>23124892</v>
      </c>
      <c r="G4270" s="16">
        <v>55729.251408017153</v>
      </c>
      <c r="H4270">
        <v>758.08</v>
      </c>
      <c r="I4270" s="1">
        <v>1666.33</v>
      </c>
      <c r="J4270" s="16">
        <v>147635.49171058141</v>
      </c>
      <c r="K4270" s="5">
        <v>6.0942881948038749E-2</v>
      </c>
      <c r="L4270" s="10">
        <v>207012.92180000001</v>
      </c>
    </row>
    <row r="4271" spans="1:12" x14ac:dyDescent="0.25">
      <c r="A4271">
        <v>4270</v>
      </c>
      <c r="B4271" s="3">
        <v>0.23357166192822076</v>
      </c>
      <c r="C4271" s="3">
        <v>6.0993476685304873E-2</v>
      </c>
      <c r="D4271" s="1">
        <v>114527.94108197036</v>
      </c>
      <c r="E4271" s="1">
        <v>4761014</v>
      </c>
      <c r="F4271" s="1">
        <v>21213122</v>
      </c>
      <c r="G4271" s="16">
        <v>6614.7081137250589</v>
      </c>
      <c r="H4271">
        <v>49.06</v>
      </c>
      <c r="I4271" s="1">
        <v>195.44</v>
      </c>
      <c r="J4271" s="16">
        <v>121142.64919569543</v>
      </c>
      <c r="K4271" s="5">
        <v>0.14333831203626185</v>
      </c>
      <c r="L4271" s="10">
        <v>204586.3443</v>
      </c>
    </row>
    <row r="4272" spans="1:12" x14ac:dyDescent="0.25">
      <c r="A4272">
        <v>4271</v>
      </c>
      <c r="B4272" s="3">
        <v>0.13359223321434713</v>
      </c>
      <c r="C4272" s="3">
        <v>6.0673461261895406E-2</v>
      </c>
      <c r="D4272" s="1">
        <v>79154.460860777312</v>
      </c>
      <c r="E4272" s="1">
        <v>2277780</v>
      </c>
      <c r="F4272" s="1">
        <v>14612123</v>
      </c>
      <c r="G4272" s="16">
        <v>12744.827643242596</v>
      </c>
      <c r="H4272">
        <v>45.34</v>
      </c>
      <c r="I4272" s="1">
        <v>221.14</v>
      </c>
      <c r="J4272" s="16">
        <v>91899.288504019903</v>
      </c>
      <c r="K4272" s="5">
        <v>0.11953876181333366</v>
      </c>
      <c r="L4272" s="10">
        <v>165016.5716</v>
      </c>
    </row>
    <row r="4273" spans="1:12" x14ac:dyDescent="0.25">
      <c r="A4273">
        <v>4272</v>
      </c>
      <c r="B4273" s="3">
        <v>0.20856281135642507</v>
      </c>
      <c r="C4273" s="3">
        <v>5.1178194226153301E-2</v>
      </c>
      <c r="D4273" s="1">
        <v>355923.02353011409</v>
      </c>
      <c r="E4273" s="1">
        <v>27105666</v>
      </c>
      <c r="F4273" s="1">
        <v>95362438</v>
      </c>
      <c r="G4273" s="16">
        <v>16330.03795698324</v>
      </c>
      <c r="H4273">
        <v>126.24</v>
      </c>
      <c r="I4273" s="1">
        <v>432.21</v>
      </c>
      <c r="J4273" s="16">
        <v>372253.06148709735</v>
      </c>
      <c r="K4273" s="5">
        <v>0.14231231916624126</v>
      </c>
      <c r="L4273" s="10">
        <v>758552.42819999997</v>
      </c>
    </row>
    <row r="4274" spans="1:12" x14ac:dyDescent="0.25">
      <c r="A4274">
        <v>4273</v>
      </c>
      <c r="B4274" s="3">
        <v>0.18279769247024003</v>
      </c>
      <c r="C4274" s="3">
        <v>2.8167773869020151E-2</v>
      </c>
      <c r="D4274" s="1">
        <v>260754.56753994437</v>
      </c>
      <c r="E4274" s="1">
        <v>10942494</v>
      </c>
      <c r="F4274" s="1">
        <v>40112009</v>
      </c>
      <c r="G4274" s="16">
        <v>54594.628330569278</v>
      </c>
      <c r="H4274">
        <v>412.98</v>
      </c>
      <c r="I4274" s="1">
        <v>1075.3899999999999</v>
      </c>
      <c r="J4274" s="16">
        <v>315349.19587051368</v>
      </c>
      <c r="K4274" s="5">
        <v>0.21466504882136928</v>
      </c>
      <c r="L4274" s="10">
        <v>2039627.6287</v>
      </c>
    </row>
    <row r="4275" spans="1:12" x14ac:dyDescent="0.25">
      <c r="A4275">
        <v>4274</v>
      </c>
      <c r="B4275" s="3">
        <v>0.1651936680692494</v>
      </c>
      <c r="C4275" s="3">
        <v>5.747748232892394E-2</v>
      </c>
      <c r="D4275" s="1">
        <v>137311.05073485305</v>
      </c>
      <c r="E4275" s="1">
        <v>5291342</v>
      </c>
      <c r="F4275" s="1">
        <v>23022107</v>
      </c>
      <c r="G4275" s="16">
        <v>15675.212414562802</v>
      </c>
      <c r="H4275">
        <v>69.73</v>
      </c>
      <c r="I4275" s="1">
        <v>252.51</v>
      </c>
      <c r="J4275" s="16">
        <v>152986.26314941584</v>
      </c>
      <c r="K4275" s="5">
        <v>0.24806128783844011</v>
      </c>
      <c r="L4275" s="10">
        <v>491996.52750000003</v>
      </c>
    </row>
    <row r="4276" spans="1:12" x14ac:dyDescent="0.25">
      <c r="A4276">
        <v>4275</v>
      </c>
      <c r="B4276" s="3">
        <v>0.15284873205451346</v>
      </c>
      <c r="C4276" s="3">
        <v>6.7384764319868146E-2</v>
      </c>
      <c r="D4276" s="1">
        <v>173832.17184862919</v>
      </c>
      <c r="E4276" s="1">
        <v>6316683</v>
      </c>
      <c r="F4276" s="1">
        <v>39468403</v>
      </c>
      <c r="G4276" s="16">
        <v>26315.068521402871</v>
      </c>
      <c r="H4276">
        <v>126.44</v>
      </c>
      <c r="I4276" s="1">
        <v>443.41</v>
      </c>
      <c r="J4276" s="16">
        <v>200147.24037003206</v>
      </c>
      <c r="K4276" s="5">
        <v>0.14733478701687705</v>
      </c>
      <c r="L4276" s="10">
        <v>376722.32559999998</v>
      </c>
    </row>
    <row r="4277" spans="1:12" x14ac:dyDescent="0.25">
      <c r="A4277">
        <v>4276</v>
      </c>
      <c r="B4277" s="3">
        <v>0.23411821290995671</v>
      </c>
      <c r="C4277" s="3">
        <v>6.8271934586764491E-2</v>
      </c>
      <c r="D4277" s="1">
        <v>40335.919080176151</v>
      </c>
      <c r="E4277" s="1">
        <v>1680387</v>
      </c>
      <c r="F4277" s="1">
        <v>16382451</v>
      </c>
      <c r="G4277" s="16">
        <v>8540.7404116131165</v>
      </c>
      <c r="H4277">
        <v>48.69</v>
      </c>
      <c r="I4277" s="1">
        <v>171.01</v>
      </c>
      <c r="J4277" s="16">
        <v>48876.659491789265</v>
      </c>
      <c r="K4277" s="5">
        <v>0.20795299736306394</v>
      </c>
      <c r="L4277" s="10">
        <v>125971.1692</v>
      </c>
    </row>
    <row r="4278" spans="1:12" x14ac:dyDescent="0.25">
      <c r="A4278">
        <v>4277</v>
      </c>
      <c r="B4278" s="3">
        <v>0.24439816739846879</v>
      </c>
      <c r="C4278" s="3">
        <v>5.9601565254886218E-2</v>
      </c>
      <c r="D4278" s="1">
        <v>211988.29914269983</v>
      </c>
      <c r="E4278" s="1">
        <v>16108312</v>
      </c>
      <c r="F4278" s="1">
        <v>54261006</v>
      </c>
      <c r="G4278" s="16">
        <v>22496.618974504036</v>
      </c>
      <c r="H4278">
        <v>318.37</v>
      </c>
      <c r="I4278" s="1">
        <v>900.9</v>
      </c>
      <c r="J4278" s="16">
        <v>234484.91811720387</v>
      </c>
      <c r="K4278" s="5">
        <v>0.21793753465150889</v>
      </c>
      <c r="L4278" s="10">
        <v>629158.56409999996</v>
      </c>
    </row>
    <row r="4279" spans="1:12" x14ac:dyDescent="0.25">
      <c r="A4279">
        <v>4278</v>
      </c>
      <c r="B4279" s="3">
        <v>0.2311106455897266</v>
      </c>
      <c r="C4279" s="3">
        <v>6.6720707662792852E-2</v>
      </c>
      <c r="D4279" s="1">
        <v>101326.1164925763</v>
      </c>
      <c r="E4279" s="1">
        <v>4171890</v>
      </c>
      <c r="F4279" s="1">
        <v>20545281</v>
      </c>
      <c r="G4279" s="16">
        <v>15724.486506289593</v>
      </c>
      <c r="H4279">
        <v>148.82</v>
      </c>
      <c r="I4279" s="1">
        <v>412.35</v>
      </c>
      <c r="J4279" s="16">
        <v>117050.6029988659</v>
      </c>
      <c r="K4279" s="5">
        <v>7.0384884756266142E-2</v>
      </c>
      <c r="L4279" s="10">
        <v>96313.284599999999</v>
      </c>
    </row>
    <row r="4280" spans="1:12" x14ac:dyDescent="0.25">
      <c r="A4280">
        <v>4279</v>
      </c>
      <c r="B4280" s="3">
        <v>0.23511722371964858</v>
      </c>
      <c r="C4280" s="3">
        <v>6.1448355585035377E-2</v>
      </c>
      <c r="D4280" s="1">
        <v>71622.711355468375</v>
      </c>
      <c r="E4280" s="1">
        <v>2995501</v>
      </c>
      <c r="F4280" s="1">
        <v>16568910</v>
      </c>
      <c r="G4280" s="16">
        <v>12081.516916034703</v>
      </c>
      <c r="H4280">
        <v>90.58</v>
      </c>
      <c r="I4280" s="1">
        <v>300.90000000000003</v>
      </c>
      <c r="J4280" s="16">
        <v>83704.228271503074</v>
      </c>
      <c r="K4280" s="5">
        <v>0.11428937210987311</v>
      </c>
      <c r="L4280" s="10">
        <v>124847.9966</v>
      </c>
    </row>
    <row r="4281" spans="1:12" x14ac:dyDescent="0.25">
      <c r="A4281">
        <v>4280</v>
      </c>
      <c r="B4281" s="3">
        <v>0.14336847373829367</v>
      </c>
      <c r="C4281" s="3">
        <v>3.9397801635923532E-2</v>
      </c>
      <c r="D4281" s="1">
        <v>82821.984228592846</v>
      </c>
      <c r="E4281" s="1">
        <v>2465847</v>
      </c>
      <c r="F4281" s="1">
        <v>16085871</v>
      </c>
      <c r="G4281" s="16">
        <v>23025.525669483213</v>
      </c>
      <c r="H4281">
        <v>102.38</v>
      </c>
      <c r="I4281" s="1">
        <v>413</v>
      </c>
      <c r="J4281" s="16">
        <v>105847.50989807607</v>
      </c>
      <c r="K4281" s="5">
        <v>0.14231021264452245</v>
      </c>
      <c r="L4281" s="10">
        <v>324166.36570000002</v>
      </c>
    </row>
    <row r="4282" spans="1:12" x14ac:dyDescent="0.25">
      <c r="A4282">
        <v>4281</v>
      </c>
      <c r="B4282" s="3">
        <v>0.11864830715941184</v>
      </c>
      <c r="C4282" s="3">
        <v>6.8838998807460194E-2</v>
      </c>
      <c r="D4282" s="1">
        <v>160465.80600235311</v>
      </c>
      <c r="E4282" s="1">
        <v>4977239</v>
      </c>
      <c r="F4282" s="1">
        <v>27775282</v>
      </c>
      <c r="G4282" s="16">
        <v>32838.690066114876</v>
      </c>
      <c r="H4282">
        <v>119.68</v>
      </c>
      <c r="I4282" s="1">
        <v>389.28000000000003</v>
      </c>
      <c r="J4282" s="16">
        <v>193304.496068468</v>
      </c>
      <c r="K4282" s="5">
        <v>9.8195630115434224E-2</v>
      </c>
      <c r="L4282" s="10">
        <v>230488.36079999999</v>
      </c>
    </row>
    <row r="4283" spans="1:12" x14ac:dyDescent="0.25">
      <c r="A4283">
        <v>4282</v>
      </c>
      <c r="B4283" s="3">
        <v>0.17604710598731754</v>
      </c>
      <c r="C4283" s="3">
        <v>2.2113710348135501E-2</v>
      </c>
      <c r="D4283" s="1">
        <v>273102.99083804764</v>
      </c>
      <c r="E4283" s="1">
        <v>13459149</v>
      </c>
      <c r="F4283" s="1">
        <v>48788272</v>
      </c>
      <c r="G4283" s="16">
        <v>32323.124322975797</v>
      </c>
      <c r="H4283">
        <v>188.74</v>
      </c>
      <c r="I4283" s="1">
        <v>514.29</v>
      </c>
      <c r="J4283" s="16">
        <v>305426.11516102345</v>
      </c>
      <c r="K4283" s="5">
        <v>0.1109372272789452</v>
      </c>
      <c r="L4283" s="10">
        <v>1335450.0419999999</v>
      </c>
    </row>
    <row r="4284" spans="1:12" x14ac:dyDescent="0.25">
      <c r="A4284">
        <v>4283</v>
      </c>
      <c r="B4284" s="3">
        <v>0.23678952441237514</v>
      </c>
      <c r="C4284" s="3">
        <v>3.9868668979417154E-2</v>
      </c>
      <c r="D4284" s="1">
        <v>78087.932220796574</v>
      </c>
      <c r="E4284" s="1">
        <v>3287414</v>
      </c>
      <c r="F4284" s="1">
        <v>12498817</v>
      </c>
      <c r="G4284" s="16">
        <v>13096.336963965547</v>
      </c>
      <c r="H4284">
        <v>99.72</v>
      </c>
      <c r="I4284" s="1">
        <v>289.09000000000003</v>
      </c>
      <c r="J4284" s="16">
        <v>91184.269184762117</v>
      </c>
      <c r="K4284" s="5">
        <v>0.13889183344046438</v>
      </c>
      <c r="L4284" s="10">
        <v>254079.47270000001</v>
      </c>
    </row>
    <row r="4285" spans="1:12" x14ac:dyDescent="0.25">
      <c r="A4285">
        <v>4284</v>
      </c>
      <c r="B4285" s="3">
        <v>0.20105667836560703</v>
      </c>
      <c r="C4285" s="3">
        <v>6.0952469000557313E-2</v>
      </c>
      <c r="D4285" s="1">
        <v>231685.09091877242</v>
      </c>
      <c r="E4285" s="1">
        <v>10642351</v>
      </c>
      <c r="F4285" s="1">
        <v>39601029</v>
      </c>
      <c r="G4285" s="16">
        <v>14225.40281486534</v>
      </c>
      <c r="H4285">
        <v>102.99</v>
      </c>
      <c r="I4285" s="1">
        <v>398.98</v>
      </c>
      <c r="J4285" s="16">
        <v>245910.49373363776</v>
      </c>
      <c r="K4285" s="5">
        <v>9.2321710711928517E-2</v>
      </c>
      <c r="L4285" s="10">
        <v>260295.37280000001</v>
      </c>
    </row>
    <row r="4286" spans="1:12" x14ac:dyDescent="0.25">
      <c r="A4286">
        <v>4285</v>
      </c>
      <c r="B4286" s="3">
        <v>0.19692486169427487</v>
      </c>
      <c r="C4286" s="3">
        <v>2.3668975245244063E-2</v>
      </c>
      <c r="D4286" s="1">
        <v>92142.817271630644</v>
      </c>
      <c r="E4286" s="1">
        <v>3329631</v>
      </c>
      <c r="F4286" s="1">
        <v>15280310</v>
      </c>
      <c r="G4286" s="16">
        <v>8394.8119750968581</v>
      </c>
      <c r="H4286">
        <v>47.03</v>
      </c>
      <c r="I4286" s="1">
        <v>198.25</v>
      </c>
      <c r="J4286" s="16">
        <v>100537.62924672751</v>
      </c>
      <c r="K4286" s="5">
        <v>0.13657403367625304</v>
      </c>
      <c r="L4286" s="10">
        <v>524864.03430000006</v>
      </c>
    </row>
    <row r="4287" spans="1:12" x14ac:dyDescent="0.25">
      <c r="A4287">
        <v>4286</v>
      </c>
      <c r="B4287" s="3">
        <v>0.19126922160709303</v>
      </c>
      <c r="C4287" s="3">
        <v>2.1144081245605378E-2</v>
      </c>
      <c r="D4287" s="1">
        <v>284901.80096318456</v>
      </c>
      <c r="E4287" s="1">
        <v>12464721</v>
      </c>
      <c r="F4287" s="1">
        <v>40477089</v>
      </c>
      <c r="G4287" s="16">
        <v>16898.095010376612</v>
      </c>
      <c r="H4287">
        <v>91.02</v>
      </c>
      <c r="I4287" s="1">
        <v>317.45</v>
      </c>
      <c r="J4287" s="16">
        <v>301799.89597356116</v>
      </c>
      <c r="K4287" s="5">
        <v>0.17199539349624651</v>
      </c>
      <c r="L4287" s="10">
        <v>2135561.7919999999</v>
      </c>
    </row>
    <row r="4288" spans="1:12" x14ac:dyDescent="0.25">
      <c r="A4288">
        <v>4287</v>
      </c>
      <c r="B4288" s="3">
        <v>0.14257971317138271</v>
      </c>
      <c r="C4288" s="3">
        <v>2.5284762467843468E-2</v>
      </c>
      <c r="D4288" s="1">
        <v>252900.04506779669</v>
      </c>
      <c r="E4288" s="1">
        <v>8757435</v>
      </c>
      <c r="F4288" s="1">
        <v>33635893</v>
      </c>
      <c r="G4288" s="16">
        <v>113682.35085806366</v>
      </c>
      <c r="H4288">
        <v>585.62</v>
      </c>
      <c r="I4288" s="1">
        <v>1409.47</v>
      </c>
      <c r="J4288" s="16">
        <v>366582.39592586033</v>
      </c>
      <c r="K4288" s="5">
        <v>9.1507539939113897E-2</v>
      </c>
      <c r="L4288" s="10">
        <v>1097084.0190000001</v>
      </c>
    </row>
    <row r="4289" spans="1:12" x14ac:dyDescent="0.25">
      <c r="A4289">
        <v>4288</v>
      </c>
      <c r="B4289" s="3">
        <v>0.21268779936283896</v>
      </c>
      <c r="C4289" s="3">
        <v>5.2957899753710486E-2</v>
      </c>
      <c r="D4289" s="1">
        <v>261261.17049823876</v>
      </c>
      <c r="E4289" s="1">
        <v>16163787</v>
      </c>
      <c r="F4289" s="1">
        <v>69405011</v>
      </c>
      <c r="G4289" s="16">
        <v>13740.516896585801</v>
      </c>
      <c r="H4289">
        <v>86.82</v>
      </c>
      <c r="I4289" s="1">
        <v>301.71999999999997</v>
      </c>
      <c r="J4289" s="16">
        <v>275001.68739482458</v>
      </c>
      <c r="K4289" s="5">
        <v>0.15320742737970314</v>
      </c>
      <c r="L4289" s="10">
        <v>586555.1176</v>
      </c>
    </row>
    <row r="4290" spans="1:12" x14ac:dyDescent="0.25">
      <c r="A4290">
        <v>4289</v>
      </c>
      <c r="B4290" s="3">
        <v>0.10452589438652908</v>
      </c>
      <c r="C4290" s="3">
        <v>4.5484292651443617E-2</v>
      </c>
      <c r="D4290" s="1">
        <v>335776.51667953801</v>
      </c>
      <c r="E4290" s="1">
        <v>9773296</v>
      </c>
      <c r="F4290" s="1">
        <v>37714468</v>
      </c>
      <c r="G4290" s="16">
        <v>38630.892561498847</v>
      </c>
      <c r="H4290">
        <v>126.09</v>
      </c>
      <c r="I4290" s="1">
        <v>437.40999999999997</v>
      </c>
      <c r="J4290" s="16">
        <v>374407.40924103686</v>
      </c>
      <c r="K4290" s="5">
        <v>8.679074537097603E-2</v>
      </c>
      <c r="L4290" s="10">
        <v>558675.20400000003</v>
      </c>
    </row>
    <row r="4291" spans="1:12" x14ac:dyDescent="0.25">
      <c r="A4291">
        <v>4290</v>
      </c>
      <c r="B4291" s="3">
        <v>0.11408511617649804</v>
      </c>
      <c r="C4291" s="3">
        <v>4.8698658389981997E-2</v>
      </c>
      <c r="D4291" s="1">
        <v>317222.20063960826</v>
      </c>
      <c r="E4291" s="1">
        <v>9638249</v>
      </c>
      <c r="F4291" s="1">
        <v>34990289</v>
      </c>
      <c r="G4291" s="16">
        <v>67545.124115295577</v>
      </c>
      <c r="H4291">
        <v>237.38</v>
      </c>
      <c r="I4291" s="1">
        <v>657.72</v>
      </c>
      <c r="J4291" s="16">
        <v>384767.32475490385</v>
      </c>
      <c r="K4291" s="5">
        <v>0.1094404621119152</v>
      </c>
      <c r="L4291" s="10">
        <v>610960.3406</v>
      </c>
    </row>
    <row r="4292" spans="1:12" x14ac:dyDescent="0.25">
      <c r="A4292">
        <v>4291</v>
      </c>
      <c r="B4292" s="3">
        <v>0.24883517474825476</v>
      </c>
      <c r="C4292" s="3">
        <v>6.1542824316618255E-2</v>
      </c>
      <c r="D4292" s="1">
        <v>52967.741230376894</v>
      </c>
      <c r="E4292" s="1">
        <v>1756887</v>
      </c>
      <c r="F4292" s="1">
        <v>8336847</v>
      </c>
      <c r="G4292" s="16">
        <v>28980.842323630844</v>
      </c>
      <c r="H4292">
        <v>430.71</v>
      </c>
      <c r="I4292" s="1">
        <v>1212.8999999999999</v>
      </c>
      <c r="J4292" s="16">
        <v>81948.583554007739</v>
      </c>
      <c r="K4292" s="5">
        <v>0.20622989770644629</v>
      </c>
      <c r="L4292" s="10">
        <v>197963.08590000001</v>
      </c>
    </row>
    <row r="4293" spans="1:12" x14ac:dyDescent="0.25">
      <c r="A4293">
        <v>4292</v>
      </c>
      <c r="B4293" s="3">
        <v>0.19141685256854518</v>
      </c>
      <c r="C4293" s="3">
        <v>7.3724570253044672E-2</v>
      </c>
      <c r="D4293" s="1">
        <v>156086.65360162902</v>
      </c>
      <c r="E4293" s="1">
        <v>6833919</v>
      </c>
      <c r="F4293" s="1">
        <v>28091317</v>
      </c>
      <c r="G4293" s="16">
        <v>26072.357286736988</v>
      </c>
      <c r="H4293">
        <v>173.79</v>
      </c>
      <c r="I4293" s="1">
        <v>593.33000000000004</v>
      </c>
      <c r="J4293" s="16">
        <v>182159.010888366</v>
      </c>
      <c r="K4293" s="5">
        <v>-6.5453962807974261E-2</v>
      </c>
      <c r="L4293" s="10">
        <v>-73984.347099999999</v>
      </c>
    </row>
    <row r="4294" spans="1:12" x14ac:dyDescent="0.25">
      <c r="A4294">
        <v>4293</v>
      </c>
      <c r="B4294" s="3">
        <v>0.1056513734080604</v>
      </c>
      <c r="C4294" s="3">
        <v>2.8501950744832659E-2</v>
      </c>
      <c r="D4294" s="1">
        <v>303009.22759816993</v>
      </c>
      <c r="E4294" s="1">
        <v>8864034</v>
      </c>
      <c r="F4294" s="1">
        <v>42471715</v>
      </c>
      <c r="G4294" s="16">
        <v>16413.135274087908</v>
      </c>
      <c r="H4294">
        <v>43.22</v>
      </c>
      <c r="I4294" s="1">
        <v>147.53000000000003</v>
      </c>
      <c r="J4294" s="16">
        <v>319422.36287225783</v>
      </c>
      <c r="K4294" s="5">
        <v>3.7359873926909731E-2</v>
      </c>
      <c r="L4294" s="10">
        <v>383081.22779999999</v>
      </c>
    </row>
    <row r="4295" spans="1:12" x14ac:dyDescent="0.25">
      <c r="A4295">
        <v>4294</v>
      </c>
      <c r="B4295" s="3">
        <v>0.21350132415781725</v>
      </c>
      <c r="C4295" s="3">
        <v>3.3645934370594759E-2</v>
      </c>
      <c r="D4295" s="1">
        <v>82320.38444931127</v>
      </c>
      <c r="E4295" s="1">
        <v>3166771</v>
      </c>
      <c r="F4295" s="1">
        <v>19606856</v>
      </c>
      <c r="G4295" s="16">
        <v>38111.589696799369</v>
      </c>
      <c r="H4295">
        <v>308.74</v>
      </c>
      <c r="I4295" s="1">
        <v>716.43000000000006</v>
      </c>
      <c r="J4295" s="16">
        <v>120431.97414611065</v>
      </c>
      <c r="K4295" s="5">
        <v>0.19475979690277212</v>
      </c>
      <c r="L4295" s="10">
        <v>578014.82169999997</v>
      </c>
    </row>
    <row r="4296" spans="1:12" x14ac:dyDescent="0.25">
      <c r="A4296">
        <v>4295</v>
      </c>
      <c r="B4296" s="3">
        <v>0.13655643359275557</v>
      </c>
      <c r="C4296" s="3">
        <v>6.7728505987192794E-2</v>
      </c>
      <c r="D4296" s="1">
        <v>221219.90960861524</v>
      </c>
      <c r="E4296" s="1">
        <v>6431689</v>
      </c>
      <c r="F4296" s="1">
        <v>20313168</v>
      </c>
      <c r="G4296" s="16">
        <v>18873.032701171065</v>
      </c>
      <c r="H4296">
        <v>68.59</v>
      </c>
      <c r="I4296" s="1">
        <v>295.08000000000004</v>
      </c>
      <c r="J4296" s="16">
        <v>240092.9423097863</v>
      </c>
      <c r="K4296" s="5">
        <v>0.10107058599087691</v>
      </c>
      <c r="L4296" s="10">
        <v>230970.1974</v>
      </c>
    </row>
    <row r="4297" spans="1:12" x14ac:dyDescent="0.25">
      <c r="A4297">
        <v>4296</v>
      </c>
      <c r="B4297" s="3">
        <v>0.18709020484025027</v>
      </c>
      <c r="C4297" s="3">
        <v>2.2424400027746854E-2</v>
      </c>
      <c r="D4297" s="1">
        <v>258559.83559848237</v>
      </c>
      <c r="E4297" s="1">
        <v>11081383</v>
      </c>
      <c r="F4297" s="1">
        <v>37688960</v>
      </c>
      <c r="G4297" s="16">
        <v>28198.454272283001</v>
      </c>
      <c r="H4297">
        <v>180.81</v>
      </c>
      <c r="I4297" s="1">
        <v>643.08999999999992</v>
      </c>
      <c r="J4297" s="16">
        <v>286758.28987076535</v>
      </c>
      <c r="K4297" s="5">
        <v>-9.5269454048398788E-4</v>
      </c>
      <c r="L4297" s="10">
        <v>-12366.742099999999</v>
      </c>
    </row>
    <row r="4298" spans="1:12" x14ac:dyDescent="0.25">
      <c r="A4298">
        <v>4297</v>
      </c>
      <c r="B4298" s="3">
        <v>0.13257735321558681</v>
      </c>
      <c r="C4298" s="3">
        <v>4.5855624608780482E-2</v>
      </c>
      <c r="D4298" s="1">
        <v>204755.73068831165</v>
      </c>
      <c r="E4298" s="1">
        <v>6768863</v>
      </c>
      <c r="F4298" s="1">
        <v>28561933</v>
      </c>
      <c r="G4298" s="16">
        <v>32667.443430836189</v>
      </c>
      <c r="H4298">
        <v>115.34</v>
      </c>
      <c r="I4298" s="1">
        <v>325.5</v>
      </c>
      <c r="J4298" s="16">
        <v>237423.17411914785</v>
      </c>
      <c r="K4298" s="5">
        <v>2.9349766936842301E-2</v>
      </c>
      <c r="L4298" s="10">
        <v>140173.2389</v>
      </c>
    </row>
    <row r="4299" spans="1:12" x14ac:dyDescent="0.25">
      <c r="A4299">
        <v>4298</v>
      </c>
      <c r="B4299" s="3">
        <v>0.18349663934806351</v>
      </c>
      <c r="C4299" s="3">
        <v>5.6832014759203769E-2</v>
      </c>
      <c r="D4299" s="1">
        <v>176731.23232214793</v>
      </c>
      <c r="E4299" s="1">
        <v>7441920</v>
      </c>
      <c r="F4299" s="1">
        <v>34776308</v>
      </c>
      <c r="G4299" s="16">
        <v>78882.392989002066</v>
      </c>
      <c r="H4299">
        <v>600.09</v>
      </c>
      <c r="I4299" s="1">
        <v>1337.02</v>
      </c>
      <c r="J4299" s="16">
        <v>255613.62531114998</v>
      </c>
      <c r="K4299" s="5">
        <v>7.8900180556179797E-2</v>
      </c>
      <c r="L4299" s="10">
        <v>281621.84179999999</v>
      </c>
    </row>
    <row r="4300" spans="1:12" x14ac:dyDescent="0.25">
      <c r="A4300">
        <v>4299</v>
      </c>
      <c r="B4300" s="3">
        <v>0.1813578219872628</v>
      </c>
      <c r="C4300" s="3">
        <v>2.6022889791500237E-2</v>
      </c>
      <c r="D4300" s="1">
        <v>203945.80596269167</v>
      </c>
      <c r="E4300" s="1">
        <v>8498472</v>
      </c>
      <c r="F4300" s="1">
        <v>29121416</v>
      </c>
      <c r="G4300" s="16">
        <v>14167.13538600466</v>
      </c>
      <c r="H4300">
        <v>57.96</v>
      </c>
      <c r="I4300" s="1">
        <v>185.09</v>
      </c>
      <c r="J4300" s="16">
        <v>218112.94134869633</v>
      </c>
      <c r="K4300" s="5">
        <v>1.5452530119275651E-2</v>
      </c>
      <c r="L4300" s="10">
        <v>120154.10950000001</v>
      </c>
    </row>
    <row r="4301" spans="1:12" x14ac:dyDescent="0.25">
      <c r="A4301">
        <v>4300</v>
      </c>
      <c r="B4301" s="3">
        <v>0.11272167293264054</v>
      </c>
      <c r="C4301" s="3">
        <v>3.8070879644517511E-2</v>
      </c>
      <c r="D4301" s="1">
        <v>79459.621688057319</v>
      </c>
      <c r="E4301" s="1">
        <v>2128963</v>
      </c>
      <c r="F4301" s="1">
        <v>11495132</v>
      </c>
      <c r="G4301" s="16">
        <v>26660.788783446991</v>
      </c>
      <c r="H4301">
        <v>82.25</v>
      </c>
      <c r="I4301" s="1">
        <v>381.02</v>
      </c>
      <c r="J4301" s="16">
        <v>106120.41047150431</v>
      </c>
      <c r="K4301" s="5">
        <v>0.15843805746511516</v>
      </c>
      <c r="L4301" s="10">
        <v>359948.3664</v>
      </c>
    </row>
    <row r="4302" spans="1:12" x14ac:dyDescent="0.25">
      <c r="A4302">
        <v>4301</v>
      </c>
      <c r="B4302" s="3">
        <v>0.18920886694721001</v>
      </c>
      <c r="C4302" s="3">
        <v>5.5055818493917191E-2</v>
      </c>
      <c r="D4302" s="1">
        <v>75921.411360921818</v>
      </c>
      <c r="E4302" s="1">
        <v>3287996</v>
      </c>
      <c r="F4302" s="1">
        <v>25811653</v>
      </c>
      <c r="G4302" s="16">
        <v>30788.584967922769</v>
      </c>
      <c r="H4302">
        <v>201.09</v>
      </c>
      <c r="I4302" s="1">
        <v>643.44000000000005</v>
      </c>
      <c r="J4302" s="16">
        <v>106709.99632884459</v>
      </c>
      <c r="K4302" s="5">
        <v>0.11587196809089526</v>
      </c>
      <c r="L4302" s="10">
        <v>175517.72750000001</v>
      </c>
    </row>
    <row r="4303" spans="1:12" x14ac:dyDescent="0.25">
      <c r="A4303">
        <v>4302</v>
      </c>
      <c r="B4303" s="3">
        <v>0.24138390067830778</v>
      </c>
      <c r="C4303" s="3">
        <v>6.3347321958801786E-2</v>
      </c>
      <c r="D4303" s="1">
        <v>119165.25489935256</v>
      </c>
      <c r="E4303" s="1">
        <v>6733864</v>
      </c>
      <c r="F4303" s="1">
        <v>32444446</v>
      </c>
      <c r="G4303" s="16">
        <v>11895.812634246533</v>
      </c>
      <c r="H4303">
        <v>93.74</v>
      </c>
      <c r="I4303" s="1">
        <v>254.24</v>
      </c>
      <c r="J4303" s="16">
        <v>131061.0675335991</v>
      </c>
      <c r="K4303" s="5">
        <v>7.4047008585620452E-2</v>
      </c>
      <c r="L4303" s="10">
        <v>113312.906</v>
      </c>
    </row>
    <row r="4304" spans="1:12" x14ac:dyDescent="0.25">
      <c r="A4304">
        <v>4303</v>
      </c>
      <c r="B4304" s="3">
        <v>0.23160081299731505</v>
      </c>
      <c r="C4304" s="3">
        <v>7.6938012230779812E-2</v>
      </c>
      <c r="D4304" s="1">
        <v>142136.59027099397</v>
      </c>
      <c r="E4304" s="1">
        <v>7630641</v>
      </c>
      <c r="F4304" s="1">
        <v>30380310</v>
      </c>
      <c r="G4304" s="16">
        <v>9450.5298742381528</v>
      </c>
      <c r="H4304">
        <v>53.01</v>
      </c>
      <c r="I4304" s="1">
        <v>182.42</v>
      </c>
      <c r="J4304" s="16">
        <v>151587.12014523213</v>
      </c>
      <c r="K4304" s="5">
        <v>0.24033908610497254</v>
      </c>
      <c r="L4304" s="10">
        <v>315346.42300000001</v>
      </c>
    </row>
    <row r="4305" spans="1:12" x14ac:dyDescent="0.25">
      <c r="A4305">
        <v>4304</v>
      </c>
      <c r="B4305" s="3">
        <v>0.11253791595262448</v>
      </c>
      <c r="C4305" s="3">
        <v>4.2869467288836019E-2</v>
      </c>
      <c r="D4305" s="1">
        <v>284026.26533933688</v>
      </c>
      <c r="E4305" s="1">
        <v>9656328</v>
      </c>
      <c r="F4305" s="1">
        <v>47713430</v>
      </c>
      <c r="G4305" s="16">
        <v>22306.339605547517</v>
      </c>
      <c r="H4305">
        <v>68.7</v>
      </c>
      <c r="I4305" s="1">
        <v>237.68</v>
      </c>
      <c r="J4305" s="16">
        <v>306332.60494488443</v>
      </c>
      <c r="K4305" s="5">
        <v>0.20918896558046804</v>
      </c>
      <c r="L4305" s="10">
        <v>1174339.05</v>
      </c>
    </row>
    <row r="4306" spans="1:12" x14ac:dyDescent="0.25">
      <c r="A4306">
        <v>4305</v>
      </c>
      <c r="B4306" s="3">
        <v>0.17234623799099585</v>
      </c>
      <c r="C4306" s="3">
        <v>6.1554330757222261E-2</v>
      </c>
      <c r="D4306" s="1">
        <v>154757.02428525363</v>
      </c>
      <c r="E4306" s="1">
        <v>6172459</v>
      </c>
      <c r="F4306" s="1">
        <v>32636807</v>
      </c>
      <c r="G4306" s="16">
        <v>46491.4549569316</v>
      </c>
      <c r="H4306">
        <v>317.64</v>
      </c>
      <c r="I4306" s="1">
        <v>926.19999999999993</v>
      </c>
      <c r="J4306" s="16">
        <v>201248.47924218525</v>
      </c>
      <c r="K4306" s="5">
        <v>0.15067694983637908</v>
      </c>
      <c r="L4306" s="10">
        <v>376266.88199999998</v>
      </c>
    </row>
    <row r="4307" spans="1:12" x14ac:dyDescent="0.25">
      <c r="A4307">
        <v>4306</v>
      </c>
      <c r="B4307" s="3">
        <v>0.23579112761103677</v>
      </c>
      <c r="C4307" s="3">
        <v>5.9770351444380337E-2</v>
      </c>
      <c r="D4307" s="1">
        <v>68366.556933826752</v>
      </c>
      <c r="E4307" s="1">
        <v>2866884</v>
      </c>
      <c r="F4307" s="1">
        <v>17533055</v>
      </c>
      <c r="G4307" s="16">
        <v>27571.987016156996</v>
      </c>
      <c r="H4307">
        <v>356.44</v>
      </c>
      <c r="I4307" s="1">
        <v>1055.94</v>
      </c>
      <c r="J4307" s="16">
        <v>95938.543949983752</v>
      </c>
      <c r="K4307" s="5">
        <v>0.14493802806864772</v>
      </c>
      <c r="L4307" s="10">
        <v>182089.5882</v>
      </c>
    </row>
    <row r="4308" spans="1:12" x14ac:dyDescent="0.25">
      <c r="A4308">
        <v>4307</v>
      </c>
      <c r="B4308" s="3">
        <v>0.12674828138663563</v>
      </c>
      <c r="C4308" s="3">
        <v>2.3016668491731698E-2</v>
      </c>
      <c r="D4308" s="1">
        <v>136479.87022359579</v>
      </c>
      <c r="E4308" s="1">
        <v>3835777</v>
      </c>
      <c r="F4308" s="1">
        <v>14142779</v>
      </c>
      <c r="G4308" s="16">
        <v>58907.109659460541</v>
      </c>
      <c r="H4308">
        <v>228.56</v>
      </c>
      <c r="I4308" s="1">
        <v>570.93000000000006</v>
      </c>
      <c r="J4308" s="16">
        <v>195386.97988305634</v>
      </c>
      <c r="K4308" s="5">
        <v>0.12177836705882661</v>
      </c>
      <c r="L4308" s="10">
        <v>879482.36930000002</v>
      </c>
    </row>
    <row r="4309" spans="1:12" x14ac:dyDescent="0.25">
      <c r="A4309">
        <v>4308</v>
      </c>
      <c r="B4309" s="3">
        <v>0.21532071834643213</v>
      </c>
      <c r="C4309" s="3">
        <v>6.9830063107891818E-2</v>
      </c>
      <c r="D4309" s="1">
        <v>200600.21712476294</v>
      </c>
      <c r="E4309" s="1">
        <v>12620414</v>
      </c>
      <c r="F4309" s="1">
        <v>52753404</v>
      </c>
      <c r="G4309" s="16">
        <v>19360.205766864245</v>
      </c>
      <c r="H4309">
        <v>124.6</v>
      </c>
      <c r="I4309" s="1">
        <v>319.76</v>
      </c>
      <c r="J4309" s="16">
        <v>219960.42289162718</v>
      </c>
      <c r="K4309" s="5">
        <v>6.1397347678623079E-2</v>
      </c>
      <c r="L4309" s="10">
        <v>162290.0172</v>
      </c>
    </row>
    <row r="4310" spans="1:12" x14ac:dyDescent="0.25">
      <c r="A4310">
        <v>4309</v>
      </c>
      <c r="B4310" s="3">
        <v>0.23235537325800601</v>
      </c>
      <c r="C4310" s="3">
        <v>2.0789328639794057E-2</v>
      </c>
      <c r="D4310" s="1">
        <v>216562.19676481275</v>
      </c>
      <c r="E4310" s="1">
        <v>11671976</v>
      </c>
      <c r="F4310" s="1">
        <v>42658808</v>
      </c>
      <c r="G4310" s="16">
        <v>15951.975246287857</v>
      </c>
      <c r="H4310">
        <v>152.53</v>
      </c>
      <c r="I4310" s="1">
        <v>446.47</v>
      </c>
      <c r="J4310" s="16">
        <v>232514.1720111006</v>
      </c>
      <c r="K4310" s="5">
        <v>0.13749023673045666</v>
      </c>
      <c r="L4310" s="10">
        <v>1380544.8041000001</v>
      </c>
    </row>
    <row r="4311" spans="1:12" x14ac:dyDescent="0.25">
      <c r="A4311">
        <v>4310</v>
      </c>
      <c r="B4311" s="3">
        <v>0.15175460488938897</v>
      </c>
      <c r="C4311" s="3">
        <v>3.1442442111959831E-2</v>
      </c>
      <c r="D4311" s="1">
        <v>150608.9492128189</v>
      </c>
      <c r="E4311" s="1">
        <v>5444610</v>
      </c>
      <c r="F4311" s="1">
        <v>25898805</v>
      </c>
      <c r="G4311" s="16">
        <v>27521.911749991952</v>
      </c>
      <c r="H4311">
        <v>111.2</v>
      </c>
      <c r="I4311" s="1">
        <v>338.44</v>
      </c>
      <c r="J4311" s="16">
        <v>178130.86096281087</v>
      </c>
      <c r="K4311" s="5">
        <v>-6.231858447718417E-2</v>
      </c>
      <c r="L4311" s="10">
        <v>-305403.36690000002</v>
      </c>
    </row>
    <row r="4312" spans="1:12" x14ac:dyDescent="0.25">
      <c r="A4312">
        <v>4311</v>
      </c>
      <c r="B4312" s="3">
        <v>0.19043942284107698</v>
      </c>
      <c r="C4312" s="3">
        <v>3.2457172903754009E-2</v>
      </c>
      <c r="D4312" s="1">
        <v>60563.5822474987</v>
      </c>
      <c r="E4312" s="1">
        <v>2136317</v>
      </c>
      <c r="F4312" s="1">
        <v>12154040</v>
      </c>
      <c r="G4312" s="16">
        <v>15925.554966593319</v>
      </c>
      <c r="H4312">
        <v>84.99</v>
      </c>
      <c r="I4312" s="1">
        <v>327.48</v>
      </c>
      <c r="J4312" s="16">
        <v>76489.137214092014</v>
      </c>
      <c r="K4312" s="5">
        <v>0.17078626975870653</v>
      </c>
      <c r="L4312" s="10">
        <v>352797.3749</v>
      </c>
    </row>
    <row r="4313" spans="1:12" x14ac:dyDescent="0.25">
      <c r="A4313">
        <v>4312</v>
      </c>
      <c r="B4313" s="3">
        <v>0.24382595589317174</v>
      </c>
      <c r="C4313" s="3">
        <v>7.1901673389874313E-2</v>
      </c>
      <c r="D4313" s="1">
        <v>182317.09361195817</v>
      </c>
      <c r="E4313" s="1">
        <v>10436217</v>
      </c>
      <c r="F4313" s="1">
        <v>36620683</v>
      </c>
      <c r="G4313" s="16">
        <v>20494.781146068035</v>
      </c>
      <c r="H4313">
        <v>288.58</v>
      </c>
      <c r="I4313" s="1">
        <v>875.33999999999992</v>
      </c>
      <c r="J4313" s="16">
        <v>202811.87475802621</v>
      </c>
      <c r="K4313" s="5">
        <v>6.3253432710739854E-2</v>
      </c>
      <c r="L4313" s="10">
        <v>105903.25629999999</v>
      </c>
    </row>
    <row r="4314" spans="1:12" x14ac:dyDescent="0.25">
      <c r="A4314">
        <v>4313</v>
      </c>
      <c r="B4314" s="3">
        <v>0.20423517142871428</v>
      </c>
      <c r="C4314" s="3">
        <v>6.6074605943445539E-2</v>
      </c>
      <c r="D4314" s="1">
        <v>131613.67748377624</v>
      </c>
      <c r="E4314" s="1">
        <v>4888213</v>
      </c>
      <c r="F4314" s="1">
        <v>17052395</v>
      </c>
      <c r="G4314" s="16">
        <v>11084.408895193945</v>
      </c>
      <c r="H4314">
        <v>65.66</v>
      </c>
      <c r="I4314" s="1">
        <v>268.81000000000006</v>
      </c>
      <c r="J4314" s="16">
        <v>142698.08637897018</v>
      </c>
      <c r="K4314" s="5">
        <v>7.7763314072666262E-2</v>
      </c>
      <c r="L4314" s="10">
        <v>130614.09</v>
      </c>
    </row>
    <row r="4315" spans="1:12" x14ac:dyDescent="0.25">
      <c r="A4315">
        <v>4314</v>
      </c>
      <c r="B4315" s="3">
        <v>0.19877980968217412</v>
      </c>
      <c r="C4315" s="3">
        <v>2.5855847734617084E-2</v>
      </c>
      <c r="D4315" s="1">
        <v>124403.16778365352</v>
      </c>
      <c r="E4315" s="1">
        <v>5649715</v>
      </c>
      <c r="F4315" s="1">
        <v>22646064</v>
      </c>
      <c r="G4315" s="16">
        <v>40793.807760492666</v>
      </c>
      <c r="H4315">
        <v>361.58</v>
      </c>
      <c r="I4315" s="1">
        <v>874.11999999999989</v>
      </c>
      <c r="J4315" s="16">
        <v>165196.9755441462</v>
      </c>
      <c r="K4315" s="5">
        <v>0.13437582976263457</v>
      </c>
      <c r="L4315" s="10">
        <v>748167.12239999999</v>
      </c>
    </row>
    <row r="4316" spans="1:12" x14ac:dyDescent="0.25">
      <c r="A4316">
        <v>4315</v>
      </c>
      <c r="B4316" s="3">
        <v>0.14202538801523845</v>
      </c>
      <c r="C4316" s="3">
        <v>4.02894847740463E-2</v>
      </c>
      <c r="D4316" s="1">
        <v>157133.70708167611</v>
      </c>
      <c r="E4316" s="1">
        <v>4656392</v>
      </c>
      <c r="F4316" s="1">
        <v>20504313</v>
      </c>
      <c r="G4316" s="16">
        <v>44146.689928775319</v>
      </c>
      <c r="H4316">
        <v>194.18</v>
      </c>
      <c r="I4316" s="1">
        <v>462.36</v>
      </c>
      <c r="J4316" s="16">
        <v>201280.39701045142</v>
      </c>
      <c r="K4316" s="5">
        <v>-6.2493210466800148E-2</v>
      </c>
      <c r="L4316" s="10">
        <v>-198962.4958</v>
      </c>
    </row>
    <row r="4317" spans="1:12" x14ac:dyDescent="0.25">
      <c r="A4317">
        <v>4316</v>
      </c>
      <c r="B4317" s="3">
        <v>0.19576367583204601</v>
      </c>
      <c r="C4317" s="3">
        <v>4.5270173079450957E-2</v>
      </c>
      <c r="D4317" s="1">
        <v>47481.606355801508</v>
      </c>
      <c r="E4317" s="1">
        <v>1708350</v>
      </c>
      <c r="F4317" s="1">
        <v>12999561</v>
      </c>
      <c r="G4317" s="16">
        <v>31795.884262078398</v>
      </c>
      <c r="H4317">
        <v>219.83</v>
      </c>
      <c r="I4317" s="1">
        <v>540.69000000000005</v>
      </c>
      <c r="J4317" s="16">
        <v>79277.490617879899</v>
      </c>
      <c r="K4317" s="5">
        <v>0.22489820030255109</v>
      </c>
      <c r="L4317" s="10">
        <v>329156.48389999999</v>
      </c>
    </row>
    <row r="4318" spans="1:12" x14ac:dyDescent="0.25">
      <c r="A4318">
        <v>4317</v>
      </c>
      <c r="B4318" s="3">
        <v>0.20241225816823782</v>
      </c>
      <c r="C4318" s="3">
        <v>7.1913254886771638E-2</v>
      </c>
      <c r="D4318" s="1">
        <v>57061.31814865709</v>
      </c>
      <c r="E4318" s="1">
        <v>1678759</v>
      </c>
      <c r="F4318" s="1">
        <v>10732381</v>
      </c>
      <c r="G4318" s="16">
        <v>33802.323059234404</v>
      </c>
      <c r="H4318">
        <v>247.94</v>
      </c>
      <c r="I4318" s="1">
        <v>641.79</v>
      </c>
      <c r="J4318" s="16">
        <v>90863.641207891487</v>
      </c>
      <c r="K4318" s="5">
        <v>-5.3199609428819072E-2</v>
      </c>
      <c r="L4318" s="10">
        <v>-36748.8482</v>
      </c>
    </row>
    <row r="4319" spans="1:12" x14ac:dyDescent="0.25">
      <c r="A4319">
        <v>4318</v>
      </c>
      <c r="B4319" s="3">
        <v>0.12281588207117229</v>
      </c>
      <c r="C4319" s="3">
        <v>2.7271473325623359E-2</v>
      </c>
      <c r="D4319" s="1">
        <v>207067.77801950186</v>
      </c>
      <c r="E4319" s="1">
        <v>6545641</v>
      </c>
      <c r="F4319" s="1">
        <v>25671437</v>
      </c>
      <c r="G4319" s="16">
        <v>144091.71779542163</v>
      </c>
      <c r="H4319">
        <v>617.35</v>
      </c>
      <c r="I4319" s="1">
        <v>1517.62</v>
      </c>
      <c r="J4319" s="16">
        <v>351159.49581492349</v>
      </c>
      <c r="K4319" s="5">
        <v>-2.1553304149532271E-2</v>
      </c>
      <c r="L4319" s="10">
        <v>-208861.65030000001</v>
      </c>
    </row>
    <row r="4320" spans="1:12" x14ac:dyDescent="0.25">
      <c r="A4320">
        <v>4319</v>
      </c>
      <c r="B4320" s="3">
        <v>0.24836200183742435</v>
      </c>
      <c r="C4320" s="3">
        <v>2.7702343214750763E-2</v>
      </c>
      <c r="D4320" s="1">
        <v>166614.48478186282</v>
      </c>
      <c r="E4320" s="1">
        <v>9769683</v>
      </c>
      <c r="F4320" s="1">
        <v>32154021</v>
      </c>
      <c r="G4320" s="16">
        <v>11909.013859128034</v>
      </c>
      <c r="H4320">
        <v>99.47</v>
      </c>
      <c r="I4320" s="1">
        <v>349.8</v>
      </c>
      <c r="J4320" s="16">
        <v>178523.49864099085</v>
      </c>
      <c r="K4320" s="5">
        <v>5.9462652526313595E-2</v>
      </c>
      <c r="L4320" s="10">
        <v>335586.53989999997</v>
      </c>
    </row>
    <row r="4321" spans="1:12" x14ac:dyDescent="0.25">
      <c r="A4321">
        <v>4320</v>
      </c>
      <c r="B4321" s="3">
        <v>0.23175018881328083</v>
      </c>
      <c r="C4321" s="3">
        <v>3.651258764393224E-2</v>
      </c>
      <c r="D4321" s="1">
        <v>132854.28123752604</v>
      </c>
      <c r="E4321" s="1">
        <v>7137880</v>
      </c>
      <c r="F4321" s="1">
        <v>30621999</v>
      </c>
      <c r="G4321" s="16">
        <v>11724.517625091916</v>
      </c>
      <c r="H4321">
        <v>111.69</v>
      </c>
      <c r="I4321" s="1">
        <v>390.2</v>
      </c>
      <c r="J4321" s="16">
        <v>144578.79886261796</v>
      </c>
      <c r="K4321" s="5">
        <v>0.19979203098760456</v>
      </c>
      <c r="L4321" s="10">
        <v>625227.5196</v>
      </c>
    </row>
    <row r="4322" spans="1:12" x14ac:dyDescent="0.25">
      <c r="A4322">
        <v>4321</v>
      </c>
      <c r="B4322" s="3">
        <v>0.23736996273516794</v>
      </c>
      <c r="C4322" s="3">
        <v>4.755138432763184E-2</v>
      </c>
      <c r="D4322" s="1">
        <v>145585.64280189638</v>
      </c>
      <c r="E4322" s="1">
        <v>8054998</v>
      </c>
      <c r="F4322" s="1">
        <v>41445196</v>
      </c>
      <c r="G4322" s="16">
        <v>13031.298453297428</v>
      </c>
      <c r="H4322">
        <v>130.54</v>
      </c>
      <c r="I4322" s="1">
        <v>402.31999999999994</v>
      </c>
      <c r="J4322" s="16">
        <v>158616.94125519381</v>
      </c>
      <c r="K4322" s="5">
        <v>0.27440367312710567</v>
      </c>
      <c r="L4322" s="10">
        <v>740038.95169999998</v>
      </c>
    </row>
    <row r="4323" spans="1:12" x14ac:dyDescent="0.25">
      <c r="A4323">
        <v>4322</v>
      </c>
      <c r="B4323" s="3">
        <v>0.17134212388210854</v>
      </c>
      <c r="C4323" s="3">
        <v>6.4875170761372419E-2</v>
      </c>
      <c r="D4323" s="1">
        <v>113503.81312542499</v>
      </c>
      <c r="E4323" s="1">
        <v>4505181</v>
      </c>
      <c r="F4323" s="1">
        <v>26990215</v>
      </c>
      <c r="G4323" s="16">
        <v>19427.229191704871</v>
      </c>
      <c r="H4323">
        <v>90.48</v>
      </c>
      <c r="I4323" s="1">
        <v>315.58</v>
      </c>
      <c r="J4323" s="16">
        <v>132931.04231712985</v>
      </c>
      <c r="K4323" s="5">
        <v>9.9567402483805273E-2</v>
      </c>
      <c r="L4323" s="10">
        <v>174631.34150000001</v>
      </c>
    </row>
    <row r="4324" spans="1:12" x14ac:dyDescent="0.25">
      <c r="A4324">
        <v>4323</v>
      </c>
      <c r="B4324" s="3">
        <v>0.19481304618320677</v>
      </c>
      <c r="C4324" s="3">
        <v>5.2257102381419437E-2</v>
      </c>
      <c r="D4324" s="1">
        <v>271679.99632001121</v>
      </c>
      <c r="E4324" s="1">
        <v>15023692</v>
      </c>
      <c r="F4324" s="1">
        <v>44102466</v>
      </c>
      <c r="G4324" s="16">
        <v>13673.687490986185</v>
      </c>
      <c r="H4324">
        <v>75.52</v>
      </c>
      <c r="I4324" s="1">
        <v>234.14999999999998</v>
      </c>
      <c r="J4324" s="16">
        <v>285353.68381099741</v>
      </c>
      <c r="K4324" s="5">
        <v>7.6427211847778079E-2</v>
      </c>
      <c r="L4324" s="10">
        <v>310344.21340000001</v>
      </c>
    </row>
    <row r="4325" spans="1:12" x14ac:dyDescent="0.25">
      <c r="A4325">
        <v>4324</v>
      </c>
      <c r="B4325" s="3">
        <v>0.14907706011489752</v>
      </c>
      <c r="C4325" s="3">
        <v>7.7360938452342098E-2</v>
      </c>
      <c r="D4325" s="1">
        <v>68441.346603896294</v>
      </c>
      <c r="E4325" s="1">
        <v>2078980</v>
      </c>
      <c r="F4325" s="1">
        <v>12066174</v>
      </c>
      <c r="G4325" s="16">
        <v>23207.895311848421</v>
      </c>
      <c r="H4325">
        <v>91.95</v>
      </c>
      <c r="I4325" s="1">
        <v>323.64</v>
      </c>
      <c r="J4325" s="16">
        <v>91649.241915744715</v>
      </c>
      <c r="K4325" s="5">
        <v>9.7532821867284791E-2</v>
      </c>
      <c r="L4325" s="10">
        <v>88419.126199999999</v>
      </c>
    </row>
    <row r="4326" spans="1:12" x14ac:dyDescent="0.25">
      <c r="A4326">
        <v>4325</v>
      </c>
      <c r="B4326" s="3">
        <v>0.23823763590082681</v>
      </c>
      <c r="C4326" s="3">
        <v>3.9991929054566062E-2</v>
      </c>
      <c r="D4326" s="1">
        <v>49031.715577668219</v>
      </c>
      <c r="E4326" s="1">
        <v>2075972</v>
      </c>
      <c r="F4326" s="1">
        <v>11359262</v>
      </c>
      <c r="G4326" s="16">
        <v>20943.172580864342</v>
      </c>
      <c r="H4326">
        <v>211.64</v>
      </c>
      <c r="I4326" s="1">
        <v>558.79999999999995</v>
      </c>
      <c r="J4326" s="16">
        <v>69974.888158532558</v>
      </c>
      <c r="K4326" s="5">
        <v>0.24190770104421858</v>
      </c>
      <c r="L4326" s="10">
        <v>338446.91460000002</v>
      </c>
    </row>
    <row r="4327" spans="1:12" x14ac:dyDescent="0.25">
      <c r="A4327">
        <v>4326</v>
      </c>
      <c r="B4327" s="3">
        <v>0.24331834443747224</v>
      </c>
      <c r="C4327" s="3">
        <v>2.5106712611637591E-2</v>
      </c>
      <c r="D4327" s="1">
        <v>223334.4403850027</v>
      </c>
      <c r="E4327" s="1">
        <v>16849725</v>
      </c>
      <c r="F4327" s="1">
        <v>51800129</v>
      </c>
      <c r="G4327" s="16">
        <v>8311.0276704420703</v>
      </c>
      <c r="H4327">
        <v>66.59</v>
      </c>
      <c r="I4327" s="1">
        <v>242.09</v>
      </c>
      <c r="J4327" s="16">
        <v>231645.46805544477</v>
      </c>
      <c r="K4327" s="5">
        <v>8.5399424745539881E-2</v>
      </c>
      <c r="L4327" s="10">
        <v>684267.11979999999</v>
      </c>
    </row>
    <row r="4328" spans="1:12" x14ac:dyDescent="0.25">
      <c r="A4328">
        <v>4327</v>
      </c>
      <c r="B4328" s="3">
        <v>0.14032420909490201</v>
      </c>
      <c r="C4328" s="3">
        <v>3.9129319445331795E-2</v>
      </c>
      <c r="D4328" s="1">
        <v>163172.80486703396</v>
      </c>
      <c r="E4328" s="1">
        <v>5591294</v>
      </c>
      <c r="F4328" s="1">
        <v>32107203</v>
      </c>
      <c r="G4328" s="16">
        <v>40813.363113346109</v>
      </c>
      <c r="H4328">
        <v>176.89</v>
      </c>
      <c r="I4328" s="1">
        <v>494.75</v>
      </c>
      <c r="J4328" s="16">
        <v>203986.16798038007</v>
      </c>
      <c r="K4328" s="5">
        <v>0.12961622599202119</v>
      </c>
      <c r="L4328" s="10">
        <v>602066.85349999997</v>
      </c>
    </row>
    <row r="4329" spans="1:12" x14ac:dyDescent="0.25">
      <c r="A4329">
        <v>4328</v>
      </c>
      <c r="B4329" s="3">
        <v>0.19350765749397672</v>
      </c>
      <c r="C4329" s="3">
        <v>3.8478999199031139E-2</v>
      </c>
      <c r="D4329" s="1">
        <v>321007.03278111166</v>
      </c>
      <c r="E4329" s="1">
        <v>17608256</v>
      </c>
      <c r="F4329" s="1">
        <v>58095640</v>
      </c>
      <c r="G4329" s="16">
        <v>17418.157709077015</v>
      </c>
      <c r="H4329">
        <v>95.26</v>
      </c>
      <c r="I4329" s="1">
        <v>321.28999999999996</v>
      </c>
      <c r="J4329" s="16">
        <v>338425.19049018866</v>
      </c>
      <c r="K4329" s="5">
        <v>0.10919159949938524</v>
      </c>
      <c r="L4329" s="10">
        <v>772941.07209999999</v>
      </c>
    </row>
    <row r="4330" spans="1:12" x14ac:dyDescent="0.25">
      <c r="A4330">
        <v>4329</v>
      </c>
      <c r="B4330" s="3">
        <v>0.11179759749355148</v>
      </c>
      <c r="C4330" s="3">
        <v>5.3464398944499697E-2</v>
      </c>
      <c r="D4330" s="1">
        <v>189562.79028421099</v>
      </c>
      <c r="E4330" s="1">
        <v>5700438</v>
      </c>
      <c r="F4330" s="1">
        <v>22537225</v>
      </c>
      <c r="G4330" s="16">
        <v>69725.793596783784</v>
      </c>
      <c r="H4330">
        <v>240.35</v>
      </c>
      <c r="I4330" s="1">
        <v>689.26</v>
      </c>
      <c r="J4330" s="16">
        <v>259288.58388099476</v>
      </c>
      <c r="K4330" s="5">
        <v>0.15110998336466142</v>
      </c>
      <c r="L4330" s="10">
        <v>543742.90139999997</v>
      </c>
    </row>
    <row r="4331" spans="1:12" x14ac:dyDescent="0.25">
      <c r="A4331">
        <v>4330</v>
      </c>
      <c r="B4331" s="3">
        <v>0.16046945570520366</v>
      </c>
      <c r="C4331" s="3">
        <v>2.38385021511066E-2</v>
      </c>
      <c r="D4331" s="1">
        <v>121271.88895868379</v>
      </c>
      <c r="E4331" s="1">
        <v>4568958</v>
      </c>
      <c r="F4331" s="1">
        <v>30024848</v>
      </c>
      <c r="G4331" s="16">
        <v>17378.365935503189</v>
      </c>
      <c r="H4331">
        <v>62.67</v>
      </c>
      <c r="I4331" s="1">
        <v>187.23000000000002</v>
      </c>
      <c r="J4331" s="16">
        <v>138650.25489418698</v>
      </c>
      <c r="K4331" s="5">
        <v>0.12097845950502996</v>
      </c>
      <c r="L4331" s="10">
        <v>613766.23910000001</v>
      </c>
    </row>
    <row r="4332" spans="1:12" x14ac:dyDescent="0.25">
      <c r="A4332">
        <v>4331</v>
      </c>
      <c r="B4332" s="3">
        <v>0.16418212508893248</v>
      </c>
      <c r="C4332" s="3">
        <v>7.5640462054230362E-2</v>
      </c>
      <c r="D4332" s="1">
        <v>230624.78869237591</v>
      </c>
      <c r="E4332" s="1">
        <v>8844298</v>
      </c>
      <c r="F4332" s="1">
        <v>26646277</v>
      </c>
      <c r="G4332" s="16">
        <v>26774.465793805637</v>
      </c>
      <c r="H4332">
        <v>118.21</v>
      </c>
      <c r="I4332" s="1">
        <v>307.89</v>
      </c>
      <c r="J4332" s="16">
        <v>257399.25448618154</v>
      </c>
      <c r="K4332" s="5">
        <v>0.14577755886417593</v>
      </c>
      <c r="L4332" s="10">
        <v>323043.88010000001</v>
      </c>
    </row>
    <row r="4333" spans="1:12" x14ac:dyDescent="0.25">
      <c r="A4333">
        <v>4332</v>
      </c>
      <c r="B4333" s="3">
        <v>0.17533145198226274</v>
      </c>
      <c r="C4333" s="3">
        <v>6.9942948337983729E-2</v>
      </c>
      <c r="D4333" s="1">
        <v>85950.221114710512</v>
      </c>
      <c r="E4333" s="1">
        <v>2868215</v>
      </c>
      <c r="F4333" s="1">
        <v>19277166</v>
      </c>
      <c r="G4333" s="16">
        <v>28769.53369056747</v>
      </c>
      <c r="H4333">
        <v>167.29</v>
      </c>
      <c r="I4333" s="1">
        <v>416.2</v>
      </c>
      <c r="J4333" s="16">
        <v>114719.75480527797</v>
      </c>
      <c r="K4333" s="5">
        <v>-0.12866495546845486</v>
      </c>
      <c r="L4333" s="10">
        <v>-128163.9755</v>
      </c>
    </row>
    <row r="4334" spans="1:12" x14ac:dyDescent="0.25">
      <c r="A4334">
        <v>4333</v>
      </c>
      <c r="B4334" s="3">
        <v>0.13871307477895295</v>
      </c>
      <c r="C4334" s="3">
        <v>3.4280254112103323E-2</v>
      </c>
      <c r="D4334" s="1">
        <v>457862.56998366234</v>
      </c>
      <c r="E4334" s="1">
        <v>18080010</v>
      </c>
      <c r="F4334" s="1">
        <v>72040906</v>
      </c>
      <c r="G4334" s="16">
        <v>92674.944408819574</v>
      </c>
      <c r="H4334">
        <v>460.3</v>
      </c>
      <c r="I4334" s="1">
        <v>1310.1499999999999</v>
      </c>
      <c r="J4334" s="16">
        <v>550537.51439248188</v>
      </c>
      <c r="K4334" s="5">
        <v>8.2753643973133215E-3</v>
      </c>
      <c r="L4334" s="10">
        <v>143524.4333</v>
      </c>
    </row>
    <row r="4335" spans="1:12" x14ac:dyDescent="0.25">
      <c r="A4335">
        <v>4334</v>
      </c>
      <c r="B4335" s="3">
        <v>0.12533578549611515</v>
      </c>
      <c r="C4335" s="3">
        <v>3.6067736022653472E-2</v>
      </c>
      <c r="D4335" s="1">
        <v>100336.49990345538</v>
      </c>
      <c r="E4335" s="1">
        <v>2806325</v>
      </c>
      <c r="F4335" s="1">
        <v>14836750</v>
      </c>
      <c r="G4335" s="16">
        <v>132763.24525096652</v>
      </c>
      <c r="H4335">
        <v>582.27</v>
      </c>
      <c r="I4335" s="1">
        <v>1416.62</v>
      </c>
      <c r="J4335" s="16">
        <v>233099.74515442189</v>
      </c>
      <c r="K4335" s="5">
        <v>8.3663411391566619E-2</v>
      </c>
      <c r="L4335" s="10">
        <v>433783.522</v>
      </c>
    </row>
    <row r="4336" spans="1:12" x14ac:dyDescent="0.25">
      <c r="A4336">
        <v>4335</v>
      </c>
      <c r="B4336" s="3">
        <v>0.15642796958287777</v>
      </c>
      <c r="C4336" s="3">
        <v>6.8715519482018608E-2</v>
      </c>
      <c r="D4336" s="1">
        <v>120586.64080128413</v>
      </c>
      <c r="E4336" s="1">
        <v>4456697</v>
      </c>
      <c r="F4336" s="1">
        <v>28111301</v>
      </c>
      <c r="G4336" s="16">
        <v>23308.067178725349</v>
      </c>
      <c r="H4336">
        <v>115.27</v>
      </c>
      <c r="I4336" s="1">
        <v>416.67999999999995</v>
      </c>
      <c r="J4336" s="16">
        <v>143894.70798000947</v>
      </c>
      <c r="K4336" s="5">
        <v>0.14110554880574075</v>
      </c>
      <c r="L4336" s="10">
        <v>219011.59109999999</v>
      </c>
    </row>
    <row r="4337" spans="1:12" x14ac:dyDescent="0.25">
      <c r="A4337">
        <v>4336</v>
      </c>
      <c r="B4337" s="3">
        <v>0.10225234025220895</v>
      </c>
      <c r="C4337" s="3">
        <v>6.6740292650942334E-2</v>
      </c>
      <c r="D4337" s="1">
        <v>420456.39748014126</v>
      </c>
      <c r="E4337" s="1">
        <v>12114535</v>
      </c>
      <c r="F4337" s="1">
        <v>42863894</v>
      </c>
      <c r="G4337" s="16">
        <v>36017.096608926207</v>
      </c>
      <c r="H4337">
        <v>103.62</v>
      </c>
      <c r="I4337" s="1">
        <v>298.32000000000005</v>
      </c>
      <c r="J4337" s="16">
        <v>456473.49408906745</v>
      </c>
      <c r="K4337" s="5">
        <v>0.11179871191576553</v>
      </c>
      <c r="L4337" s="10">
        <v>538849.77080000006</v>
      </c>
    </row>
    <row r="4338" spans="1:12" x14ac:dyDescent="0.25">
      <c r="A4338">
        <v>4337</v>
      </c>
      <c r="B4338" s="3">
        <v>0.1731889625259706</v>
      </c>
      <c r="C4338" s="3">
        <v>3.6674618520282219E-2</v>
      </c>
      <c r="D4338" s="1">
        <v>185667.00933060417</v>
      </c>
      <c r="E4338" s="1">
        <v>7435543</v>
      </c>
      <c r="F4338" s="1">
        <v>32092043</v>
      </c>
      <c r="G4338" s="16">
        <v>15731.478283847038</v>
      </c>
      <c r="H4338">
        <v>74.069999999999993</v>
      </c>
      <c r="I4338" s="1">
        <v>298.26</v>
      </c>
      <c r="J4338" s="16">
        <v>201398.48761445121</v>
      </c>
      <c r="K4338" s="5">
        <v>-6.6070305777736829E-3</v>
      </c>
      <c r="L4338" s="10">
        <v>15729.7109</v>
      </c>
    </row>
    <row r="4339" spans="1:12" x14ac:dyDescent="0.25">
      <c r="A4339">
        <v>4338</v>
      </c>
      <c r="B4339" s="3">
        <v>0.15792977634696814</v>
      </c>
      <c r="C4339" s="3">
        <v>6.7139524834323547E-2</v>
      </c>
      <c r="D4339" s="1">
        <v>480640.93751335365</v>
      </c>
      <c r="E4339" s="1">
        <v>25230961</v>
      </c>
      <c r="F4339" s="1">
        <v>100195293</v>
      </c>
      <c r="G4339" s="16">
        <v>45253.821132407335</v>
      </c>
      <c r="H4339">
        <v>226.7</v>
      </c>
      <c r="I4339" s="1">
        <v>656.42</v>
      </c>
      <c r="J4339" s="16">
        <v>525894.75864576094</v>
      </c>
      <c r="K4339" s="5">
        <v>6.9543577121889522E-2</v>
      </c>
      <c r="L4339" s="10">
        <v>357247.6202</v>
      </c>
    </row>
    <row r="4340" spans="1:12" x14ac:dyDescent="0.25">
      <c r="A4340">
        <v>4339</v>
      </c>
      <c r="B4340" s="3">
        <v>0.16549729606480573</v>
      </c>
      <c r="C4340" s="3">
        <v>7.3303851678784074E-2</v>
      </c>
      <c r="D4340" s="1">
        <v>155575.7270308556</v>
      </c>
      <c r="E4340" s="1">
        <v>6003903</v>
      </c>
      <c r="F4340" s="1">
        <v>23180296</v>
      </c>
      <c r="G4340" s="16">
        <v>24865.319003003027</v>
      </c>
      <c r="H4340">
        <v>132.81</v>
      </c>
      <c r="I4340" s="1">
        <v>386.07</v>
      </c>
      <c r="J4340" s="16">
        <v>180441.04603385864</v>
      </c>
      <c r="K4340" s="5">
        <v>-0.11799659900568354</v>
      </c>
      <c r="L4340" s="10">
        <v>-165304.89120000001</v>
      </c>
    </row>
    <row r="4341" spans="1:12" x14ac:dyDescent="0.25">
      <c r="A4341">
        <v>4340</v>
      </c>
      <c r="B4341" s="3">
        <v>0.13301423555045769</v>
      </c>
      <c r="C4341" s="3">
        <v>4.0892074183383975E-2</v>
      </c>
      <c r="D4341" s="1">
        <v>218267.83568521764</v>
      </c>
      <c r="E4341" s="1">
        <v>7230109</v>
      </c>
      <c r="F4341" s="1">
        <v>28766544</v>
      </c>
      <c r="G4341" s="16">
        <v>46086.878669529171</v>
      </c>
      <c r="H4341">
        <v>188.33</v>
      </c>
      <c r="I4341" s="1">
        <v>542.95000000000005</v>
      </c>
      <c r="J4341" s="16">
        <v>264354.7143547468</v>
      </c>
      <c r="K4341" s="5">
        <v>0.17406779801727584</v>
      </c>
      <c r="L4341" s="10">
        <v>912855.98540000001</v>
      </c>
    </row>
    <row r="4342" spans="1:12" x14ac:dyDescent="0.25">
      <c r="A4342">
        <v>4341</v>
      </c>
      <c r="B4342" s="3">
        <v>0.23173020597968799</v>
      </c>
      <c r="C4342" s="3">
        <v>3.735259351335013E-2</v>
      </c>
      <c r="D4342" s="1">
        <v>127861.67690785005</v>
      </c>
      <c r="E4342" s="1">
        <v>5277177</v>
      </c>
      <c r="F4342" s="1">
        <v>21164530</v>
      </c>
      <c r="G4342" s="16">
        <v>13875.969648053857</v>
      </c>
      <c r="H4342">
        <v>101.5</v>
      </c>
      <c r="I4342" s="1">
        <v>338.4</v>
      </c>
      <c r="J4342" s="16">
        <v>141737.64655590392</v>
      </c>
      <c r="K4342" s="5">
        <v>6.552194322092178E-2</v>
      </c>
      <c r="L4342" s="10">
        <v>202376.42139999999</v>
      </c>
    </row>
    <row r="4343" spans="1:12" x14ac:dyDescent="0.25">
      <c r="A4343">
        <v>4342</v>
      </c>
      <c r="B4343" s="3">
        <v>0.18327851040215931</v>
      </c>
      <c r="C4343" s="3">
        <v>2.8195276731425231E-2</v>
      </c>
      <c r="D4343" s="1">
        <v>121950.63020120923</v>
      </c>
      <c r="E4343" s="1">
        <v>4189529</v>
      </c>
      <c r="F4343" s="1">
        <v>16092879</v>
      </c>
      <c r="G4343" s="16">
        <v>10330.461330619866</v>
      </c>
      <c r="H4343">
        <v>52.3</v>
      </c>
      <c r="I4343" s="1">
        <v>198.18</v>
      </c>
      <c r="J4343" s="16">
        <v>132281.09153182909</v>
      </c>
      <c r="K4343" s="5">
        <v>0.18505361376690552</v>
      </c>
      <c r="L4343" s="10">
        <v>747094.38899999997</v>
      </c>
    </row>
    <row r="4344" spans="1:12" x14ac:dyDescent="0.25">
      <c r="A4344">
        <v>4343</v>
      </c>
      <c r="B4344" s="3">
        <v>0.1584972096805374</v>
      </c>
      <c r="C4344" s="3">
        <v>6.2356376488720777E-2</v>
      </c>
      <c r="D4344" s="1">
        <v>262182.56628974609</v>
      </c>
      <c r="E4344" s="1">
        <v>9785538</v>
      </c>
      <c r="F4344" s="1">
        <v>42100636</v>
      </c>
      <c r="G4344" s="16">
        <v>27048.78008673009</v>
      </c>
      <c r="H4344">
        <v>114.73</v>
      </c>
      <c r="I4344" s="1">
        <v>342.55</v>
      </c>
      <c r="J4344" s="16">
        <v>289231.34637647617</v>
      </c>
      <c r="K4344" s="5">
        <v>-1.8073877694064194E-2</v>
      </c>
      <c r="L4344" s="10">
        <v>-27878.531299999999</v>
      </c>
    </row>
    <row r="4345" spans="1:12" x14ac:dyDescent="0.25">
      <c r="A4345">
        <v>4344</v>
      </c>
      <c r="B4345" s="3">
        <v>0.16081089993481124</v>
      </c>
      <c r="C4345" s="3">
        <v>4.7539634698808703E-2</v>
      </c>
      <c r="D4345" s="1">
        <v>149177.89786194544</v>
      </c>
      <c r="E4345" s="1">
        <v>5629484</v>
      </c>
      <c r="F4345" s="1">
        <v>24084323</v>
      </c>
      <c r="G4345" s="16">
        <v>77998.644860083266</v>
      </c>
      <c r="H4345">
        <v>477.46</v>
      </c>
      <c r="I4345" s="1">
        <v>1355.07</v>
      </c>
      <c r="J4345" s="16">
        <v>227176.54272202871</v>
      </c>
      <c r="K4345" s="5">
        <v>0.18792048093441724</v>
      </c>
      <c r="L4345" s="10">
        <v>666010.77850000001</v>
      </c>
    </row>
    <row r="4346" spans="1:12" x14ac:dyDescent="0.25">
      <c r="A4346">
        <v>4345</v>
      </c>
      <c r="B4346" s="3">
        <v>0.19571781680819053</v>
      </c>
      <c r="C4346" s="3">
        <v>5.2014126219995099E-2</v>
      </c>
      <c r="D4346" s="1">
        <v>268986.86546412291</v>
      </c>
      <c r="E4346" s="1">
        <v>14958633</v>
      </c>
      <c r="F4346" s="1">
        <v>60229313</v>
      </c>
      <c r="G4346" s="16">
        <v>34707.847906616247</v>
      </c>
      <c r="H4346">
        <v>297.97000000000003</v>
      </c>
      <c r="I4346" s="1">
        <v>938.14</v>
      </c>
      <c r="J4346" s="16">
        <v>303694.71337073913</v>
      </c>
      <c r="K4346" s="5">
        <v>-2.0471677215854668E-2</v>
      </c>
      <c r="L4346" s="10">
        <v>-36431.162300000004</v>
      </c>
    </row>
    <row r="4347" spans="1:12" x14ac:dyDescent="0.25">
      <c r="A4347">
        <v>4346</v>
      </c>
      <c r="B4347" s="3">
        <v>0.10493979688444095</v>
      </c>
      <c r="C4347" s="3">
        <v>7.4237638910856246E-2</v>
      </c>
      <c r="D4347" s="1">
        <v>331898.88308108994</v>
      </c>
      <c r="E4347" s="1">
        <v>9678318</v>
      </c>
      <c r="F4347" s="1">
        <v>39693698</v>
      </c>
      <c r="G4347" s="16">
        <v>22879.762702647302</v>
      </c>
      <c r="H4347">
        <v>66.98</v>
      </c>
      <c r="I4347" s="1">
        <v>290.77999999999997</v>
      </c>
      <c r="J4347" s="16">
        <v>354778.64578373724</v>
      </c>
      <c r="K4347" s="5">
        <v>0.10162961069296433</v>
      </c>
      <c r="L4347" s="10">
        <v>292163.88809999998</v>
      </c>
    </row>
    <row r="4348" spans="1:12" x14ac:dyDescent="0.25">
      <c r="A4348">
        <v>4347</v>
      </c>
      <c r="B4348" s="3">
        <v>0.15689898069070529</v>
      </c>
      <c r="C4348" s="3">
        <v>3.6178881523913298E-2</v>
      </c>
      <c r="D4348" s="1">
        <v>170926.30033901142</v>
      </c>
      <c r="E4348" s="1">
        <v>7509542</v>
      </c>
      <c r="F4348" s="1">
        <v>44758095</v>
      </c>
      <c r="G4348" s="16">
        <v>27170.729375195901</v>
      </c>
      <c r="H4348">
        <v>134.9</v>
      </c>
      <c r="I4348" s="1">
        <v>439.64</v>
      </c>
      <c r="J4348" s="16">
        <v>198097.02971420731</v>
      </c>
      <c r="K4348" s="5">
        <v>0.25214078516434013</v>
      </c>
      <c r="L4348" s="10">
        <v>1219352.0837999999</v>
      </c>
    </row>
    <row r="4349" spans="1:12" x14ac:dyDescent="0.25">
      <c r="A4349">
        <v>4348</v>
      </c>
      <c r="B4349" s="3">
        <v>0.18073156593613315</v>
      </c>
      <c r="C4349" s="3">
        <v>4.6413223457401787E-2</v>
      </c>
      <c r="D4349" s="1">
        <v>215985.8532582254</v>
      </c>
      <c r="E4349" s="1">
        <v>8972709</v>
      </c>
      <c r="F4349" s="1">
        <v>30963445</v>
      </c>
      <c r="G4349" s="16">
        <v>25212.836273335019</v>
      </c>
      <c r="H4349">
        <v>153.38</v>
      </c>
      <c r="I4349" s="1">
        <v>406.23</v>
      </c>
      <c r="J4349" s="16">
        <v>241198.68953156041</v>
      </c>
      <c r="K4349" s="5">
        <v>9.5826527440572087E-2</v>
      </c>
      <c r="L4349" s="10">
        <v>363322.29109999997</v>
      </c>
    </row>
    <row r="4350" spans="1:12" x14ac:dyDescent="0.25">
      <c r="A4350">
        <v>4349</v>
      </c>
      <c r="B4350" s="3">
        <v>0.19796341460769212</v>
      </c>
      <c r="C4350" s="3">
        <v>7.5485625719053762E-2</v>
      </c>
      <c r="D4350" s="1">
        <v>140374.08837236455</v>
      </c>
      <c r="E4350" s="1">
        <v>6349113</v>
      </c>
      <c r="F4350" s="1">
        <v>27113248</v>
      </c>
      <c r="G4350" s="16">
        <v>17080.345371737345</v>
      </c>
      <c r="H4350">
        <v>96.43</v>
      </c>
      <c r="I4350" s="1">
        <v>308.22000000000003</v>
      </c>
      <c r="J4350" s="16">
        <v>157454.4337441019</v>
      </c>
      <c r="K4350" s="5">
        <v>-2.954367327937343E-2</v>
      </c>
      <c r="L4350" s="10">
        <v>-42180.3076</v>
      </c>
    </row>
    <row r="4351" spans="1:12" x14ac:dyDescent="0.25">
      <c r="A4351">
        <v>4350</v>
      </c>
      <c r="B4351" s="3">
        <v>0.14025250033121728</v>
      </c>
      <c r="C4351" s="3">
        <v>7.7873539968236483E-2</v>
      </c>
      <c r="D4351" s="1">
        <v>34862.982904853641</v>
      </c>
      <c r="E4351" s="1">
        <v>882724</v>
      </c>
      <c r="F4351" s="1">
        <v>6889670</v>
      </c>
      <c r="G4351" s="16">
        <v>87385.565515917391</v>
      </c>
      <c r="H4351">
        <v>440.1</v>
      </c>
      <c r="I4351" s="1">
        <v>1167.1100000000001</v>
      </c>
      <c r="J4351" s="16">
        <v>122248.54842077103</v>
      </c>
      <c r="K4351" s="5">
        <v>0.25890342813497674</v>
      </c>
      <c r="L4351" s="10">
        <v>268529.93079999997</v>
      </c>
    </row>
    <row r="4352" spans="1:12" x14ac:dyDescent="0.25">
      <c r="A4352">
        <v>4351</v>
      </c>
      <c r="B4352" s="3">
        <v>0.15359079508316859</v>
      </c>
      <c r="C4352" s="3">
        <v>3.4469356259926101E-2</v>
      </c>
      <c r="D4352" s="1">
        <v>175347.24726686496</v>
      </c>
      <c r="E4352" s="1">
        <v>6394123</v>
      </c>
      <c r="F4352" s="1">
        <v>30324966</v>
      </c>
      <c r="G4352" s="16">
        <v>32936.56600211186</v>
      </c>
      <c r="H4352">
        <v>159.11000000000001</v>
      </c>
      <c r="I4352" s="1">
        <v>432.17</v>
      </c>
      <c r="J4352" s="16">
        <v>208283.81326897681</v>
      </c>
      <c r="K4352" s="5">
        <v>0.12152918065202925</v>
      </c>
      <c r="L4352" s="10">
        <v>625646.4129</v>
      </c>
    </row>
    <row r="4353" spans="1:12" x14ac:dyDescent="0.25">
      <c r="A4353">
        <v>4352</v>
      </c>
      <c r="B4353" s="3">
        <v>0.17405007806853257</v>
      </c>
      <c r="C4353" s="3">
        <v>2.734853331114381E-2</v>
      </c>
      <c r="D4353" s="1">
        <v>163764.22537562522</v>
      </c>
      <c r="E4353" s="1">
        <v>6585772</v>
      </c>
      <c r="F4353" s="1">
        <v>25189870</v>
      </c>
      <c r="G4353" s="16">
        <v>47197.895150850105</v>
      </c>
      <c r="H4353">
        <v>327.84</v>
      </c>
      <c r="I4353" s="1">
        <v>1033.81</v>
      </c>
      <c r="J4353" s="16">
        <v>210962.12052647531</v>
      </c>
      <c r="K4353" s="5">
        <v>6.8587254664016939E-2</v>
      </c>
      <c r="L4353" s="10">
        <v>435263.64779999998</v>
      </c>
    </row>
    <row r="4354" spans="1:12" x14ac:dyDescent="0.25">
      <c r="A4354">
        <v>4353</v>
      </c>
      <c r="B4354" s="3">
        <v>0.20074954999352981</v>
      </c>
      <c r="C4354" s="3">
        <v>6.6011575121491986E-2</v>
      </c>
      <c r="D4354" s="1">
        <v>208606.39178499626</v>
      </c>
      <c r="E4354" s="1">
        <v>9567514</v>
      </c>
      <c r="F4354" s="1">
        <v>29872475</v>
      </c>
      <c r="G4354" s="16">
        <v>33534.880746161914</v>
      </c>
      <c r="H4354">
        <v>242.04</v>
      </c>
      <c r="I4354" s="1">
        <v>627.79999999999995</v>
      </c>
      <c r="J4354" s="16">
        <v>242141.27253115817</v>
      </c>
      <c r="K4354" s="5">
        <v>0.14479392309889594</v>
      </c>
      <c r="L4354" s="10">
        <v>362007.00550000003</v>
      </c>
    </row>
    <row r="4355" spans="1:12" x14ac:dyDescent="0.25">
      <c r="A4355">
        <v>4354</v>
      </c>
      <c r="B4355" s="3">
        <v>0.21670814017736417</v>
      </c>
      <c r="C4355" s="3">
        <v>3.8086107301415401E-2</v>
      </c>
      <c r="D4355" s="1">
        <v>133296.33515851505</v>
      </c>
      <c r="E4355" s="1">
        <v>6627138</v>
      </c>
      <c r="F4355" s="1">
        <v>25329837</v>
      </c>
      <c r="G4355" s="16">
        <v>13023.262547786006</v>
      </c>
      <c r="H4355">
        <v>84.8</v>
      </c>
      <c r="I4355" s="1">
        <v>279.42</v>
      </c>
      <c r="J4355" s="16">
        <v>146319.59770630105</v>
      </c>
      <c r="K4355" s="5">
        <v>3.1122313924023218E-2</v>
      </c>
      <c r="L4355" s="10">
        <v>111883.3915</v>
      </c>
    </row>
    <row r="4356" spans="1:12" x14ac:dyDescent="0.25">
      <c r="A4356">
        <v>4355</v>
      </c>
      <c r="B4356" s="3">
        <v>0.22303191969565128</v>
      </c>
      <c r="C4356" s="3">
        <v>2.5122065822712283E-2</v>
      </c>
      <c r="D4356" s="1">
        <v>37377.30529811632</v>
      </c>
      <c r="E4356" s="1">
        <v>1491425</v>
      </c>
      <c r="F4356" s="1">
        <v>11392083</v>
      </c>
      <c r="G4356" s="16">
        <v>7436.8605756452062</v>
      </c>
      <c r="H4356">
        <v>50.85</v>
      </c>
      <c r="I4356" s="1">
        <v>226.13</v>
      </c>
      <c r="J4356" s="16">
        <v>44814.165873761529</v>
      </c>
      <c r="K4356" s="5">
        <v>0.17444151916469791</v>
      </c>
      <c r="L4356" s="10">
        <v>309757.5661</v>
      </c>
    </row>
    <row r="4357" spans="1:12" x14ac:dyDescent="0.25">
      <c r="A4357">
        <v>4356</v>
      </c>
      <c r="B4357" s="3">
        <v>0.16536988610668701</v>
      </c>
      <c r="C4357" s="3">
        <v>6.2632721634067273E-2</v>
      </c>
      <c r="D4357" s="1">
        <v>38669.633353751196</v>
      </c>
      <c r="E4357" s="1">
        <v>1244775</v>
      </c>
      <c r="F4357" s="1">
        <v>12627137</v>
      </c>
      <c r="G4357" s="16">
        <v>24770.973368343744</v>
      </c>
      <c r="H4357">
        <v>132.02000000000001</v>
      </c>
      <c r="I4357" s="1">
        <v>404.16000000000008</v>
      </c>
      <c r="J4357" s="16">
        <v>63440.606722094941</v>
      </c>
      <c r="K4357" s="5">
        <v>4.8166379317029537E-2</v>
      </c>
      <c r="L4357" s="10">
        <v>63594.505400000002</v>
      </c>
    </row>
    <row r="4358" spans="1:12" x14ac:dyDescent="0.25">
      <c r="A4358">
        <v>4357</v>
      </c>
      <c r="B4358" s="3">
        <v>0.24672368079172072</v>
      </c>
      <c r="C4358" s="3">
        <v>6.2554889672166727E-2</v>
      </c>
      <c r="D4358" s="1">
        <v>58154.146691970527</v>
      </c>
      <c r="E4358" s="1">
        <v>2546365</v>
      </c>
      <c r="F4358" s="1">
        <v>12538020</v>
      </c>
      <c r="G4358" s="16">
        <v>20285.88116301519</v>
      </c>
      <c r="H4358">
        <v>221.93</v>
      </c>
      <c r="I4358" s="1">
        <v>536.19000000000005</v>
      </c>
      <c r="J4358" s="16">
        <v>78440.027854985718</v>
      </c>
      <c r="K4358" s="5">
        <v>-3.1258775790864682E-2</v>
      </c>
      <c r="L4358" s="10">
        <v>-15295.733399999999</v>
      </c>
    </row>
    <row r="4359" spans="1:12" x14ac:dyDescent="0.25">
      <c r="A4359">
        <v>4358</v>
      </c>
      <c r="B4359" s="3">
        <v>0.22189269857683341</v>
      </c>
      <c r="C4359" s="3">
        <v>4.8807685563455383E-2</v>
      </c>
      <c r="D4359" s="1">
        <v>92323.973818016268</v>
      </c>
      <c r="E4359" s="1">
        <v>4713669</v>
      </c>
      <c r="F4359" s="1">
        <v>23885406</v>
      </c>
      <c r="G4359" s="16">
        <v>16426.288796282199</v>
      </c>
      <c r="H4359">
        <v>111.18</v>
      </c>
      <c r="I4359" s="1">
        <v>341.21000000000004</v>
      </c>
      <c r="J4359" s="16">
        <v>108750.26261429847</v>
      </c>
      <c r="K4359" s="5">
        <v>0.21451530274487557</v>
      </c>
      <c r="L4359" s="10">
        <v>390679.32429999998</v>
      </c>
    </row>
    <row r="4360" spans="1:12" x14ac:dyDescent="0.25">
      <c r="A4360">
        <v>4359</v>
      </c>
      <c r="B4360" s="3">
        <v>0.1512823095105289</v>
      </c>
      <c r="C4360" s="3">
        <v>3.4011219017152435E-2</v>
      </c>
      <c r="D4360" s="1">
        <v>68883.464213459563</v>
      </c>
      <c r="E4360" s="1">
        <v>2108766</v>
      </c>
      <c r="F4360" s="1">
        <v>16740440</v>
      </c>
      <c r="G4360" s="16">
        <v>36135.369555206242</v>
      </c>
      <c r="H4360">
        <v>171.3</v>
      </c>
      <c r="I4360" s="1">
        <v>477.39000000000004</v>
      </c>
      <c r="J4360" s="16">
        <v>105018.83376866581</v>
      </c>
      <c r="K4360" s="5">
        <v>0.14486641297086533</v>
      </c>
      <c r="L4360" s="10">
        <v>372039.90519999998</v>
      </c>
    </row>
    <row r="4361" spans="1:12" x14ac:dyDescent="0.25">
      <c r="A4361">
        <v>4360</v>
      </c>
      <c r="B4361" s="3">
        <v>0.22737563049116552</v>
      </c>
      <c r="C4361" s="3">
        <v>7.8145654619315857E-2</v>
      </c>
      <c r="D4361" s="1">
        <v>214716.85837496308</v>
      </c>
      <c r="E4361" s="1">
        <v>14595771</v>
      </c>
      <c r="F4361" s="1">
        <v>50286980</v>
      </c>
      <c r="G4361" s="16">
        <v>27012.737892646783</v>
      </c>
      <c r="H4361">
        <v>247.26</v>
      </c>
      <c r="I4361" s="1">
        <v>698.39</v>
      </c>
      <c r="J4361" s="16">
        <v>241729.59626760986</v>
      </c>
      <c r="K4361" s="5">
        <v>9.1973453108461029E-2</v>
      </c>
      <c r="L4361" s="10">
        <v>191863.04139999999</v>
      </c>
    </row>
    <row r="4362" spans="1:12" x14ac:dyDescent="0.25">
      <c r="A4362">
        <v>4361</v>
      </c>
      <c r="B4362" s="3">
        <v>0.12110443453623949</v>
      </c>
      <c r="C4362" s="3">
        <v>4.9219953615118786E-2</v>
      </c>
      <c r="D4362" s="1">
        <v>47141.484941549279</v>
      </c>
      <c r="E4362" s="1">
        <v>1142172</v>
      </c>
      <c r="F4362" s="1">
        <v>9228271</v>
      </c>
      <c r="G4362" s="16">
        <v>17363.504810977178</v>
      </c>
      <c r="H4362">
        <v>49.9</v>
      </c>
      <c r="I4362" s="1">
        <v>184.31</v>
      </c>
      <c r="J4362" s="16">
        <v>64504.989752526453</v>
      </c>
      <c r="K4362" s="5">
        <v>0.19343748187343052</v>
      </c>
      <c r="L4362" s="10">
        <v>195348.46530000001</v>
      </c>
    </row>
    <row r="4363" spans="1:12" x14ac:dyDescent="0.25">
      <c r="A4363">
        <v>4362</v>
      </c>
      <c r="B4363" s="3">
        <v>0.2376983415241265</v>
      </c>
      <c r="C4363" s="3">
        <v>2.9468711260932506E-2</v>
      </c>
      <c r="D4363" s="1">
        <v>46925.719240144252</v>
      </c>
      <c r="E4363" s="1">
        <v>2600795</v>
      </c>
      <c r="F4363" s="1">
        <v>29391239</v>
      </c>
      <c r="G4363" s="16">
        <v>20893.211688999698</v>
      </c>
      <c r="H4363">
        <v>210.28</v>
      </c>
      <c r="I4363" s="1">
        <v>650.6</v>
      </c>
      <c r="J4363" s="16">
        <v>67818.930929143942</v>
      </c>
      <c r="K4363" s="5">
        <v>0.13192115563655929</v>
      </c>
      <c r="L4363" s="10">
        <v>322835.7476</v>
      </c>
    </row>
    <row r="4364" spans="1:12" x14ac:dyDescent="0.25">
      <c r="A4364">
        <v>4363</v>
      </c>
      <c r="B4364" s="3">
        <v>0.24675195303248829</v>
      </c>
      <c r="C4364" s="3">
        <v>2.9591395942102094E-2</v>
      </c>
      <c r="D4364" s="1">
        <v>73463.559595708692</v>
      </c>
      <c r="E4364" s="1">
        <v>4270939</v>
      </c>
      <c r="F4364" s="1">
        <v>22364379</v>
      </c>
      <c r="G4364" s="16">
        <v>9738.2455147012479</v>
      </c>
      <c r="H4364">
        <v>80.180000000000007</v>
      </c>
      <c r="I4364" s="1">
        <v>280.37</v>
      </c>
      <c r="J4364" s="16">
        <v>83201.805110409943</v>
      </c>
      <c r="K4364" s="5">
        <v>0.11218906867770619</v>
      </c>
      <c r="L4364" s="10">
        <v>273378.21750000003</v>
      </c>
    </row>
    <row r="4365" spans="1:12" x14ac:dyDescent="0.25">
      <c r="A4365">
        <v>4364</v>
      </c>
      <c r="B4365" s="3">
        <v>0.14135856504552641</v>
      </c>
      <c r="C4365" s="3">
        <v>6.1042787540393648E-2</v>
      </c>
      <c r="D4365" s="1">
        <v>210086.80843407736</v>
      </c>
      <c r="E4365" s="1">
        <v>7233598</v>
      </c>
      <c r="F4365" s="1">
        <v>25145370</v>
      </c>
      <c r="G4365" s="16">
        <v>36334.07046750663</v>
      </c>
      <c r="H4365">
        <v>158.82</v>
      </c>
      <c r="I4365" s="1">
        <v>522.98</v>
      </c>
      <c r="J4365" s="16">
        <v>246420.87890158399</v>
      </c>
      <c r="K4365" s="5">
        <v>0.18879695609391167</v>
      </c>
      <c r="L4365" s="10">
        <v>520488.90980000002</v>
      </c>
    </row>
    <row r="4366" spans="1:12" x14ac:dyDescent="0.25">
      <c r="A4366">
        <v>4365</v>
      </c>
      <c r="B4366" s="3">
        <v>0.21393586306833201</v>
      </c>
      <c r="C4366" s="3">
        <v>4.841776029160566E-2</v>
      </c>
      <c r="D4366" s="1">
        <v>191502.38001372659</v>
      </c>
      <c r="E4366" s="1">
        <v>9387396</v>
      </c>
      <c r="F4366" s="1">
        <v>38916969</v>
      </c>
      <c r="G4366" s="16">
        <v>25385.598967963761</v>
      </c>
      <c r="H4366">
        <v>262.08</v>
      </c>
      <c r="I4366" s="1">
        <v>818.5</v>
      </c>
      <c r="J4366" s="16">
        <v>216887.97898169036</v>
      </c>
      <c r="K4366" s="5">
        <v>1.2875297670584044E-2</v>
      </c>
      <c r="L4366" s="10">
        <v>48637.190499999997</v>
      </c>
    </row>
    <row r="4367" spans="1:12" x14ac:dyDescent="0.25">
      <c r="A4367">
        <v>4366</v>
      </c>
      <c r="B4367" s="3">
        <v>0.20029966201066213</v>
      </c>
      <c r="C4367" s="3">
        <v>2.6302288426043388E-2</v>
      </c>
      <c r="D4367" s="1">
        <v>254617.83133965801</v>
      </c>
      <c r="E4367" s="1">
        <v>14569856</v>
      </c>
      <c r="F4367" s="1">
        <v>48790574</v>
      </c>
      <c r="G4367" s="16">
        <v>13969.923301049264</v>
      </c>
      <c r="H4367">
        <v>80.45</v>
      </c>
      <c r="I4367" s="1">
        <v>295.34999999999997</v>
      </c>
      <c r="J4367" s="16">
        <v>268587.75464070728</v>
      </c>
      <c r="K4367" s="5">
        <v>0.18864621524792977</v>
      </c>
      <c r="L4367" s="10">
        <v>1651028.3883</v>
      </c>
    </row>
    <row r="4368" spans="1:12" x14ac:dyDescent="0.25">
      <c r="A4368">
        <v>4367</v>
      </c>
      <c r="B4368" s="3">
        <v>0.11940618990468603</v>
      </c>
      <c r="C4368" s="3">
        <v>5.8364102080334171E-2</v>
      </c>
      <c r="D4368" s="1">
        <v>219406.60439477762</v>
      </c>
      <c r="E4368" s="1">
        <v>6828891</v>
      </c>
      <c r="F4368" s="1">
        <v>29464642</v>
      </c>
      <c r="G4368" s="16">
        <v>46645.775782555123</v>
      </c>
      <c r="H4368">
        <v>170.8</v>
      </c>
      <c r="I4368" s="1">
        <v>471.31</v>
      </c>
      <c r="J4368" s="16">
        <v>266052.38017733273</v>
      </c>
      <c r="K4368" s="5">
        <v>0.17315509961415027</v>
      </c>
      <c r="L4368" s="10">
        <v>562035.125</v>
      </c>
    </row>
    <row r="4369" spans="1:12" x14ac:dyDescent="0.25">
      <c r="A4369">
        <v>4368</v>
      </c>
      <c r="B4369" s="3">
        <v>0.21823522481366475</v>
      </c>
      <c r="C4369" s="3">
        <v>4.7791122156626314E-2</v>
      </c>
      <c r="D4369" s="1">
        <v>272918.2421172646</v>
      </c>
      <c r="E4369" s="1">
        <v>17492621</v>
      </c>
      <c r="F4369" s="1">
        <v>60704985</v>
      </c>
      <c r="G4369" s="16">
        <v>6162.1906781349226</v>
      </c>
      <c r="H4369">
        <v>31.73</v>
      </c>
      <c r="I4369" s="1">
        <v>152.57999999999998</v>
      </c>
      <c r="J4369" s="16">
        <v>279080.43279539951</v>
      </c>
      <c r="K4369" s="5">
        <v>0.15087630732644289</v>
      </c>
      <c r="L4369" s="10">
        <v>661059.47849999997</v>
      </c>
    </row>
    <row r="4370" spans="1:12" x14ac:dyDescent="0.25">
      <c r="A4370">
        <v>4369</v>
      </c>
      <c r="B4370" s="3">
        <v>0.11747125004053224</v>
      </c>
      <c r="C4370" s="3">
        <v>6.4102005814931376E-2</v>
      </c>
      <c r="D4370" s="1">
        <v>156423.53448905522</v>
      </c>
      <c r="E4370" s="1">
        <v>4826024</v>
      </c>
      <c r="F4370" s="1">
        <v>21594614</v>
      </c>
      <c r="G4370" s="16">
        <v>55348.361023252837</v>
      </c>
      <c r="H4370">
        <v>199.68</v>
      </c>
      <c r="I4370" s="1">
        <v>646.91000000000008</v>
      </c>
      <c r="J4370" s="16">
        <v>211771.89551230805</v>
      </c>
      <c r="K4370" s="5">
        <v>9.3528402102748445E-2</v>
      </c>
      <c r="L4370" s="10">
        <v>216630.32120000001</v>
      </c>
    </row>
    <row r="4371" spans="1:12" x14ac:dyDescent="0.25">
      <c r="A4371">
        <v>4370</v>
      </c>
      <c r="B4371" s="3">
        <v>0.2382978489530829</v>
      </c>
      <c r="C4371" s="3">
        <v>3.9263223972845512E-2</v>
      </c>
      <c r="D4371" s="1">
        <v>44576.142354366486</v>
      </c>
      <c r="E4371" s="1">
        <v>1437919</v>
      </c>
      <c r="F4371" s="1">
        <v>9038184</v>
      </c>
      <c r="G4371" s="16">
        <v>26758.392437458177</v>
      </c>
      <c r="H4371">
        <v>270.56</v>
      </c>
      <c r="I4371" s="1">
        <v>649.5</v>
      </c>
      <c r="J4371" s="16">
        <v>71334.53479182467</v>
      </c>
      <c r="K4371" s="5">
        <v>0.10143480009829721</v>
      </c>
      <c r="L4371" s="10">
        <v>159746.02050000001</v>
      </c>
    </row>
    <row r="4372" spans="1:12" x14ac:dyDescent="0.25">
      <c r="A4372">
        <v>4371</v>
      </c>
      <c r="B4372" s="3">
        <v>0.14078027398080001</v>
      </c>
      <c r="C4372" s="3">
        <v>4.937955980815166E-2</v>
      </c>
      <c r="D4372" s="1">
        <v>52340.068033209551</v>
      </c>
      <c r="E4372" s="1">
        <v>1326875</v>
      </c>
      <c r="F4372" s="1">
        <v>7479014</v>
      </c>
      <c r="G4372" s="16">
        <v>40657.744609236506</v>
      </c>
      <c r="H4372">
        <v>176.88</v>
      </c>
      <c r="I4372" s="1">
        <v>528.45000000000005</v>
      </c>
      <c r="J4372" s="16">
        <v>92997.81264244605</v>
      </c>
      <c r="K4372" s="5">
        <v>-6.5395852523342429E-2</v>
      </c>
      <c r="L4372" s="10">
        <v>-70011.025399999999</v>
      </c>
    </row>
    <row r="4373" spans="1:12" x14ac:dyDescent="0.25">
      <c r="A4373">
        <v>4372</v>
      </c>
      <c r="B4373" s="3">
        <v>0.18974175594312803</v>
      </c>
      <c r="C4373" s="3">
        <v>2.7529297484292954E-2</v>
      </c>
      <c r="D4373" s="1">
        <v>82693.510137523277</v>
      </c>
      <c r="E4373" s="1">
        <v>2909401</v>
      </c>
      <c r="F4373" s="1">
        <v>15567335</v>
      </c>
      <c r="G4373" s="16">
        <v>36332.265183891592</v>
      </c>
      <c r="H4373">
        <v>238.05</v>
      </c>
      <c r="I4373" s="1">
        <v>660.32999999999993</v>
      </c>
      <c r="J4373" s="16">
        <v>119025.77532141487</v>
      </c>
      <c r="K4373" s="5">
        <v>0.13290462003053333</v>
      </c>
      <c r="L4373" s="10">
        <v>512379.95110000001</v>
      </c>
    </row>
    <row r="4374" spans="1:12" x14ac:dyDescent="0.25">
      <c r="A4374">
        <v>4373</v>
      </c>
      <c r="B4374" s="3">
        <v>0.20802934083783964</v>
      </c>
      <c r="C4374" s="3">
        <v>7.3131686313925637E-2</v>
      </c>
      <c r="D4374" s="1">
        <v>107374.46144023807</v>
      </c>
      <c r="E4374" s="1">
        <v>5108188</v>
      </c>
      <c r="F4374" s="1">
        <v>23520472</v>
      </c>
      <c r="G4374" s="16">
        <v>34806.582116952966</v>
      </c>
      <c r="H4374">
        <v>338.52</v>
      </c>
      <c r="I4374" s="1">
        <v>881.5</v>
      </c>
      <c r="J4374" s="16">
        <v>142181.04355719103</v>
      </c>
      <c r="K4374" s="5">
        <v>0.26143306533135752</v>
      </c>
      <c r="L4374" s="10">
        <v>355986.30820000003</v>
      </c>
    </row>
    <row r="4375" spans="1:12" x14ac:dyDescent="0.25">
      <c r="A4375">
        <v>4374</v>
      </c>
      <c r="B4375" s="3">
        <v>0.22884652777602782</v>
      </c>
      <c r="C4375" s="3">
        <v>7.8183771086963297E-2</v>
      </c>
      <c r="D4375" s="1">
        <v>137609.99020444229</v>
      </c>
      <c r="E4375" s="1">
        <v>7282646</v>
      </c>
      <c r="F4375" s="1">
        <v>28858017</v>
      </c>
      <c r="G4375" s="16">
        <v>22904.909061928724</v>
      </c>
      <c r="H4375">
        <v>275.45999999999998</v>
      </c>
      <c r="I4375" s="1">
        <v>910.92000000000007</v>
      </c>
      <c r="J4375" s="16">
        <v>160514.89926637101</v>
      </c>
      <c r="K4375" s="5">
        <v>0.21227008860599195</v>
      </c>
      <c r="L4375" s="10">
        <v>284204.0552</v>
      </c>
    </row>
    <row r="4376" spans="1:12" x14ac:dyDescent="0.25">
      <c r="A4376">
        <v>4375</v>
      </c>
      <c r="B4376" s="3">
        <v>0.23956292520168324</v>
      </c>
      <c r="C4376" s="3">
        <v>3.5923953306760383E-2</v>
      </c>
      <c r="D4376" s="1">
        <v>92092.04562075132</v>
      </c>
      <c r="E4376" s="1">
        <v>5154324</v>
      </c>
      <c r="F4376" s="1">
        <v>23642521</v>
      </c>
      <c r="G4376" s="16">
        <v>6201.2005551501716</v>
      </c>
      <c r="H4376">
        <v>48.23</v>
      </c>
      <c r="I4376" s="1">
        <v>192.73</v>
      </c>
      <c r="J4376" s="16">
        <v>98293.246175901499</v>
      </c>
      <c r="K4376" s="5">
        <v>8.17885392162645E-2</v>
      </c>
      <c r="L4376" s="10">
        <v>210903.6446</v>
      </c>
    </row>
    <row r="4377" spans="1:12" x14ac:dyDescent="0.25">
      <c r="A4377">
        <v>4376</v>
      </c>
      <c r="B4377" s="3">
        <v>0.20147585097812948</v>
      </c>
      <c r="C4377" s="3">
        <v>5.61376310269424E-2</v>
      </c>
      <c r="D4377" s="1">
        <v>89476.040535654858</v>
      </c>
      <c r="E4377" s="1">
        <v>4118674</v>
      </c>
      <c r="F4377" s="1">
        <v>23175708</v>
      </c>
      <c r="G4377" s="16">
        <v>26514.337663875569</v>
      </c>
      <c r="H4377">
        <v>192.75</v>
      </c>
      <c r="I4377" s="1">
        <v>489.31</v>
      </c>
      <c r="J4377" s="16">
        <v>115990.37819953043</v>
      </c>
      <c r="K4377" s="5">
        <v>0.14312215011782237</v>
      </c>
      <c r="L4377" s="10">
        <v>240945.61600000001</v>
      </c>
    </row>
    <row r="4378" spans="1:12" x14ac:dyDescent="0.25">
      <c r="A4378">
        <v>4377</v>
      </c>
      <c r="B4378" s="3">
        <v>0.14520633896362456</v>
      </c>
      <c r="C4378" s="3">
        <v>2.0244510248532271E-2</v>
      </c>
      <c r="D4378" s="1">
        <v>121354.02092882225</v>
      </c>
      <c r="E4378" s="1">
        <v>3636412</v>
      </c>
      <c r="F4378" s="1">
        <v>19155092</v>
      </c>
      <c r="G4378" s="16">
        <v>64587.224779262171</v>
      </c>
      <c r="H4378">
        <v>340.78</v>
      </c>
      <c r="I4378" s="1">
        <v>997.42</v>
      </c>
      <c r="J4378" s="16">
        <v>185941.24570808443</v>
      </c>
      <c r="K4378" s="5">
        <v>5.3032164125615816E-3</v>
      </c>
      <c r="L4378" s="10">
        <v>70209.150999999998</v>
      </c>
    </row>
    <row r="4379" spans="1:12" x14ac:dyDescent="0.25">
      <c r="A4379">
        <v>4378</v>
      </c>
      <c r="B4379" s="3">
        <v>0.18524389169105976</v>
      </c>
      <c r="C4379" s="3">
        <v>3.9289164243164434E-2</v>
      </c>
      <c r="D4379" s="1">
        <v>197894.75208776255</v>
      </c>
      <c r="E4379" s="1">
        <v>8404777</v>
      </c>
      <c r="F4379" s="1">
        <v>40727182</v>
      </c>
      <c r="G4379" s="16">
        <v>14382.309523513963</v>
      </c>
      <c r="H4379">
        <v>60.29</v>
      </c>
      <c r="I4379" s="1">
        <v>174.19</v>
      </c>
      <c r="J4379" s="16">
        <v>212277.06161127653</v>
      </c>
      <c r="K4379" s="5">
        <v>0.18329097510923764</v>
      </c>
      <c r="L4379" s="10">
        <v>806787.10019999999</v>
      </c>
    </row>
    <row r="4380" spans="1:12" x14ac:dyDescent="0.25">
      <c r="A4380">
        <v>4379</v>
      </c>
      <c r="B4380" s="3">
        <v>0.12526298472586883</v>
      </c>
      <c r="C4380" s="3">
        <v>2.0599182930778111E-2</v>
      </c>
      <c r="D4380" s="1">
        <v>401751.23665676662</v>
      </c>
      <c r="E4380" s="1">
        <v>12842526</v>
      </c>
      <c r="F4380" s="1">
        <v>36967148</v>
      </c>
      <c r="G4380" s="16">
        <v>38637.514866184858</v>
      </c>
      <c r="H4380">
        <v>148.22999999999999</v>
      </c>
      <c r="I4380" s="1">
        <v>576.56000000000006</v>
      </c>
      <c r="J4380" s="16">
        <v>440388.75152295147</v>
      </c>
      <c r="K4380" s="5">
        <v>5.7443607607327828E-2</v>
      </c>
      <c r="L4380" s="10">
        <v>1116094.0204</v>
      </c>
    </row>
    <row r="4381" spans="1:12" x14ac:dyDescent="0.25">
      <c r="A4381">
        <v>4380</v>
      </c>
      <c r="B4381" s="3">
        <v>0.20489781390944262</v>
      </c>
      <c r="C4381" s="3">
        <v>7.8178106061643174E-2</v>
      </c>
      <c r="D4381" s="1">
        <v>121480.06181991016</v>
      </c>
      <c r="E4381" s="1">
        <v>4523129</v>
      </c>
      <c r="F4381" s="1">
        <v>19964894</v>
      </c>
      <c r="G4381" s="16">
        <v>44500.417807658749</v>
      </c>
      <c r="H4381">
        <v>419.05</v>
      </c>
      <c r="I4381" s="1">
        <v>1244.21</v>
      </c>
      <c r="J4381" s="16">
        <v>165980.47962756892</v>
      </c>
      <c r="K4381" s="5">
        <v>0.14410286287189208</v>
      </c>
      <c r="L4381" s="10">
        <v>197553.26130000001</v>
      </c>
    </row>
    <row r="4382" spans="1:12" x14ac:dyDescent="0.25">
      <c r="A4382">
        <v>4381</v>
      </c>
      <c r="B4382" s="3">
        <v>0.16349661459956816</v>
      </c>
      <c r="C4382" s="3">
        <v>2.8079378656601532E-2</v>
      </c>
      <c r="D4382" s="1">
        <v>296371.63990718743</v>
      </c>
      <c r="E4382" s="1">
        <v>11328399</v>
      </c>
      <c r="F4382" s="1">
        <v>34881577</v>
      </c>
      <c r="G4382" s="16">
        <v>50021.945357670666</v>
      </c>
      <c r="H4382">
        <v>313.95999999999998</v>
      </c>
      <c r="I4382" s="1">
        <v>927.5</v>
      </c>
      <c r="J4382" s="16">
        <v>346393.58526485809</v>
      </c>
      <c r="K4382" s="5">
        <v>0.12266951928900252</v>
      </c>
      <c r="L4382" s="10">
        <v>1251154.6635</v>
      </c>
    </row>
    <row r="4383" spans="1:12" x14ac:dyDescent="0.25">
      <c r="A4383">
        <v>4382</v>
      </c>
      <c r="B4383" s="3">
        <v>0.17335746829798315</v>
      </c>
      <c r="C4383" s="3">
        <v>5.785050797912325E-2</v>
      </c>
      <c r="D4383" s="1">
        <v>194482.50363492384</v>
      </c>
      <c r="E4383" s="1">
        <v>7794928</v>
      </c>
      <c r="F4383" s="1">
        <v>27559496</v>
      </c>
      <c r="G4383" s="16">
        <v>35386.220748976601</v>
      </c>
      <c r="H4383">
        <v>202.24</v>
      </c>
      <c r="I4383" s="1">
        <v>662.43000000000006</v>
      </c>
      <c r="J4383" s="16">
        <v>229868.72438390044</v>
      </c>
      <c r="K4383" s="5">
        <v>0.11407540408680429</v>
      </c>
      <c r="L4383" s="10">
        <v>319413.674</v>
      </c>
    </row>
    <row r="4384" spans="1:12" x14ac:dyDescent="0.25">
      <c r="A4384">
        <v>4383</v>
      </c>
      <c r="B4384" s="3">
        <v>0.17930239993603911</v>
      </c>
      <c r="C4384" s="3">
        <v>7.8182227478936633E-2</v>
      </c>
      <c r="D4384" s="1">
        <v>120084.6689508142</v>
      </c>
      <c r="E4384" s="1">
        <v>4065752</v>
      </c>
      <c r="F4384" s="1">
        <v>17422851</v>
      </c>
      <c r="G4384" s="16">
        <v>19765.785368861612</v>
      </c>
      <c r="H4384">
        <v>97.2</v>
      </c>
      <c r="I4384" s="1">
        <v>273.61</v>
      </c>
      <c r="J4384" s="16">
        <v>139850.4543196758</v>
      </c>
      <c r="K4384" s="5">
        <v>0.18830548408869219</v>
      </c>
      <c r="L4384" s="10">
        <v>218279.25030000001</v>
      </c>
    </row>
    <row r="4385" spans="1:12" x14ac:dyDescent="0.25">
      <c r="A4385">
        <v>4384</v>
      </c>
      <c r="B4385" s="3">
        <v>0.20970239237188748</v>
      </c>
      <c r="C4385" s="3">
        <v>2.1686006979228244E-2</v>
      </c>
      <c r="D4385" s="1">
        <v>113411.39729241899</v>
      </c>
      <c r="E4385" s="1">
        <v>5441222</v>
      </c>
      <c r="F4385" s="1">
        <v>26577471</v>
      </c>
      <c r="G4385" s="16">
        <v>13354.664232568575</v>
      </c>
      <c r="H4385">
        <v>104.35</v>
      </c>
      <c r="I4385" s="1">
        <v>403.59000000000003</v>
      </c>
      <c r="J4385" s="16">
        <v>126766.06152498757</v>
      </c>
      <c r="K4385" s="5">
        <v>0.12051171638465416</v>
      </c>
      <c r="L4385" s="10">
        <v>662087.63529999997</v>
      </c>
    </row>
    <row r="4386" spans="1:12" x14ac:dyDescent="0.25">
      <c r="A4386">
        <v>4385</v>
      </c>
      <c r="B4386" s="3">
        <v>0.20888914598151495</v>
      </c>
      <c r="C4386" s="3">
        <v>7.84710823113801E-2</v>
      </c>
      <c r="D4386" s="1">
        <v>113474.93628251339</v>
      </c>
      <c r="E4386" s="1">
        <v>5421927</v>
      </c>
      <c r="F4386" s="1">
        <v>31766982</v>
      </c>
      <c r="G4386" s="16">
        <v>14924.304442606481</v>
      </c>
      <c r="H4386">
        <v>91.76</v>
      </c>
      <c r="I4386" s="1">
        <v>256.75</v>
      </c>
      <c r="J4386" s="16">
        <v>128399.24072511986</v>
      </c>
      <c r="K4386" s="5">
        <v>0.14688229333517677</v>
      </c>
      <c r="L4386" s="10">
        <v>207097.12650000001</v>
      </c>
    </row>
    <row r="4387" spans="1:12" x14ac:dyDescent="0.25">
      <c r="A4387">
        <v>4386</v>
      </c>
      <c r="B4387" s="3">
        <v>0.10061814545671111</v>
      </c>
      <c r="C4387" s="3">
        <v>7.5787313186527608E-2</v>
      </c>
      <c r="D4387" s="1">
        <v>114634.90978058707</v>
      </c>
      <c r="E4387" s="1">
        <v>2949083</v>
      </c>
      <c r="F4387" s="1">
        <v>17238131</v>
      </c>
      <c r="G4387" s="16">
        <v>273639.26465444313</v>
      </c>
      <c r="H4387">
        <v>1068.52</v>
      </c>
      <c r="I4387" s="1">
        <v>2288.56</v>
      </c>
      <c r="J4387" s="16">
        <v>388274.1744350302</v>
      </c>
      <c r="K4387" s="5">
        <v>0.25490899538713696</v>
      </c>
      <c r="L4387" s="10">
        <v>792049.87950000004</v>
      </c>
    </row>
    <row r="4388" spans="1:12" x14ac:dyDescent="0.25">
      <c r="A4388">
        <v>4387</v>
      </c>
      <c r="B4388" s="3">
        <v>0.12189952555835377</v>
      </c>
      <c r="C4388" s="3">
        <v>2.8524242136444181E-2</v>
      </c>
      <c r="D4388" s="1">
        <v>369912.75624959945</v>
      </c>
      <c r="E4388" s="1">
        <v>11644619</v>
      </c>
      <c r="F4388" s="1">
        <v>37185135</v>
      </c>
      <c r="G4388" s="16">
        <v>71561.847301716276</v>
      </c>
      <c r="H4388">
        <v>267.38</v>
      </c>
      <c r="I4388" s="1">
        <v>720.77</v>
      </c>
      <c r="J4388" s="16">
        <v>441474.60355131573</v>
      </c>
      <c r="K4388" s="5">
        <v>4.7983403833526304E-2</v>
      </c>
      <c r="L4388" s="10">
        <v>651788.89939999999</v>
      </c>
    </row>
    <row r="4389" spans="1:12" x14ac:dyDescent="0.25">
      <c r="A4389">
        <v>4388</v>
      </c>
      <c r="B4389" s="3">
        <v>0.180609524462578</v>
      </c>
      <c r="C4389" s="3">
        <v>4.2896148269110548E-2</v>
      </c>
      <c r="D4389" s="1">
        <v>91255.329114367487</v>
      </c>
      <c r="E4389" s="1">
        <v>3788765</v>
      </c>
      <c r="F4389" s="1">
        <v>23727007</v>
      </c>
      <c r="G4389" s="16">
        <v>19092.430821412119</v>
      </c>
      <c r="H4389">
        <v>95.16</v>
      </c>
      <c r="I4389" s="1">
        <v>323.55999999999995</v>
      </c>
      <c r="J4389" s="16">
        <v>110347.75993577961</v>
      </c>
      <c r="K4389" s="5">
        <v>-3.5593185023651622E-2</v>
      </c>
      <c r="L4389" s="10">
        <v>-53311.281999999999</v>
      </c>
    </row>
    <row r="4390" spans="1:12" x14ac:dyDescent="0.25">
      <c r="A4390">
        <v>4389</v>
      </c>
      <c r="B4390" s="3">
        <v>0.17389051578271153</v>
      </c>
      <c r="C4390" s="3">
        <v>4.8352642894152517E-2</v>
      </c>
      <c r="D4390" s="1">
        <v>143718.89768359996</v>
      </c>
      <c r="E4390" s="1">
        <v>4770943</v>
      </c>
      <c r="F4390" s="1">
        <v>17820008</v>
      </c>
      <c r="G4390" s="16">
        <v>23291.284571445649</v>
      </c>
      <c r="H4390">
        <v>110.3</v>
      </c>
      <c r="I4390" s="1">
        <v>290.76</v>
      </c>
      <c r="J4390" s="16">
        <v>167010.18225504563</v>
      </c>
      <c r="K4390" s="5">
        <v>6.4398458338361636E-2</v>
      </c>
      <c r="L4390" s="10">
        <v>162289.58559999999</v>
      </c>
    </row>
    <row r="4391" spans="1:12" x14ac:dyDescent="0.25">
      <c r="A4391">
        <v>4390</v>
      </c>
      <c r="B4391" s="3">
        <v>0.13768595504388856</v>
      </c>
      <c r="C4391" s="3">
        <v>5.9199104932821517E-2</v>
      </c>
      <c r="D4391" s="1">
        <v>159700.88045267016</v>
      </c>
      <c r="E4391" s="1">
        <v>5405651</v>
      </c>
      <c r="F4391" s="1">
        <v>21473682</v>
      </c>
      <c r="G4391" s="16">
        <v>149831.53329769877</v>
      </c>
      <c r="H4391">
        <v>855.61</v>
      </c>
      <c r="I4391" s="1">
        <v>1905.65</v>
      </c>
      <c r="J4391" s="16">
        <v>309532.41375036893</v>
      </c>
      <c r="K4391" s="5">
        <v>0.11712242263204173</v>
      </c>
      <c r="L4391" s="10">
        <v>421654.23910000001</v>
      </c>
    </row>
    <row r="4392" spans="1:12" x14ac:dyDescent="0.25">
      <c r="A4392">
        <v>4391</v>
      </c>
      <c r="B4392" s="3">
        <v>0.12164811141284072</v>
      </c>
      <c r="C4392" s="3">
        <v>6.3186078377367949E-2</v>
      </c>
      <c r="D4392" s="1">
        <v>109206.8812965028</v>
      </c>
      <c r="E4392" s="1">
        <v>3016113</v>
      </c>
      <c r="F4392" s="1">
        <v>16028115</v>
      </c>
      <c r="G4392" s="16">
        <v>19555.224052170252</v>
      </c>
      <c r="H4392">
        <v>64.099999999999994</v>
      </c>
      <c r="I4392" s="1">
        <v>242.85999999999999</v>
      </c>
      <c r="J4392" s="16">
        <v>128762.10534867305</v>
      </c>
      <c r="K4392" s="5">
        <v>0.16870845109829569</v>
      </c>
      <c r="L4392" s="10">
        <v>269518.5895</v>
      </c>
    </row>
    <row r="4393" spans="1:12" x14ac:dyDescent="0.25">
      <c r="A4393">
        <v>4392</v>
      </c>
      <c r="B4393" s="3">
        <v>0.17876755248717538</v>
      </c>
      <c r="C4393" s="3">
        <v>4.955483139275197E-2</v>
      </c>
      <c r="D4393" s="1">
        <v>118239.35460040237</v>
      </c>
      <c r="E4393" s="1">
        <v>3995459</v>
      </c>
      <c r="F4393" s="1">
        <v>19984080</v>
      </c>
      <c r="G4393" s="16">
        <v>27404.829442819675</v>
      </c>
      <c r="H4393">
        <v>163.69999999999999</v>
      </c>
      <c r="I4393" s="1">
        <v>574.04</v>
      </c>
      <c r="J4393" s="16">
        <v>145644.18404322205</v>
      </c>
      <c r="K4393" s="5">
        <v>0.11815677883003885</v>
      </c>
      <c r="L4393" s="10">
        <v>256484.8823</v>
      </c>
    </row>
    <row r="4394" spans="1:12" x14ac:dyDescent="0.25">
      <c r="A4394">
        <v>4393</v>
      </c>
      <c r="B4394" s="3">
        <v>0.16135193465778047</v>
      </c>
      <c r="C4394" s="3">
        <v>5.4122918184425967E-2</v>
      </c>
      <c r="D4394" s="1">
        <v>233689.93596847405</v>
      </c>
      <c r="E4394" s="1">
        <v>10542522</v>
      </c>
      <c r="F4394" s="1">
        <v>45490386</v>
      </c>
      <c r="G4394" s="16">
        <v>22633.334638274784</v>
      </c>
      <c r="H4394">
        <v>97.83</v>
      </c>
      <c r="I4394" s="1">
        <v>306.33</v>
      </c>
      <c r="J4394" s="16">
        <v>256323.27060674882</v>
      </c>
      <c r="K4394" s="5">
        <v>1.6292450015034005E-2</v>
      </c>
      <c r="L4394" s="10">
        <v>69742.709000000003</v>
      </c>
    </row>
    <row r="4395" spans="1:12" x14ac:dyDescent="0.25">
      <c r="A4395">
        <v>4394</v>
      </c>
      <c r="B4395" s="3">
        <v>0.17391341579087133</v>
      </c>
      <c r="C4395" s="3">
        <v>6.4457455959624654E-2</v>
      </c>
      <c r="D4395" s="1">
        <v>154875.59052102224</v>
      </c>
      <c r="E4395" s="1">
        <v>5141733</v>
      </c>
      <c r="F4395" s="1">
        <v>20176550</v>
      </c>
      <c r="G4395" s="16">
        <v>27903.712221283549</v>
      </c>
      <c r="H4395">
        <v>159.85</v>
      </c>
      <c r="I4395" s="1">
        <v>495.53</v>
      </c>
      <c r="J4395" s="16">
        <v>182779.30274230579</v>
      </c>
      <c r="K4395" s="5">
        <v>0.16657078460744923</v>
      </c>
      <c r="L4395" s="10">
        <v>321633.66310000001</v>
      </c>
    </row>
    <row r="4396" spans="1:12" x14ac:dyDescent="0.25">
      <c r="A4396">
        <v>4395</v>
      </c>
      <c r="B4396" s="3">
        <v>0.2137122961942147</v>
      </c>
      <c r="C4396" s="3">
        <v>2.1127596990089752E-2</v>
      </c>
      <c r="D4396" s="1">
        <v>116878.32005382655</v>
      </c>
      <c r="E4396" s="1">
        <v>4499791</v>
      </c>
      <c r="F4396" s="1">
        <v>21457315</v>
      </c>
      <c r="G4396" s="16">
        <v>7259.298905508178</v>
      </c>
      <c r="H4396">
        <v>36.380000000000003</v>
      </c>
      <c r="I4396" s="1">
        <v>143.57</v>
      </c>
      <c r="J4396" s="16">
        <v>124137.61895933474</v>
      </c>
      <c r="K4396" s="5">
        <v>0.21831750416155149</v>
      </c>
      <c r="L4396" s="10">
        <v>1123403.6353</v>
      </c>
    </row>
    <row r="4397" spans="1:12" x14ac:dyDescent="0.25">
      <c r="A4397">
        <v>4396</v>
      </c>
      <c r="B4397" s="3">
        <v>0.13726448102515462</v>
      </c>
      <c r="C4397" s="3">
        <v>4.633619630863399E-2</v>
      </c>
      <c r="D4397" s="1">
        <v>168352.70266635469</v>
      </c>
      <c r="E4397" s="1">
        <v>4906705</v>
      </c>
      <c r="F4397" s="1">
        <v>20567366</v>
      </c>
      <c r="G4397" s="16">
        <v>23934.453597107884</v>
      </c>
      <c r="H4397">
        <v>87.39</v>
      </c>
      <c r="I4397" s="1">
        <v>290.68</v>
      </c>
      <c r="J4397" s="16">
        <v>192287.15626346256</v>
      </c>
      <c r="K4397" s="5">
        <v>0.1817592400387793</v>
      </c>
      <c r="L4397" s="10">
        <v>561593.53720000002</v>
      </c>
    </row>
    <row r="4398" spans="1:12" x14ac:dyDescent="0.25">
      <c r="A4398">
        <v>4397</v>
      </c>
      <c r="B4398" s="3">
        <v>0.11871949543938712</v>
      </c>
      <c r="C4398" s="3">
        <v>2.5389759862139056E-2</v>
      </c>
      <c r="D4398" s="1">
        <v>135212.97219968485</v>
      </c>
      <c r="E4398" s="1">
        <v>4195311</v>
      </c>
      <c r="F4398" s="1">
        <v>22657462</v>
      </c>
      <c r="G4398" s="16">
        <v>25638.511557774433</v>
      </c>
      <c r="H4398">
        <v>93.43</v>
      </c>
      <c r="I4398" s="1">
        <v>447.71999999999997</v>
      </c>
      <c r="J4398" s="16">
        <v>160851.4837574593</v>
      </c>
      <c r="K4398" s="5">
        <v>-6.0295594017020782E-4</v>
      </c>
      <c r="L4398" s="10">
        <v>65163.660900000003</v>
      </c>
    </row>
    <row r="4399" spans="1:12" x14ac:dyDescent="0.25">
      <c r="A4399">
        <v>4398</v>
      </c>
      <c r="B4399" s="3">
        <v>0.15542290000284098</v>
      </c>
      <c r="C4399" s="3">
        <v>4.8228527355823385E-2</v>
      </c>
      <c r="D4399" s="1">
        <v>75059.051927932203</v>
      </c>
      <c r="E4399" s="1">
        <v>2331782</v>
      </c>
      <c r="F4399" s="1">
        <v>13724236</v>
      </c>
      <c r="G4399" s="16">
        <v>16571.04086550164</v>
      </c>
      <c r="H4399">
        <v>68.61</v>
      </c>
      <c r="I4399" s="1">
        <v>241.92000000000002</v>
      </c>
      <c r="J4399" s="16">
        <v>91630.09279343384</v>
      </c>
      <c r="K4399" s="5">
        <v>6.7114566393173064E-2</v>
      </c>
      <c r="L4399" s="10">
        <v>107191.878</v>
      </c>
    </row>
    <row r="4400" spans="1:12" x14ac:dyDescent="0.25">
      <c r="A4400">
        <v>4399</v>
      </c>
      <c r="B4400" s="3">
        <v>0.17787705975599663</v>
      </c>
      <c r="C4400" s="3">
        <v>4.9647268738631789E-2</v>
      </c>
      <c r="D4400" s="1">
        <v>68278.320089523622</v>
      </c>
      <c r="E4400" s="1">
        <v>2299723</v>
      </c>
      <c r="F4400" s="1">
        <v>19422025</v>
      </c>
      <c r="G4400" s="16">
        <v>49392.343484506309</v>
      </c>
      <c r="H4400">
        <v>356.33</v>
      </c>
      <c r="I4400" s="1">
        <v>846.89</v>
      </c>
      <c r="J4400" s="16">
        <v>117670.66357402992</v>
      </c>
      <c r="K4400" s="5">
        <v>6.6376413295076334E-2</v>
      </c>
      <c r="L4400" s="10">
        <v>131461.39060000001</v>
      </c>
    </row>
    <row r="4401" spans="1:12" x14ac:dyDescent="0.25">
      <c r="A4401">
        <v>4400</v>
      </c>
      <c r="B4401" s="3">
        <v>0.24154668374215668</v>
      </c>
      <c r="C4401" s="3">
        <v>3.2613510214913426E-2</v>
      </c>
      <c r="D4401" s="1">
        <v>111153.59106044983</v>
      </c>
      <c r="E4401" s="1">
        <v>6286527</v>
      </c>
      <c r="F4401" s="1">
        <v>36774626</v>
      </c>
      <c r="G4401" s="16">
        <v>14854.569280983982</v>
      </c>
      <c r="H4401">
        <v>154.93</v>
      </c>
      <c r="I4401" s="1">
        <v>391.52</v>
      </c>
      <c r="J4401" s="16">
        <v>126008.16034143382</v>
      </c>
      <c r="K4401" s="5">
        <v>-5.6344897292691223E-2</v>
      </c>
      <c r="L4401" s="10">
        <v>-164504.33379999999</v>
      </c>
    </row>
    <row r="4402" spans="1:12" x14ac:dyDescent="0.25">
      <c r="A4402">
        <v>4401</v>
      </c>
      <c r="B4402" s="3">
        <v>0.22409413945612588</v>
      </c>
      <c r="C4402" s="3">
        <v>2.2538019700214462E-2</v>
      </c>
      <c r="D4402" s="1">
        <v>88868.117869569091</v>
      </c>
      <c r="E4402" s="1">
        <v>4588949</v>
      </c>
      <c r="F4402" s="1">
        <v>23841544</v>
      </c>
      <c r="G4402" s="16">
        <v>26072.324015418362</v>
      </c>
      <c r="H4402">
        <v>231.3</v>
      </c>
      <c r="I4402" s="1">
        <v>759.76</v>
      </c>
      <c r="J4402" s="16">
        <v>114940.44188498745</v>
      </c>
      <c r="K4402" s="5">
        <v>8.261046549601378E-2</v>
      </c>
      <c r="L4402" s="10">
        <v>401390.72970000003</v>
      </c>
    </row>
    <row r="4403" spans="1:12" x14ac:dyDescent="0.25">
      <c r="A4403">
        <v>4402</v>
      </c>
      <c r="B4403" s="3">
        <v>0.24140487810155936</v>
      </c>
      <c r="C4403" s="3">
        <v>3.3535733139113295E-2</v>
      </c>
      <c r="D4403" s="1">
        <v>229942.59307852021</v>
      </c>
      <c r="E4403" s="1">
        <v>17130573</v>
      </c>
      <c r="F4403" s="1">
        <v>80846745</v>
      </c>
      <c r="G4403" s="16">
        <v>19154.696212711569</v>
      </c>
      <c r="H4403">
        <v>199.3</v>
      </c>
      <c r="I4403" s="1">
        <v>572.12000000000012</v>
      </c>
      <c r="J4403" s="16">
        <v>249097.28929123178</v>
      </c>
      <c r="K4403" s="5">
        <v>4.8330975276307107E-2</v>
      </c>
      <c r="L4403" s="10">
        <v>313867.17820000002</v>
      </c>
    </row>
    <row r="4404" spans="1:12" x14ac:dyDescent="0.25">
      <c r="A4404">
        <v>4403</v>
      </c>
      <c r="B4404" s="3">
        <v>0.12208341617148928</v>
      </c>
      <c r="C4404" s="3">
        <v>5.3023398561358986E-2</v>
      </c>
      <c r="D4404" s="1">
        <v>86370.938714646531</v>
      </c>
      <c r="E4404" s="1">
        <v>2388972</v>
      </c>
      <c r="F4404" s="1">
        <v>18907845</v>
      </c>
      <c r="G4404" s="16">
        <v>54201.73431809184</v>
      </c>
      <c r="H4404">
        <v>203.22</v>
      </c>
      <c r="I4404" s="1">
        <v>579.84</v>
      </c>
      <c r="J4404" s="16">
        <v>140572.67303273838</v>
      </c>
      <c r="K4404" s="5">
        <v>6.021470426168743E-2</v>
      </c>
      <c r="L4404" s="10">
        <v>130868.7077</v>
      </c>
    </row>
    <row r="4405" spans="1:12" x14ac:dyDescent="0.25">
      <c r="A4405">
        <v>4404</v>
      </c>
      <c r="B4405" s="3">
        <v>0.18260832617118622</v>
      </c>
      <c r="C4405" s="3">
        <v>3.3689279867247061E-2</v>
      </c>
      <c r="D4405" s="1">
        <v>119278.52933986738</v>
      </c>
      <c r="E4405" s="1">
        <v>5000853</v>
      </c>
      <c r="F4405" s="1">
        <v>21749855</v>
      </c>
      <c r="G4405" s="16">
        <v>39382.510411039955</v>
      </c>
      <c r="H4405">
        <v>242.96</v>
      </c>
      <c r="I4405" s="1">
        <v>658.98</v>
      </c>
      <c r="J4405" s="16">
        <v>158661.03975090734</v>
      </c>
      <c r="K4405" s="5">
        <v>3.7452969380587418E-2</v>
      </c>
      <c r="L4405" s="10">
        <v>163128.64910000001</v>
      </c>
    </row>
    <row r="4406" spans="1:12" x14ac:dyDescent="0.25">
      <c r="A4406">
        <v>4405</v>
      </c>
      <c r="B4406" s="3">
        <v>0.14036711831261678</v>
      </c>
      <c r="C4406" s="3">
        <v>2.1585670827503612E-2</v>
      </c>
      <c r="D4406" s="1">
        <v>113984.03437639608</v>
      </c>
      <c r="E4406" s="1">
        <v>3358208</v>
      </c>
      <c r="F4406" s="1">
        <v>18534417</v>
      </c>
      <c r="G4406" s="16">
        <v>28148.223491333036</v>
      </c>
      <c r="H4406">
        <v>122.16</v>
      </c>
      <c r="I4406" s="1">
        <v>405.22</v>
      </c>
      <c r="J4406" s="16">
        <v>142132.25786772912</v>
      </c>
      <c r="K4406" s="5">
        <v>-4.2456491287404322E-2</v>
      </c>
      <c r="L4406" s="10">
        <v>-219962.4662</v>
      </c>
    </row>
    <row r="4407" spans="1:12" x14ac:dyDescent="0.25">
      <c r="A4407">
        <v>4406</v>
      </c>
      <c r="B4407" s="3">
        <v>0.2063081660007911</v>
      </c>
      <c r="C4407" s="3">
        <v>4.8073419098569825E-2</v>
      </c>
      <c r="D4407" s="1">
        <v>210610.93677184678</v>
      </c>
      <c r="E4407" s="1">
        <v>9932887</v>
      </c>
      <c r="F4407" s="1">
        <v>41900599</v>
      </c>
      <c r="G4407" s="16">
        <v>8878.081103937142</v>
      </c>
      <c r="H4407">
        <v>53.33</v>
      </c>
      <c r="I4407" s="1">
        <v>227.20999999999998</v>
      </c>
      <c r="J4407" s="16">
        <v>219489.01787578393</v>
      </c>
      <c r="K4407" s="5">
        <v>0.22393121285098777</v>
      </c>
      <c r="L4407" s="10">
        <v>787247.90379999997</v>
      </c>
    </row>
    <row r="4408" spans="1:12" x14ac:dyDescent="0.25">
      <c r="A4408">
        <v>4407</v>
      </c>
      <c r="B4408" s="3">
        <v>0.12567276456051715</v>
      </c>
      <c r="C4408" s="3">
        <v>3.5383243785858096E-2</v>
      </c>
      <c r="D4408" s="1">
        <v>83956.372873588945</v>
      </c>
      <c r="E4408" s="1">
        <v>2350905</v>
      </c>
      <c r="F4408" s="1">
        <v>17776540</v>
      </c>
      <c r="G4408" s="16">
        <v>30625.591467157745</v>
      </c>
      <c r="H4408">
        <v>103.26</v>
      </c>
      <c r="I4408" s="1">
        <v>330.8</v>
      </c>
      <c r="J4408" s="16">
        <v>114581.96434074669</v>
      </c>
      <c r="K4408" s="5">
        <v>9.5292816576897282E-2</v>
      </c>
      <c r="L4408" s="10">
        <v>282984.22930000001</v>
      </c>
    </row>
    <row r="4409" spans="1:12" x14ac:dyDescent="0.25">
      <c r="A4409">
        <v>4408</v>
      </c>
      <c r="B4409" s="3">
        <v>0.12596570332715215</v>
      </c>
      <c r="C4409" s="3">
        <v>6.6792832384369505E-2</v>
      </c>
      <c r="D4409" s="1">
        <v>98761.14320493213</v>
      </c>
      <c r="E4409" s="1">
        <v>2768241</v>
      </c>
      <c r="F4409" s="1">
        <v>17346036</v>
      </c>
      <c r="G4409" s="16">
        <v>9763.9734686184638</v>
      </c>
      <c r="H4409">
        <v>28.78</v>
      </c>
      <c r="I4409" s="1">
        <v>142.02000000000001</v>
      </c>
      <c r="J4409" s="16">
        <v>108525.1166735506</v>
      </c>
      <c r="K4409" s="5">
        <v>0.10251588113415354</v>
      </c>
      <c r="L4409" s="10">
        <v>157222.8468</v>
      </c>
    </row>
    <row r="4410" spans="1:12" x14ac:dyDescent="0.25">
      <c r="A4410">
        <v>4409</v>
      </c>
      <c r="B4410" s="3">
        <v>0.16100253243609883</v>
      </c>
      <c r="C4410" s="3">
        <v>2.6377432727729574E-2</v>
      </c>
      <c r="D4410" s="1">
        <v>128202.68271576583</v>
      </c>
      <c r="E4410" s="1">
        <v>4062732</v>
      </c>
      <c r="F4410" s="1">
        <v>21396010</v>
      </c>
      <c r="G4410" s="16">
        <v>35611.667171733847</v>
      </c>
      <c r="H4410">
        <v>182.87</v>
      </c>
      <c r="I4410" s="1">
        <v>490.78</v>
      </c>
      <c r="J4410" s="16">
        <v>163814.34988749967</v>
      </c>
      <c r="K4410" s="5">
        <v>8.5678116159916148E-2</v>
      </c>
      <c r="L4410" s="10">
        <v>472389.03100000002</v>
      </c>
    </row>
    <row r="4411" spans="1:12" x14ac:dyDescent="0.25">
      <c r="A4411">
        <v>4410</v>
      </c>
      <c r="B4411" s="3">
        <v>0.11640446653327577</v>
      </c>
      <c r="C4411" s="3">
        <v>3.8973376489533085E-2</v>
      </c>
      <c r="D4411" s="1">
        <v>439985.71120790119</v>
      </c>
      <c r="E4411" s="1">
        <v>15288818</v>
      </c>
      <c r="F4411" s="1">
        <v>58724034</v>
      </c>
      <c r="G4411" s="16">
        <v>49304.820412959991</v>
      </c>
      <c r="H4411">
        <v>176.49</v>
      </c>
      <c r="I4411" s="1">
        <v>483.56000000000006</v>
      </c>
      <c r="J4411" s="16">
        <v>489290.53162086115</v>
      </c>
      <c r="K4411" s="5">
        <v>0.24214688500241674</v>
      </c>
      <c r="L4411" s="10">
        <v>2381079.5649999999</v>
      </c>
    </row>
    <row r="4412" spans="1:12" x14ac:dyDescent="0.25">
      <c r="A4412">
        <v>4411</v>
      </c>
      <c r="B4412" s="3">
        <v>0.12963336292420841</v>
      </c>
      <c r="C4412" s="3">
        <v>7.6199841618429562E-2</v>
      </c>
      <c r="D4412" s="1">
        <v>83732.706319465506</v>
      </c>
      <c r="E4412" s="1">
        <v>2376789</v>
      </c>
      <c r="F4412" s="1">
        <v>12098844</v>
      </c>
      <c r="G4412" s="16">
        <v>22842.19770923653</v>
      </c>
      <c r="H4412">
        <v>79.08</v>
      </c>
      <c r="I4412" s="1">
        <v>325.42999999999995</v>
      </c>
      <c r="J4412" s="16">
        <v>106574.90402870203</v>
      </c>
      <c r="K4412" s="5">
        <v>0.1212170836154747</v>
      </c>
      <c r="L4412" s="10">
        <v>118065.60219999999</v>
      </c>
    </row>
    <row r="4413" spans="1:12" x14ac:dyDescent="0.25">
      <c r="A4413">
        <v>4412</v>
      </c>
      <c r="B4413" s="3">
        <v>0.18308430641643733</v>
      </c>
      <c r="C4413" s="3">
        <v>5.8238807119542046E-2</v>
      </c>
      <c r="D4413" s="1">
        <v>192584.75289700914</v>
      </c>
      <c r="E4413" s="1">
        <v>8093120</v>
      </c>
      <c r="F4413" s="1">
        <v>27195280</v>
      </c>
      <c r="G4413" s="16">
        <v>23099.933470324624</v>
      </c>
      <c r="H4413">
        <v>116.58</v>
      </c>
      <c r="I4413" s="1">
        <v>327.96</v>
      </c>
      <c r="J4413" s="16">
        <v>215684.68636733375</v>
      </c>
      <c r="K4413" s="5">
        <v>2.1329605587712592E-2</v>
      </c>
      <c r="L4413" s="10">
        <v>67500.998200000002</v>
      </c>
    </row>
    <row r="4414" spans="1:12" x14ac:dyDescent="0.25">
      <c r="A4414">
        <v>4413</v>
      </c>
      <c r="B4414" s="3">
        <v>0.24216799638126463</v>
      </c>
      <c r="C4414" s="3">
        <v>4.5958722213038095E-2</v>
      </c>
      <c r="D4414" s="1">
        <v>256602.58769646974</v>
      </c>
      <c r="E4414" s="1">
        <v>19213190</v>
      </c>
      <c r="F4414" s="1">
        <v>54310556</v>
      </c>
      <c r="G4414" s="16">
        <v>19050.360622627799</v>
      </c>
      <c r="H4414">
        <v>263.24</v>
      </c>
      <c r="I4414" s="1">
        <v>819.41000000000008</v>
      </c>
      <c r="J4414" s="16">
        <v>275652.94831909752</v>
      </c>
      <c r="K4414" s="5">
        <v>5.0269349313898093E-2</v>
      </c>
      <c r="L4414" s="10">
        <v>240470.05780000001</v>
      </c>
    </row>
    <row r="4415" spans="1:12" x14ac:dyDescent="0.25">
      <c r="A4415">
        <v>4414</v>
      </c>
      <c r="B4415" s="3">
        <v>0.17438460211201673</v>
      </c>
      <c r="C4415" s="3">
        <v>4.1997533826156952E-2</v>
      </c>
      <c r="D4415" s="1">
        <v>212086.01617056711</v>
      </c>
      <c r="E4415" s="1">
        <v>8542865</v>
      </c>
      <c r="F4415" s="1">
        <v>36585886</v>
      </c>
      <c r="G4415" s="16">
        <v>12359.769079829381</v>
      </c>
      <c r="H4415">
        <v>58.86</v>
      </c>
      <c r="I4415" s="1">
        <v>206.89999999999998</v>
      </c>
      <c r="J4415" s="16">
        <v>224445.7852503965</v>
      </c>
      <c r="K4415" s="5">
        <v>0.10718200170212286</v>
      </c>
      <c r="L4415" s="10">
        <v>460249.33630000002</v>
      </c>
    </row>
    <row r="4416" spans="1:12" x14ac:dyDescent="0.25">
      <c r="A4416">
        <v>4415</v>
      </c>
      <c r="B4416" s="3">
        <v>0.14695305349155943</v>
      </c>
      <c r="C4416" s="3">
        <v>7.2875381666297909E-2</v>
      </c>
      <c r="D4416" s="1">
        <v>252397.04053365468</v>
      </c>
      <c r="E4416" s="1">
        <v>8920632</v>
      </c>
      <c r="F4416" s="1">
        <v>35719924</v>
      </c>
      <c r="G4416" s="16">
        <v>39130.540790869178</v>
      </c>
      <c r="H4416">
        <v>178.95</v>
      </c>
      <c r="I4416" s="1">
        <v>574.23</v>
      </c>
      <c r="J4416" s="16">
        <v>291527.58132452384</v>
      </c>
      <c r="K4416" s="5">
        <v>-4.1859941259115442E-2</v>
      </c>
      <c r="L4416" s="10">
        <v>-62532.586000000003</v>
      </c>
    </row>
    <row r="4417" spans="1:12" x14ac:dyDescent="0.25">
      <c r="A4417">
        <v>4416</v>
      </c>
      <c r="B4417" s="3">
        <v>0.19381090931904399</v>
      </c>
      <c r="C4417" s="3">
        <v>6.7448085059876622E-2</v>
      </c>
      <c r="D4417" s="1">
        <v>115818.7762734734</v>
      </c>
      <c r="E4417" s="1">
        <v>4136863</v>
      </c>
      <c r="F4417" s="1">
        <v>20906276</v>
      </c>
      <c r="G4417" s="16">
        <v>16745.502639899209</v>
      </c>
      <c r="H4417">
        <v>91.8</v>
      </c>
      <c r="I4417" s="1">
        <v>286.5</v>
      </c>
      <c r="J4417" s="16">
        <v>132564.2789133726</v>
      </c>
      <c r="K4417" s="5">
        <v>-4.3914350255798214E-2</v>
      </c>
      <c r="L4417" s="10">
        <v>-31210.1538</v>
      </c>
    </row>
    <row r="4418" spans="1:12" x14ac:dyDescent="0.25">
      <c r="A4418">
        <v>4417</v>
      </c>
      <c r="B4418" s="3">
        <v>0.124334887853066</v>
      </c>
      <c r="C4418" s="3">
        <v>2.3519003233720789E-2</v>
      </c>
      <c r="D4418" s="1">
        <v>107152.649797808</v>
      </c>
      <c r="E4418" s="1">
        <v>2986694</v>
      </c>
      <c r="F4418" s="1">
        <v>17325305</v>
      </c>
      <c r="G4418" s="16">
        <v>70850.453459038225</v>
      </c>
      <c r="H4418">
        <v>308.07</v>
      </c>
      <c r="I4418" s="1">
        <v>807.43000000000006</v>
      </c>
      <c r="J4418" s="16">
        <v>178003.10325684623</v>
      </c>
      <c r="K4418" s="5">
        <v>6.6141093472653303E-2</v>
      </c>
      <c r="L4418" s="10">
        <v>476690.37650000001</v>
      </c>
    </row>
    <row r="4419" spans="1:12" x14ac:dyDescent="0.25">
      <c r="A4419">
        <v>4418</v>
      </c>
      <c r="B4419" s="3">
        <v>0.19684161633239822</v>
      </c>
      <c r="C4419" s="3">
        <v>6.6093889005605352E-2</v>
      </c>
      <c r="D4419" s="1">
        <v>160439.9111933125</v>
      </c>
      <c r="E4419" s="1">
        <v>7216229</v>
      </c>
      <c r="F4419" s="1">
        <v>35799564</v>
      </c>
      <c r="G4419" s="16">
        <v>11999.720646432352</v>
      </c>
      <c r="H4419">
        <v>67.38</v>
      </c>
      <c r="I4419" s="1">
        <v>227.03</v>
      </c>
      <c r="J4419" s="16">
        <v>172439.63183974483</v>
      </c>
      <c r="K4419" s="5">
        <v>0.13333768963568868</v>
      </c>
      <c r="L4419" s="10">
        <v>277286.67749999999</v>
      </c>
    </row>
    <row r="4420" spans="1:12" x14ac:dyDescent="0.25">
      <c r="A4420">
        <v>4419</v>
      </c>
      <c r="B4420" s="3">
        <v>0.2198848489144706</v>
      </c>
      <c r="C4420" s="3">
        <v>6.4900094544383613E-2</v>
      </c>
      <c r="D4420" s="1">
        <v>134044.25129102598</v>
      </c>
      <c r="E4420" s="1">
        <v>8682749</v>
      </c>
      <c r="F4420" s="1">
        <v>43004226</v>
      </c>
      <c r="G4420" s="16">
        <v>21172.307039725954</v>
      </c>
      <c r="H4420">
        <v>181.14</v>
      </c>
      <c r="I4420" s="1">
        <v>486.03999999999996</v>
      </c>
      <c r="J4420" s="16">
        <v>155216.55833075193</v>
      </c>
      <c r="K4420" s="5">
        <v>0.19187356346735743</v>
      </c>
      <c r="L4420" s="10">
        <v>342040.15120000002</v>
      </c>
    </row>
    <row r="4421" spans="1:12" x14ac:dyDescent="0.25">
      <c r="A4421">
        <v>4420</v>
      </c>
      <c r="B4421" s="3">
        <v>0.12150340027457705</v>
      </c>
      <c r="C4421" s="3">
        <v>4.1558517881491619E-2</v>
      </c>
      <c r="D4421" s="1">
        <v>107176.70766746208</v>
      </c>
      <c r="E4421" s="1">
        <v>3367774</v>
      </c>
      <c r="F4421" s="1">
        <v>24386093</v>
      </c>
      <c r="G4421" s="16">
        <v>23240.62232875108</v>
      </c>
      <c r="H4421">
        <v>76.069999999999993</v>
      </c>
      <c r="I4421" s="1">
        <v>236.14</v>
      </c>
      <c r="J4421" s="16">
        <v>130417.32999621316</v>
      </c>
      <c r="K4421" s="5">
        <v>0.12995633750504898</v>
      </c>
      <c r="L4421" s="10">
        <v>388967.3861</v>
      </c>
    </row>
    <row r="4422" spans="1:12" x14ac:dyDescent="0.25">
      <c r="A4422">
        <v>4421</v>
      </c>
      <c r="B4422" s="3">
        <v>0.15097271808878288</v>
      </c>
      <c r="C4422" s="3">
        <v>4.4473511972737308E-2</v>
      </c>
      <c r="D4422" s="1">
        <v>157135.62460134807</v>
      </c>
      <c r="E4422" s="1">
        <v>4805216</v>
      </c>
      <c r="F4422" s="1">
        <v>17639239</v>
      </c>
      <c r="G4422" s="16">
        <v>57826.482148600633</v>
      </c>
      <c r="H4422">
        <v>273.38</v>
      </c>
      <c r="I4422" s="1">
        <v>716.39</v>
      </c>
      <c r="J4422" s="16">
        <v>214962.1067499487</v>
      </c>
      <c r="K4422" s="5">
        <v>0.11608746983979909</v>
      </c>
      <c r="L4422" s="10">
        <v>428455.83500000002</v>
      </c>
    </row>
    <row r="4423" spans="1:12" x14ac:dyDescent="0.25">
      <c r="A4423">
        <v>4422</v>
      </c>
      <c r="B4423" s="3">
        <v>0.14511920686158594</v>
      </c>
      <c r="C4423" s="3">
        <v>3.8363255596918028E-2</v>
      </c>
      <c r="D4423" s="1">
        <v>161276.41728144017</v>
      </c>
      <c r="E4423" s="1">
        <v>5651340</v>
      </c>
      <c r="F4423" s="1">
        <v>28727326</v>
      </c>
      <c r="G4423" s="16">
        <v>15174.434260325486</v>
      </c>
      <c r="H4423">
        <v>58.5</v>
      </c>
      <c r="I4423" s="1">
        <v>235.7</v>
      </c>
      <c r="J4423" s="16">
        <v>176450.85154176565</v>
      </c>
      <c r="K4423" s="5">
        <v>0.15819763067341885</v>
      </c>
      <c r="L4423" s="10">
        <v>623506.87690000003</v>
      </c>
    </row>
    <row r="4424" spans="1:12" x14ac:dyDescent="0.25">
      <c r="A4424">
        <v>4423</v>
      </c>
      <c r="B4424" s="3">
        <v>0.16907408754451866</v>
      </c>
      <c r="C4424" s="3">
        <v>5.7489294654975362E-2</v>
      </c>
      <c r="D4424" s="1">
        <v>257362.82700516735</v>
      </c>
      <c r="E4424" s="1">
        <v>10104147</v>
      </c>
      <c r="F4424" s="1">
        <v>39141376</v>
      </c>
      <c r="G4424" s="16">
        <v>27779.486608413696</v>
      </c>
      <c r="H4424">
        <v>152.97999999999999</v>
      </c>
      <c r="I4424" s="1">
        <v>462.75</v>
      </c>
      <c r="J4424" s="16">
        <v>285142.31361358106</v>
      </c>
      <c r="K4424" s="5">
        <v>5.6174717337140682E-2</v>
      </c>
      <c r="L4424" s="10">
        <v>235298.37940000001</v>
      </c>
    </row>
    <row r="4425" spans="1:12" x14ac:dyDescent="0.25">
      <c r="A4425">
        <v>4424</v>
      </c>
      <c r="B4425" s="3">
        <v>0.11885059556431761</v>
      </c>
      <c r="C4425" s="3">
        <v>7.2831721672127647E-2</v>
      </c>
      <c r="D4425" s="1">
        <v>101347.56589746088</v>
      </c>
      <c r="E4425" s="1">
        <v>2772477</v>
      </c>
      <c r="F4425" s="1">
        <v>15835279</v>
      </c>
      <c r="G4425" s="16">
        <v>30633.828640912863</v>
      </c>
      <c r="H4425">
        <v>111.86</v>
      </c>
      <c r="I4425" s="1">
        <v>398.81</v>
      </c>
      <c r="J4425" s="16">
        <v>131981.39453837374</v>
      </c>
      <c r="K4425" s="5">
        <v>0.22755800769763981</v>
      </c>
      <c r="L4425" s="10">
        <v>275651.95319999999</v>
      </c>
    </row>
    <row r="4426" spans="1:12" x14ac:dyDescent="0.25">
      <c r="A4426">
        <v>4425</v>
      </c>
      <c r="B4426" s="3">
        <v>0.13715671535248325</v>
      </c>
      <c r="C4426" s="3">
        <v>3.9107515946337365E-2</v>
      </c>
      <c r="D4426" s="1">
        <v>26396.757839150414</v>
      </c>
      <c r="E4426" s="1">
        <v>769054</v>
      </c>
      <c r="F4426" s="1">
        <v>12010222</v>
      </c>
      <c r="G4426" s="16">
        <v>21794.544306514981</v>
      </c>
      <c r="H4426">
        <v>79.430000000000007</v>
      </c>
      <c r="I4426" s="1">
        <v>253.78</v>
      </c>
      <c r="J4426" s="16">
        <v>48191.302145665395</v>
      </c>
      <c r="K4426" s="5">
        <v>4.6606598754479499E-2</v>
      </c>
      <c r="L4426" s="10">
        <v>70581.959300000002</v>
      </c>
    </row>
    <row r="4427" spans="1:12" x14ac:dyDescent="0.25">
      <c r="A4427">
        <v>4426</v>
      </c>
      <c r="B4427" s="3">
        <v>0.22862160358077163</v>
      </c>
      <c r="C4427" s="3">
        <v>7.7388085493575842E-2</v>
      </c>
      <c r="D4427" s="1">
        <v>320831.06975035352</v>
      </c>
      <c r="E4427" s="1">
        <v>21985784</v>
      </c>
      <c r="F4427" s="1">
        <v>68377123</v>
      </c>
      <c r="G4427" s="16">
        <v>19217.269523578736</v>
      </c>
      <c r="H4427">
        <v>178.19</v>
      </c>
      <c r="I4427" s="1">
        <v>582.67999999999995</v>
      </c>
      <c r="J4427" s="16">
        <v>340048.33927393227</v>
      </c>
      <c r="K4427" s="5">
        <v>0.1496635288356665</v>
      </c>
      <c r="L4427" s="10">
        <v>441739.32429999998</v>
      </c>
    </row>
    <row r="4428" spans="1:12" x14ac:dyDescent="0.25">
      <c r="A4428">
        <v>4427</v>
      </c>
      <c r="B4428" s="3">
        <v>0.19877537317671523</v>
      </c>
      <c r="C4428" s="3">
        <v>6.7748392679570349E-2</v>
      </c>
      <c r="D4428" s="1">
        <v>155615.07900381862</v>
      </c>
      <c r="E4428" s="1">
        <v>8820291</v>
      </c>
      <c r="F4428" s="1">
        <v>46613297</v>
      </c>
      <c r="G4428" s="16">
        <v>21087.118801913886</v>
      </c>
      <c r="H4428">
        <v>149.58000000000001</v>
      </c>
      <c r="I4428" s="1">
        <v>478.30000000000007</v>
      </c>
      <c r="J4428" s="16">
        <v>176702.19780573252</v>
      </c>
      <c r="K4428" s="5">
        <v>-2.3079734679630204E-2</v>
      </c>
      <c r="L4428" s="10">
        <v>-37528.757599999997</v>
      </c>
    </row>
    <row r="4429" spans="1:12" x14ac:dyDescent="0.25">
      <c r="A4429">
        <v>4428</v>
      </c>
      <c r="B4429" s="3">
        <v>0.14858693737970291</v>
      </c>
      <c r="C4429" s="3">
        <v>5.9521852339290166E-2</v>
      </c>
      <c r="D4429" s="1">
        <v>73263.788179564115</v>
      </c>
      <c r="E4429" s="1">
        <v>2221627</v>
      </c>
      <c r="F4429" s="1">
        <v>14061422</v>
      </c>
      <c r="G4429" s="16">
        <v>16519.288677445395</v>
      </c>
      <c r="H4429">
        <v>55.39</v>
      </c>
      <c r="I4429" s="1">
        <v>149.88</v>
      </c>
      <c r="J4429" s="16">
        <v>89783.07685700951</v>
      </c>
      <c r="K4429" s="5">
        <v>0.19241686522836726</v>
      </c>
      <c r="L4429" s="10">
        <v>223000.8498</v>
      </c>
    </row>
    <row r="4430" spans="1:12" x14ac:dyDescent="0.25">
      <c r="A4430">
        <v>4429</v>
      </c>
      <c r="B4430" s="3">
        <v>0.23847754714024283</v>
      </c>
      <c r="C4430" s="3">
        <v>4.3970960156602831E-2</v>
      </c>
      <c r="D4430" s="1">
        <v>49285.49576829026</v>
      </c>
      <c r="E4430" s="1">
        <v>2088688</v>
      </c>
      <c r="F4430" s="1">
        <v>13210095</v>
      </c>
      <c r="G4430" s="16">
        <v>20398.520872238121</v>
      </c>
      <c r="H4430">
        <v>206.7</v>
      </c>
      <c r="I4430" s="1">
        <v>697.5</v>
      </c>
      <c r="J4430" s="16">
        <v>69684.016640528382</v>
      </c>
      <c r="K4430" s="5">
        <v>9.3424562571667341E-2</v>
      </c>
      <c r="L4430" s="10">
        <v>135489.5336</v>
      </c>
    </row>
    <row r="4431" spans="1:12" x14ac:dyDescent="0.25">
      <c r="A4431">
        <v>4430</v>
      </c>
      <c r="B4431" s="3">
        <v>0.19773796230545426</v>
      </c>
      <c r="C4431" s="3">
        <v>4.1791871803019562E-2</v>
      </c>
      <c r="D4431" s="1">
        <v>56237.134824397908</v>
      </c>
      <c r="E4431" s="1">
        <v>2038346</v>
      </c>
      <c r="F4431" s="1">
        <v>15181135</v>
      </c>
      <c r="G4431" s="16">
        <v>24861.919496585684</v>
      </c>
      <c r="H4431">
        <v>175.06</v>
      </c>
      <c r="I4431" s="1">
        <v>513.9</v>
      </c>
      <c r="J4431" s="16">
        <v>81099.054320983589</v>
      </c>
      <c r="K4431" s="5">
        <v>0.13274846333475265</v>
      </c>
      <c r="L4431" s="10">
        <v>220759.3738</v>
      </c>
    </row>
    <row r="4432" spans="1:12" x14ac:dyDescent="0.25">
      <c r="A4432">
        <v>4431</v>
      </c>
      <c r="B4432" s="3">
        <v>0.17231481661783632</v>
      </c>
      <c r="C4432" s="3">
        <v>7.1142770717272263E-2</v>
      </c>
      <c r="D4432" s="1">
        <v>208366.60049870962</v>
      </c>
      <c r="E4432" s="1">
        <v>8309420</v>
      </c>
      <c r="F4432" s="1">
        <v>27253983</v>
      </c>
      <c r="G4432" s="16">
        <v>61666.729774715022</v>
      </c>
      <c r="H4432">
        <v>420.99</v>
      </c>
      <c r="I4432" s="1">
        <v>1133.27</v>
      </c>
      <c r="J4432" s="16">
        <v>270033.33027342462</v>
      </c>
      <c r="K4432" s="5">
        <v>0.10505971711212574</v>
      </c>
      <c r="L4432" s="10">
        <v>281569.6128</v>
      </c>
    </row>
    <row r="4433" spans="1:12" x14ac:dyDescent="0.25">
      <c r="A4433">
        <v>4432</v>
      </c>
      <c r="B4433" s="3">
        <v>0.11345596001051358</v>
      </c>
      <c r="C4433" s="3">
        <v>6.4644665293267831E-2</v>
      </c>
      <c r="D4433" s="1">
        <v>408355.25817188551</v>
      </c>
      <c r="E4433" s="1">
        <v>13955309</v>
      </c>
      <c r="F4433" s="1">
        <v>56184385</v>
      </c>
      <c r="G4433" s="16">
        <v>32597.821685121351</v>
      </c>
      <c r="H4433">
        <v>113.83</v>
      </c>
      <c r="I4433" s="1">
        <v>462.15</v>
      </c>
      <c r="J4433" s="16">
        <v>440953.07985700684</v>
      </c>
      <c r="K4433" s="5">
        <v>5.0270617122022181E-2</v>
      </c>
      <c r="L4433" s="10">
        <v>282698.9338</v>
      </c>
    </row>
    <row r="4434" spans="1:12" x14ac:dyDescent="0.25">
      <c r="A4434">
        <v>4433</v>
      </c>
      <c r="B4434" s="3">
        <v>0.20258836738817465</v>
      </c>
      <c r="C4434" s="3">
        <v>3.3376496124142452E-2</v>
      </c>
      <c r="D4434" s="1">
        <v>95159.310804337278</v>
      </c>
      <c r="E4434" s="1">
        <v>4404777</v>
      </c>
      <c r="F4434" s="1">
        <v>26892158</v>
      </c>
      <c r="G4434" s="16">
        <v>13619.31331648018</v>
      </c>
      <c r="H4434">
        <v>79.73</v>
      </c>
      <c r="I4434" s="1">
        <v>268.7</v>
      </c>
      <c r="J4434" s="16">
        <v>108778.62412081746</v>
      </c>
      <c r="K4434" s="5">
        <v>-0.10322215069262719</v>
      </c>
      <c r="L4434" s="10">
        <v>-258604.7542</v>
      </c>
    </row>
    <row r="4435" spans="1:12" x14ac:dyDescent="0.25">
      <c r="A4435">
        <v>4434</v>
      </c>
      <c r="B4435" s="3">
        <v>0.23310317124039048</v>
      </c>
      <c r="C4435" s="3">
        <v>2.181825177212177E-2</v>
      </c>
      <c r="D4435" s="1">
        <v>90194.107542099329</v>
      </c>
      <c r="E4435" s="1">
        <v>3742578</v>
      </c>
      <c r="F4435" s="1">
        <v>17875416</v>
      </c>
      <c r="G4435" s="16">
        <v>24725.293691867191</v>
      </c>
      <c r="H4435">
        <v>238.58</v>
      </c>
      <c r="I4435" s="1">
        <v>576</v>
      </c>
      <c r="J4435" s="16">
        <v>114919.40123396652</v>
      </c>
      <c r="K4435" s="5">
        <v>2.9264599699303236E-2</v>
      </c>
      <c r="L4435" s="10">
        <v>142740.3677</v>
      </c>
    </row>
    <row r="4436" spans="1:12" x14ac:dyDescent="0.25">
      <c r="A4436">
        <v>4435</v>
      </c>
      <c r="B4436" s="3">
        <v>0.12332833839530366</v>
      </c>
      <c r="C4436" s="3">
        <v>2.9457471195739597E-2</v>
      </c>
      <c r="D4436" s="1">
        <v>37392.976049792109</v>
      </c>
      <c r="E4436" s="1">
        <v>910584</v>
      </c>
      <c r="F4436" s="1">
        <v>8907882</v>
      </c>
      <c r="G4436" s="16">
        <v>68588.21533690262</v>
      </c>
      <c r="H4436">
        <v>295.88</v>
      </c>
      <c r="I4436" s="1">
        <v>887.13</v>
      </c>
      <c r="J4436" s="16">
        <v>105981.19138669473</v>
      </c>
      <c r="K4436" s="5">
        <v>9.4495477262774748E-3</v>
      </c>
      <c r="L4436" s="10">
        <v>53376.167600000001</v>
      </c>
    </row>
    <row r="4437" spans="1:12" x14ac:dyDescent="0.25">
      <c r="A4437">
        <v>4436</v>
      </c>
      <c r="B4437" s="3">
        <v>0.17258900484478046</v>
      </c>
      <c r="C4437" s="3">
        <v>5.1106894275094017E-2</v>
      </c>
      <c r="D4437" s="1">
        <v>187310.68728393046</v>
      </c>
      <c r="E4437" s="1">
        <v>7479633</v>
      </c>
      <c r="F4437" s="1">
        <v>29476856</v>
      </c>
      <c r="G4437" s="16">
        <v>13827.192777986424</v>
      </c>
      <c r="H4437">
        <v>64.760000000000005</v>
      </c>
      <c r="I4437" s="1">
        <v>256.07</v>
      </c>
      <c r="J4437" s="16">
        <v>201137.88006191689</v>
      </c>
      <c r="K4437" s="5">
        <v>5.8770460471607083E-2</v>
      </c>
      <c r="L4437" s="10">
        <v>203364.50599999999</v>
      </c>
    </row>
    <row r="4438" spans="1:12" x14ac:dyDescent="0.25">
      <c r="A4438">
        <v>4437</v>
      </c>
      <c r="B4438" s="3">
        <v>0.20012964643397163</v>
      </c>
      <c r="C4438" s="3">
        <v>7.0780812017103428E-2</v>
      </c>
      <c r="D4438" s="1">
        <v>196621.35811966006</v>
      </c>
      <c r="E4438" s="1">
        <v>8989906</v>
      </c>
      <c r="F4438" s="1">
        <v>36372228</v>
      </c>
      <c r="G4438" s="16">
        <v>41117.570715334994</v>
      </c>
      <c r="H4438">
        <v>295.64999999999998</v>
      </c>
      <c r="I4438" s="1">
        <v>763.93999999999994</v>
      </c>
      <c r="J4438" s="16">
        <v>237738.92883499505</v>
      </c>
      <c r="K4438" s="5">
        <v>0.13642801221907028</v>
      </c>
      <c r="L4438" s="10">
        <v>310459.0698</v>
      </c>
    </row>
    <row r="4439" spans="1:12" x14ac:dyDescent="0.25">
      <c r="A4439">
        <v>4438</v>
      </c>
      <c r="B4439" s="3">
        <v>0.11563922694441103</v>
      </c>
      <c r="C4439" s="3">
        <v>6.9403733028720743E-2</v>
      </c>
      <c r="D4439" s="1">
        <v>82193.146180253796</v>
      </c>
      <c r="E4439" s="1">
        <v>2224079</v>
      </c>
      <c r="F4439" s="1">
        <v>19950010</v>
      </c>
      <c r="G4439" s="16">
        <v>71643.176960848316</v>
      </c>
      <c r="H4439">
        <v>254.9</v>
      </c>
      <c r="I4439" s="1">
        <v>612.21</v>
      </c>
      <c r="J4439" s="16">
        <v>153836.3231411021</v>
      </c>
      <c r="K4439" s="5">
        <v>-9.0654515205601874E-2</v>
      </c>
      <c r="L4439" s="10">
        <v>-118344.1602</v>
      </c>
    </row>
    <row r="4440" spans="1:12" x14ac:dyDescent="0.25">
      <c r="A4440">
        <v>4439</v>
      </c>
      <c r="B4440" s="3">
        <v>0.11871611798283162</v>
      </c>
      <c r="C4440" s="3">
        <v>4.0176273582067532E-2</v>
      </c>
      <c r="D4440" s="1">
        <v>130648.74186925645</v>
      </c>
      <c r="E4440" s="1">
        <v>3572405</v>
      </c>
      <c r="F4440" s="1">
        <v>14762213</v>
      </c>
      <c r="G4440" s="16">
        <v>15105.746651107373</v>
      </c>
      <c r="H4440">
        <v>48.54</v>
      </c>
      <c r="I4440" s="1">
        <v>229.77999999999997</v>
      </c>
      <c r="J4440" s="16">
        <v>145754.48852036381</v>
      </c>
      <c r="K4440" s="5">
        <v>0.21963598001155785</v>
      </c>
      <c r="L4440" s="10">
        <v>622355.31610000005</v>
      </c>
    </row>
    <row r="4441" spans="1:12" x14ac:dyDescent="0.25">
      <c r="A4441">
        <v>4440</v>
      </c>
      <c r="B4441" s="3">
        <v>0.22241947246822735</v>
      </c>
      <c r="C4441" s="3">
        <v>3.4199378644974229E-2</v>
      </c>
      <c r="D4441" s="1">
        <v>146530.26605325533</v>
      </c>
      <c r="E4441" s="1">
        <v>7501503</v>
      </c>
      <c r="F4441" s="1">
        <v>34138059</v>
      </c>
      <c r="G4441" s="16">
        <v>21681.312811121366</v>
      </c>
      <c r="H4441">
        <v>189.8</v>
      </c>
      <c r="I4441" s="1">
        <v>584.58000000000004</v>
      </c>
      <c r="J4441" s="16">
        <v>168211.5788643767</v>
      </c>
      <c r="K4441" s="5">
        <v>8.0790600982906968E-2</v>
      </c>
      <c r="L4441" s="10">
        <v>357527.29399999999</v>
      </c>
    </row>
    <row r="4442" spans="1:12" x14ac:dyDescent="0.25">
      <c r="A4442">
        <v>4441</v>
      </c>
      <c r="B4442" s="3">
        <v>0.11292030640636674</v>
      </c>
      <c r="C4442" s="3">
        <v>6.5425136492959834E-2</v>
      </c>
      <c r="D4442" s="1">
        <v>232306.30574837571</v>
      </c>
      <c r="E4442" s="1">
        <v>7021228</v>
      </c>
      <c r="F4442" s="1">
        <v>42853303</v>
      </c>
      <c r="G4442" s="16">
        <v>13667.993894814452</v>
      </c>
      <c r="H4442">
        <v>37.520000000000003</v>
      </c>
      <c r="I4442" s="1">
        <v>155.94</v>
      </c>
      <c r="J4442" s="16">
        <v>245974.29964319017</v>
      </c>
      <c r="K4442" s="5">
        <v>0.14641788783391479</v>
      </c>
      <c r="L4442" s="10">
        <v>492054.2916</v>
      </c>
    </row>
    <row r="4443" spans="1:12" x14ac:dyDescent="0.25">
      <c r="A4443">
        <v>4442</v>
      </c>
      <c r="B4443" s="3">
        <v>0.17977032956117128</v>
      </c>
      <c r="C4443" s="3">
        <v>4.5164307518048931E-2</v>
      </c>
      <c r="D4443" s="1">
        <v>165195.73808238737</v>
      </c>
      <c r="E4443" s="1">
        <v>6830611</v>
      </c>
      <c r="F4443" s="1">
        <v>26169092</v>
      </c>
      <c r="G4443" s="16">
        <v>16669.356567555675</v>
      </c>
      <c r="H4443">
        <v>82.23</v>
      </c>
      <c r="I4443" s="1">
        <v>360.61</v>
      </c>
      <c r="J4443" s="16">
        <v>181865.09464994306</v>
      </c>
      <c r="K4443" s="5">
        <v>0.20840906399577283</v>
      </c>
      <c r="L4443" s="10">
        <v>628308.58010000002</v>
      </c>
    </row>
    <row r="4444" spans="1:12" x14ac:dyDescent="0.25">
      <c r="A4444">
        <v>4443</v>
      </c>
      <c r="B4444" s="3">
        <v>0.24428936050760738</v>
      </c>
      <c r="C4444" s="3">
        <v>6.9087525364793137E-2</v>
      </c>
      <c r="D4444" s="1">
        <v>183098.72135811375</v>
      </c>
      <c r="E4444" s="1">
        <v>13903073</v>
      </c>
      <c r="F4444" s="1">
        <v>44552396</v>
      </c>
      <c r="G4444" s="16">
        <v>23779.389457074973</v>
      </c>
      <c r="H4444">
        <v>254.08</v>
      </c>
      <c r="I4444" s="1">
        <v>680.17000000000007</v>
      </c>
      <c r="J4444" s="16">
        <v>206878.11081518873</v>
      </c>
      <c r="K4444" s="5">
        <v>3.893441626591386E-2</v>
      </c>
      <c r="L4444" s="10">
        <v>96885.136299999998</v>
      </c>
    </row>
    <row r="4445" spans="1:12" x14ac:dyDescent="0.25">
      <c r="A4445">
        <v>4444</v>
      </c>
      <c r="B4445" s="3">
        <v>0.24358708780575644</v>
      </c>
      <c r="C4445" s="3">
        <v>7.3040453177852141E-2</v>
      </c>
      <c r="D4445" s="1">
        <v>154848.92539971811</v>
      </c>
      <c r="E4445" s="1">
        <v>8852691</v>
      </c>
      <c r="F4445" s="1">
        <v>25698900</v>
      </c>
      <c r="G4445" s="16">
        <v>9959.3762287365062</v>
      </c>
      <c r="H4445">
        <v>105.74</v>
      </c>
      <c r="I4445" s="1">
        <v>436.34999999999997</v>
      </c>
      <c r="J4445" s="16">
        <v>164808.30162845462</v>
      </c>
      <c r="K4445" s="5">
        <v>0.26720543072120267</v>
      </c>
      <c r="L4445" s="10">
        <v>378930.48359999998</v>
      </c>
    </row>
    <row r="4446" spans="1:12" x14ac:dyDescent="0.25">
      <c r="A4446">
        <v>4445</v>
      </c>
      <c r="B4446" s="3">
        <v>0.1319591637932698</v>
      </c>
      <c r="C4446" s="3">
        <v>5.6377296767144189E-2</v>
      </c>
      <c r="D4446" s="1">
        <v>253042.47861544546</v>
      </c>
      <c r="E4446" s="1">
        <v>8341340</v>
      </c>
      <c r="F4446" s="1">
        <v>31183541</v>
      </c>
      <c r="G4446" s="16">
        <v>52297.752432321053</v>
      </c>
      <c r="H4446">
        <v>211.75</v>
      </c>
      <c r="I4446" s="1">
        <v>584.91</v>
      </c>
      <c r="J4446" s="16">
        <v>305340.23104776652</v>
      </c>
      <c r="K4446" s="5">
        <v>0.14787342767520387</v>
      </c>
      <c r="L4446" s="10">
        <v>571322.84900000005</v>
      </c>
    </row>
    <row r="4447" spans="1:12" x14ac:dyDescent="0.25">
      <c r="A4447">
        <v>4446</v>
      </c>
      <c r="B4447" s="3">
        <v>0.20800939256392004</v>
      </c>
      <c r="C4447" s="3">
        <v>2.9948829444074714E-2</v>
      </c>
      <c r="D4447" s="1">
        <v>89439.752540275018</v>
      </c>
      <c r="E4447" s="1">
        <v>4254554</v>
      </c>
      <c r="F4447" s="1">
        <v>23391438</v>
      </c>
      <c r="G4447" s="16">
        <v>30110.849961088668</v>
      </c>
      <c r="H4447">
        <v>231.79</v>
      </c>
      <c r="I4447" s="1">
        <v>614.18000000000006</v>
      </c>
      <c r="J4447" s="16">
        <v>119550.60250136368</v>
      </c>
      <c r="K4447" s="5">
        <v>2.27996913681668E-2</v>
      </c>
      <c r="L4447" s="10">
        <v>91672.6109</v>
      </c>
    </row>
    <row r="4448" spans="1:12" x14ac:dyDescent="0.25">
      <c r="A4448">
        <v>4447</v>
      </c>
      <c r="B4448" s="3">
        <v>0.12106222017356202</v>
      </c>
      <c r="C4448" s="3">
        <v>3.8513381493452431E-2</v>
      </c>
      <c r="D4448" s="1">
        <v>285013.01644090237</v>
      </c>
      <c r="E4448" s="1">
        <v>8937889</v>
      </c>
      <c r="F4448" s="1">
        <v>37499904</v>
      </c>
      <c r="G4448" s="16">
        <v>115946.07756596645</v>
      </c>
      <c r="H4448">
        <v>490.08</v>
      </c>
      <c r="I4448" s="1">
        <v>1210.1199999999999</v>
      </c>
      <c r="J4448" s="16">
        <v>400959.09400686884</v>
      </c>
      <c r="K4448" s="5">
        <v>1.4811293012721084E-2</v>
      </c>
      <c r="L4448" s="10">
        <v>147807.09390000001</v>
      </c>
    </row>
    <row r="4449" spans="1:12" x14ac:dyDescent="0.25">
      <c r="A4449">
        <v>4448</v>
      </c>
      <c r="B4449" s="3">
        <v>0.16825666784237353</v>
      </c>
      <c r="C4449" s="3">
        <v>4.5021385424317849E-2</v>
      </c>
      <c r="D4449" s="1">
        <v>159051.50100596051</v>
      </c>
      <c r="E4449" s="1">
        <v>6219899</v>
      </c>
      <c r="F4449" s="1">
        <v>24478381</v>
      </c>
      <c r="G4449" s="16">
        <v>44470.433206962218</v>
      </c>
      <c r="H4449">
        <v>242.86</v>
      </c>
      <c r="I4449" s="1">
        <v>734.34</v>
      </c>
      <c r="J4449" s="16">
        <v>203521.93421292273</v>
      </c>
      <c r="K4449" s="5">
        <v>0.15740977655609012</v>
      </c>
      <c r="L4449" s="10">
        <v>513677.72220000002</v>
      </c>
    </row>
    <row r="4450" spans="1:12" x14ac:dyDescent="0.25">
      <c r="A4450">
        <v>4449</v>
      </c>
      <c r="B4450" s="3">
        <v>0.16058488484588995</v>
      </c>
      <c r="C4450" s="3">
        <v>7.4370406837094477E-2</v>
      </c>
      <c r="D4450" s="1">
        <v>124223.92059866853</v>
      </c>
      <c r="E4450" s="1">
        <v>4682749</v>
      </c>
      <c r="F4450" s="1">
        <v>22752476</v>
      </c>
      <c r="G4450" s="16">
        <v>18874.764961495672</v>
      </c>
      <c r="H4450">
        <v>96.59</v>
      </c>
      <c r="I4450" s="1">
        <v>433.82000000000005</v>
      </c>
      <c r="J4450" s="16">
        <v>143098.68556016419</v>
      </c>
      <c r="K4450" s="5">
        <v>0.15553904470973928</v>
      </c>
      <c r="L4450" s="10">
        <v>209642.29699999999</v>
      </c>
    </row>
    <row r="4451" spans="1:12" x14ac:dyDescent="0.25">
      <c r="A4451">
        <v>4450</v>
      </c>
      <c r="B4451" s="3">
        <v>0.14630435468617756</v>
      </c>
      <c r="C4451" s="3">
        <v>2.1009131284348101E-2</v>
      </c>
      <c r="D4451" s="1">
        <v>248135.30472768343</v>
      </c>
      <c r="E4451" s="1">
        <v>8743375</v>
      </c>
      <c r="F4451" s="1">
        <v>32987451</v>
      </c>
      <c r="G4451" s="16">
        <v>57019.569237086282</v>
      </c>
      <c r="H4451">
        <v>304.14</v>
      </c>
      <c r="I4451" s="1">
        <v>899.93999999999994</v>
      </c>
      <c r="J4451" s="16">
        <v>305154.87396476971</v>
      </c>
      <c r="K4451" s="5">
        <v>0.15412984362301904</v>
      </c>
      <c r="L4451" s="10">
        <v>1957583.8038000001</v>
      </c>
    </row>
    <row r="4452" spans="1:12" x14ac:dyDescent="0.25">
      <c r="A4452">
        <v>4451</v>
      </c>
      <c r="B4452" s="3">
        <v>0.11270045915907392</v>
      </c>
      <c r="C4452" s="3">
        <v>7.6285753110964777E-2</v>
      </c>
      <c r="D4452" s="1">
        <v>219093.07934355404</v>
      </c>
      <c r="E4452" s="1">
        <v>6615318</v>
      </c>
      <c r="F4452" s="1">
        <v>27536892</v>
      </c>
      <c r="G4452" s="16">
        <v>39298.251962688701</v>
      </c>
      <c r="H4452">
        <v>136.30000000000001</v>
      </c>
      <c r="I4452" s="1">
        <v>547.01</v>
      </c>
      <c r="J4452" s="16">
        <v>258391.33130624273</v>
      </c>
      <c r="K4452" s="5">
        <v>5.8892585798752894E-2</v>
      </c>
      <c r="L4452" s="10">
        <v>150588.84880000001</v>
      </c>
    </row>
    <row r="4453" spans="1:12" x14ac:dyDescent="0.25">
      <c r="A4453">
        <v>4452</v>
      </c>
      <c r="B4453" s="3">
        <v>0.2255077491004929</v>
      </c>
      <c r="C4453" s="3">
        <v>6.7707639105929598E-2</v>
      </c>
      <c r="D4453" s="1">
        <v>86056.173052209153</v>
      </c>
      <c r="E4453" s="1">
        <v>4476275</v>
      </c>
      <c r="F4453" s="1">
        <v>21529213</v>
      </c>
      <c r="G4453" s="16">
        <v>15718.741683737626</v>
      </c>
      <c r="H4453">
        <v>141.57</v>
      </c>
      <c r="I4453" s="1">
        <v>417.49</v>
      </c>
      <c r="J4453" s="16">
        <v>101774.91473594678</v>
      </c>
      <c r="K4453" s="5">
        <v>6.0905707428772639E-2</v>
      </c>
      <c r="L4453" s="10">
        <v>95433.944399999993</v>
      </c>
    </row>
    <row r="4454" spans="1:12" x14ac:dyDescent="0.25">
      <c r="A4454">
        <v>4453</v>
      </c>
      <c r="B4454" s="3">
        <v>0.1127073737123445</v>
      </c>
      <c r="C4454" s="3">
        <v>7.2365877587985808E-2</v>
      </c>
      <c r="D4454" s="1">
        <v>78359.550275303045</v>
      </c>
      <c r="E4454" s="1">
        <v>2099396</v>
      </c>
      <c r="F4454" s="1">
        <v>17273434</v>
      </c>
      <c r="G4454" s="16">
        <v>78116.337254846745</v>
      </c>
      <c r="H4454">
        <v>305.95999999999998</v>
      </c>
      <c r="I4454" s="1">
        <v>939.21</v>
      </c>
      <c r="J4454" s="16">
        <v>156475.88753014978</v>
      </c>
      <c r="K4454" s="5">
        <v>0.18619822912895698</v>
      </c>
      <c r="L4454" s="10">
        <v>293616.10840000003</v>
      </c>
    </row>
    <row r="4455" spans="1:12" x14ac:dyDescent="0.25">
      <c r="A4455">
        <v>4454</v>
      </c>
      <c r="B4455" s="3">
        <v>0.15176662973849742</v>
      </c>
      <c r="C4455" s="3">
        <v>6.2729630325831259E-2</v>
      </c>
      <c r="D4455" s="1">
        <v>271762.28959792614</v>
      </c>
      <c r="E4455" s="1">
        <v>9824965</v>
      </c>
      <c r="F4455" s="1">
        <v>41129161</v>
      </c>
      <c r="G4455" s="16">
        <v>38296.400167802058</v>
      </c>
      <c r="H4455">
        <v>182.36</v>
      </c>
      <c r="I4455" s="1">
        <v>588.27</v>
      </c>
      <c r="J4455" s="16">
        <v>310058.6897657282</v>
      </c>
      <c r="K4455" s="5">
        <v>7.161387173545046E-2</v>
      </c>
      <c r="L4455" s="10">
        <v>245224.07579999999</v>
      </c>
    </row>
    <row r="4456" spans="1:12" x14ac:dyDescent="0.25">
      <c r="A4456">
        <v>4455</v>
      </c>
      <c r="B4456" s="3">
        <v>0.16826357251395152</v>
      </c>
      <c r="C4456" s="3">
        <v>6.4574687196500252E-2</v>
      </c>
      <c r="D4456" s="1">
        <v>163901.41765359978</v>
      </c>
      <c r="E4456" s="1">
        <v>6409782</v>
      </c>
      <c r="F4456" s="1">
        <v>21784078</v>
      </c>
      <c r="G4456" s="16">
        <v>23374.789172684985</v>
      </c>
      <c r="H4456">
        <v>127.61</v>
      </c>
      <c r="I4456" s="1">
        <v>397.26</v>
      </c>
      <c r="J4456" s="16">
        <v>187276.20682628476</v>
      </c>
      <c r="K4456" s="5">
        <v>-1.4040765487871153E-2</v>
      </c>
      <c r="L4456" s="10">
        <v>-14647.1677</v>
      </c>
    </row>
    <row r="4457" spans="1:12" x14ac:dyDescent="0.25">
      <c r="A4457">
        <v>4456</v>
      </c>
      <c r="B4457" s="3">
        <v>0.11478695708030916</v>
      </c>
      <c r="C4457" s="3">
        <v>5.2547710388091681E-2</v>
      </c>
      <c r="D4457" s="1">
        <v>117933.32465510732</v>
      </c>
      <c r="E4457" s="1">
        <v>3181971</v>
      </c>
      <c r="F4457" s="1">
        <v>19166113</v>
      </c>
      <c r="G4457" s="16">
        <v>40471.180476058595</v>
      </c>
      <c r="H4457">
        <v>142.87</v>
      </c>
      <c r="I4457" s="1">
        <v>479.71000000000004</v>
      </c>
      <c r="J4457" s="16">
        <v>158404.5051311659</v>
      </c>
      <c r="K4457" s="5">
        <v>-0.10891524355257302</v>
      </c>
      <c r="L4457" s="10">
        <v>-198493.1004</v>
      </c>
    </row>
    <row r="4458" spans="1:12" x14ac:dyDescent="0.25">
      <c r="A4458">
        <v>4457</v>
      </c>
      <c r="B4458" s="3">
        <v>0.23633705514147471</v>
      </c>
      <c r="C4458" s="3">
        <v>5.9205501267682273E-2</v>
      </c>
      <c r="D4458" s="1">
        <v>79326.161169930754</v>
      </c>
      <c r="E4458" s="1">
        <v>3333607</v>
      </c>
      <c r="F4458" s="1">
        <v>16757549</v>
      </c>
      <c r="G4458" s="16">
        <v>20089.446823788043</v>
      </c>
      <c r="H4458">
        <v>199.57</v>
      </c>
      <c r="I4458" s="1">
        <v>568.39</v>
      </c>
      <c r="J4458" s="16">
        <v>99415.60799371879</v>
      </c>
      <c r="K4458" s="5">
        <v>8.6978113074876046E-2</v>
      </c>
      <c r="L4458" s="10">
        <v>111191.6318</v>
      </c>
    </row>
    <row r="4459" spans="1:12" x14ac:dyDescent="0.25">
      <c r="A4459">
        <v>4458</v>
      </c>
      <c r="B4459" s="3">
        <v>0.19837457967885647</v>
      </c>
      <c r="C4459" s="3">
        <v>6.6241676505050154E-2</v>
      </c>
      <c r="D4459" s="1">
        <v>145272.51672271505</v>
      </c>
      <c r="E4459" s="1">
        <v>6584157</v>
      </c>
      <c r="F4459" s="1">
        <v>24205022</v>
      </c>
      <c r="G4459" s="16">
        <v>10122.762271172942</v>
      </c>
      <c r="H4459">
        <v>57.32</v>
      </c>
      <c r="I4459" s="1">
        <v>208.7</v>
      </c>
      <c r="J4459" s="16">
        <v>155395.278993888</v>
      </c>
      <c r="K4459" s="5">
        <v>0.10578302925118972</v>
      </c>
      <c r="L4459" s="10">
        <v>186916.19620000001</v>
      </c>
    </row>
    <row r="4460" spans="1:12" x14ac:dyDescent="0.25">
      <c r="A4460">
        <v>4459</v>
      </c>
      <c r="B4460" s="3">
        <v>0.12934216069785526</v>
      </c>
      <c r="C4460" s="3">
        <v>7.8829331204433944E-2</v>
      </c>
      <c r="D4460" s="1">
        <v>394905.7164597573</v>
      </c>
      <c r="E4460" s="1">
        <v>12861914</v>
      </c>
      <c r="F4460" s="1">
        <v>41774109</v>
      </c>
      <c r="G4460" s="16">
        <v>44526.724304242322</v>
      </c>
      <c r="H4460">
        <v>176.87</v>
      </c>
      <c r="I4460" s="1">
        <v>474.05</v>
      </c>
      <c r="J4460" s="16">
        <v>439432.44076399959</v>
      </c>
      <c r="K4460" s="5">
        <v>5.5171485616031732E-2</v>
      </c>
      <c r="L4460" s="10">
        <v>207610.15520000001</v>
      </c>
    </row>
    <row r="4461" spans="1:12" x14ac:dyDescent="0.25">
      <c r="A4461">
        <v>4460</v>
      </c>
      <c r="B4461" s="3">
        <v>0.12222957829302243</v>
      </c>
      <c r="C4461" s="3">
        <v>5.9002411989605985E-2</v>
      </c>
      <c r="D4461" s="1">
        <v>571780.61306722905</v>
      </c>
      <c r="E4461" s="1">
        <v>20536553</v>
      </c>
      <c r="F4461" s="1">
        <v>58700619</v>
      </c>
      <c r="G4461" s="16">
        <v>16188.268247358385</v>
      </c>
      <c r="H4461">
        <v>46.77</v>
      </c>
      <c r="I4461" s="1">
        <v>184.76000000000002</v>
      </c>
      <c r="J4461" s="16">
        <v>587968.88131458743</v>
      </c>
      <c r="K4461" s="5">
        <v>8.8671358252707388E-2</v>
      </c>
      <c r="L4461" s="10">
        <v>642236.48869999999</v>
      </c>
    </row>
    <row r="4462" spans="1:12" x14ac:dyDescent="0.25">
      <c r="A4462">
        <v>4461</v>
      </c>
      <c r="B4462" s="3">
        <v>0.19459937727500476</v>
      </c>
      <c r="C4462" s="3">
        <v>5.6803289911477872E-2</v>
      </c>
      <c r="D4462" s="1">
        <v>95898.079657206807</v>
      </c>
      <c r="E4462" s="1">
        <v>4265452</v>
      </c>
      <c r="F4462" s="1">
        <v>24402670</v>
      </c>
      <c r="G4462" s="16">
        <v>12339.489033300635</v>
      </c>
      <c r="H4462">
        <v>67.94</v>
      </c>
      <c r="I4462" s="1">
        <v>291.55999999999995</v>
      </c>
      <c r="J4462" s="16">
        <v>108237.56869050744</v>
      </c>
      <c r="K4462" s="5">
        <v>5.5467671526165767E-3</v>
      </c>
      <c r="L4462" s="10">
        <v>30846.1211</v>
      </c>
    </row>
    <row r="4463" spans="1:12" x14ac:dyDescent="0.25">
      <c r="A4463">
        <v>4462</v>
      </c>
      <c r="B4463" s="3">
        <v>0.12853014018113046</v>
      </c>
      <c r="C4463" s="3">
        <v>6.2906093262116838E-2</v>
      </c>
      <c r="D4463" s="1">
        <v>428012.37354001921</v>
      </c>
      <c r="E4463" s="1">
        <v>15936652</v>
      </c>
      <c r="F4463" s="1">
        <v>51225096</v>
      </c>
      <c r="G4463" s="16">
        <v>35346.097028888835</v>
      </c>
      <c r="H4463">
        <v>139.35</v>
      </c>
      <c r="I4463" s="1">
        <v>476.07999999999993</v>
      </c>
      <c r="J4463" s="16">
        <v>463358.47056890803</v>
      </c>
      <c r="K4463" s="5">
        <v>9.672310119844385E-2</v>
      </c>
      <c r="L4463" s="10">
        <v>456667.12760000001</v>
      </c>
    </row>
    <row r="4464" spans="1:12" x14ac:dyDescent="0.25">
      <c r="A4464">
        <v>4463</v>
      </c>
      <c r="B4464" s="3">
        <v>0.21026352693853728</v>
      </c>
      <c r="C4464" s="3">
        <v>7.6097893663885488E-2</v>
      </c>
      <c r="D4464" s="1">
        <v>118764.40890554579</v>
      </c>
      <c r="E4464" s="1">
        <v>5714258</v>
      </c>
      <c r="F4464" s="1">
        <v>28794438</v>
      </c>
      <c r="G4464" s="16">
        <v>12611.424550665472</v>
      </c>
      <c r="H4464">
        <v>98.97</v>
      </c>
      <c r="I4464" s="1">
        <v>389.30999999999995</v>
      </c>
      <c r="J4464" s="16">
        <v>131375.83345621126</v>
      </c>
      <c r="K4464" s="5">
        <v>0.16306050510002773</v>
      </c>
      <c r="L4464" s="10">
        <v>204693.6954</v>
      </c>
    </row>
    <row r="4465" spans="1:12" x14ac:dyDescent="0.25">
      <c r="A4465">
        <v>4464</v>
      </c>
      <c r="B4465" s="3">
        <v>0.14801020193995509</v>
      </c>
      <c r="C4465" s="3">
        <v>7.826713955846458E-2</v>
      </c>
      <c r="D4465" s="1">
        <v>141790.64283610147</v>
      </c>
      <c r="E4465" s="1">
        <v>5036323</v>
      </c>
      <c r="F4465" s="1">
        <v>21848562</v>
      </c>
      <c r="G4465" s="16">
        <v>44206.081875700111</v>
      </c>
      <c r="H4465">
        <v>204.14</v>
      </c>
      <c r="I4465" s="1">
        <v>539.04999999999995</v>
      </c>
      <c r="J4465" s="16">
        <v>185996.72471180157</v>
      </c>
      <c r="K4465" s="5">
        <v>-7.9117048448438476E-2</v>
      </c>
      <c r="L4465" s="10">
        <v>-106720.8943</v>
      </c>
    </row>
    <row r="4466" spans="1:12" x14ac:dyDescent="0.25">
      <c r="A4466">
        <v>4465</v>
      </c>
      <c r="B4466" s="3">
        <v>0.16172892433209446</v>
      </c>
      <c r="C4466" s="3">
        <v>6.8011518198291376E-2</v>
      </c>
      <c r="D4466" s="1">
        <v>235531.95365299773</v>
      </c>
      <c r="E4466" s="1">
        <v>10649530</v>
      </c>
      <c r="F4466" s="1">
        <v>46783271</v>
      </c>
      <c r="G4466" s="16">
        <v>28047.348655314305</v>
      </c>
      <c r="H4466">
        <v>145.1</v>
      </c>
      <c r="I4466" s="1">
        <v>476.99</v>
      </c>
      <c r="J4466" s="16">
        <v>263579.30230831204</v>
      </c>
      <c r="K4466" s="5">
        <v>3.0594402372854317E-2</v>
      </c>
      <c r="L4466" s="10">
        <v>119993.9742</v>
      </c>
    </row>
    <row r="4467" spans="1:12" x14ac:dyDescent="0.25">
      <c r="A4467">
        <v>4466</v>
      </c>
      <c r="B4467" s="3">
        <v>0.17970701156278138</v>
      </c>
      <c r="C4467" s="3">
        <v>3.4964249827138728E-2</v>
      </c>
      <c r="D4467" s="1">
        <v>89793.263283613502</v>
      </c>
      <c r="E4467" s="1">
        <v>3711681</v>
      </c>
      <c r="F4467" s="1">
        <v>21999023</v>
      </c>
      <c r="G4467" s="16">
        <v>29761.156241027995</v>
      </c>
      <c r="H4467">
        <v>179.06</v>
      </c>
      <c r="I4467" s="1">
        <v>464.81</v>
      </c>
      <c r="J4467" s="16">
        <v>119554.4195246415</v>
      </c>
      <c r="K4467" s="5">
        <v>0.19554975459116467</v>
      </c>
      <c r="L4467" s="10">
        <v>599927.57720000006</v>
      </c>
    </row>
    <row r="4468" spans="1:12" x14ac:dyDescent="0.25">
      <c r="A4468">
        <v>4467</v>
      </c>
      <c r="B4468" s="3">
        <v>0.16084577651963841</v>
      </c>
      <c r="C4468" s="3">
        <v>7.3148459102572033E-2</v>
      </c>
      <c r="D4468" s="1">
        <v>172341.15584124488</v>
      </c>
      <c r="E4468" s="1">
        <v>6504654</v>
      </c>
      <c r="F4468" s="1">
        <v>31460679</v>
      </c>
      <c r="G4468" s="16">
        <v>8439.4643289415944</v>
      </c>
      <c r="H4468">
        <v>30.46</v>
      </c>
      <c r="I4468" s="1">
        <v>142.11000000000001</v>
      </c>
      <c r="J4468" s="16">
        <v>180780.62017018648</v>
      </c>
      <c r="K4468" s="5">
        <v>0.1747181302563737</v>
      </c>
      <c r="L4468" s="10">
        <v>310059.49300000002</v>
      </c>
    </row>
    <row r="4469" spans="1:12" x14ac:dyDescent="0.25">
      <c r="A4469">
        <v>4468</v>
      </c>
      <c r="B4469" s="3">
        <v>0.11693046503796042</v>
      </c>
      <c r="C4469" s="3">
        <v>3.7304673410356523E-2</v>
      </c>
      <c r="D4469" s="1">
        <v>430488.51916688628</v>
      </c>
      <c r="E4469" s="1">
        <v>15003414</v>
      </c>
      <c r="F4469" s="1">
        <v>56882563</v>
      </c>
      <c r="G4469" s="16">
        <v>23260.938827813898</v>
      </c>
      <c r="H4469">
        <v>73.69</v>
      </c>
      <c r="I4469" s="1">
        <v>248.60999999999999</v>
      </c>
      <c r="J4469" s="16">
        <v>453749.45799470018</v>
      </c>
      <c r="K4469" s="5">
        <v>-1.7566352724479609E-2</v>
      </c>
      <c r="L4469" s="10">
        <v>-118595.478</v>
      </c>
    </row>
    <row r="4470" spans="1:12" x14ac:dyDescent="0.25">
      <c r="A4470">
        <v>4469</v>
      </c>
      <c r="B4470" s="3">
        <v>0.14141813531148861</v>
      </c>
      <c r="C4470" s="3">
        <v>3.8285588010175065E-2</v>
      </c>
      <c r="D4470" s="1">
        <v>597108.45493742183</v>
      </c>
      <c r="E4470" s="1">
        <v>23952314</v>
      </c>
      <c r="F4470" s="1">
        <v>72352691</v>
      </c>
      <c r="G4470" s="16">
        <v>32292.342383135401</v>
      </c>
      <c r="H4470">
        <v>121.38</v>
      </c>
      <c r="I4470" s="1">
        <v>344.9</v>
      </c>
      <c r="J4470" s="16">
        <v>629400.79732055729</v>
      </c>
      <c r="K4470" s="5">
        <v>0.2050073972963265</v>
      </c>
      <c r="L4470" s="10">
        <v>2583275.2905000001</v>
      </c>
    </row>
    <row r="4471" spans="1:12" x14ac:dyDescent="0.25">
      <c r="A4471">
        <v>4470</v>
      </c>
      <c r="B4471" s="3">
        <v>0.15026240765446366</v>
      </c>
      <c r="C4471" s="3">
        <v>4.6225858128224447E-2</v>
      </c>
      <c r="D4471" s="1">
        <v>229775.08708068906</v>
      </c>
      <c r="E4471" s="1">
        <v>8248341</v>
      </c>
      <c r="F4471" s="1">
        <v>37218549</v>
      </c>
      <c r="G4471" s="16">
        <v>21334.227438557511</v>
      </c>
      <c r="H4471">
        <v>85.27</v>
      </c>
      <c r="I4471" s="1">
        <v>370.94999999999993</v>
      </c>
      <c r="J4471" s="16">
        <v>251109.31451924657</v>
      </c>
      <c r="K4471" s="5">
        <v>0.17204452428727465</v>
      </c>
      <c r="L4471" s="10">
        <v>732288.70420000004</v>
      </c>
    </row>
    <row r="4472" spans="1:12" x14ac:dyDescent="0.25">
      <c r="A4472">
        <v>4471</v>
      </c>
      <c r="B4472" s="3">
        <v>0.10236142750782493</v>
      </c>
      <c r="C4472" s="3">
        <v>4.4685887226191608E-2</v>
      </c>
      <c r="D4472" s="1">
        <v>489682.99581228051</v>
      </c>
      <c r="E4472" s="1">
        <v>14116000</v>
      </c>
      <c r="F4472" s="1">
        <v>41073895</v>
      </c>
      <c r="G4472" s="16">
        <v>48548.489481303288</v>
      </c>
      <c r="H4472">
        <v>155.59</v>
      </c>
      <c r="I4472" s="1">
        <v>461.67000000000007</v>
      </c>
      <c r="J4472" s="16">
        <v>538231.48529358383</v>
      </c>
      <c r="K4472" s="5">
        <v>8.4418166018911008E-3</v>
      </c>
      <c r="L4472" s="10">
        <v>116395.1243</v>
      </c>
    </row>
    <row r="4473" spans="1:12" x14ac:dyDescent="0.25">
      <c r="A4473">
        <v>4472</v>
      </c>
      <c r="B4473" s="3">
        <v>0.14264608519061325</v>
      </c>
      <c r="C4473" s="3">
        <v>6.010870208846221E-2</v>
      </c>
      <c r="D4473" s="1">
        <v>395493.87876736454</v>
      </c>
      <c r="E4473" s="1">
        <v>15978723</v>
      </c>
      <c r="F4473" s="1">
        <v>45144266</v>
      </c>
      <c r="G4473" s="16">
        <v>15927.515166316347</v>
      </c>
      <c r="H4473">
        <v>60.33</v>
      </c>
      <c r="I4473" s="1">
        <v>287.08</v>
      </c>
      <c r="J4473" s="16">
        <v>411421.3939336809</v>
      </c>
      <c r="K4473" s="5">
        <v>0.1417659838380334</v>
      </c>
      <c r="L4473" s="10">
        <v>649732.86210000003</v>
      </c>
    </row>
    <row r="4474" spans="1:12" x14ac:dyDescent="0.25">
      <c r="A4474">
        <v>4473</v>
      </c>
      <c r="B4474" s="3">
        <v>0.23523713279667041</v>
      </c>
      <c r="C4474" s="3">
        <v>2.623661899218303E-2</v>
      </c>
      <c r="D4474" s="1">
        <v>63755.273293793281</v>
      </c>
      <c r="E4474" s="1">
        <v>2667713</v>
      </c>
      <c r="F4474" s="1">
        <v>13827755</v>
      </c>
      <c r="G4474" s="16">
        <v>5249.9174318995229</v>
      </c>
      <c r="H4474">
        <v>30.2</v>
      </c>
      <c r="I4474" s="1">
        <v>98.679999999999993</v>
      </c>
      <c r="J4474" s="16">
        <v>69005.19072569281</v>
      </c>
      <c r="K4474" s="5">
        <v>9.8196023034784446E-2</v>
      </c>
      <c r="L4474" s="10">
        <v>246697.20430000001</v>
      </c>
    </row>
    <row r="4475" spans="1:12" x14ac:dyDescent="0.25">
      <c r="A4475">
        <v>4474</v>
      </c>
      <c r="B4475" s="3">
        <v>0.2048862410747091</v>
      </c>
      <c r="C4475" s="3">
        <v>6.4581580078238984E-2</v>
      </c>
      <c r="D4475" s="1">
        <v>143929.11231493432</v>
      </c>
      <c r="E4475" s="1">
        <v>6739605</v>
      </c>
      <c r="F4475" s="1">
        <v>26972629</v>
      </c>
      <c r="G4475" s="16">
        <v>21789.82731697509</v>
      </c>
      <c r="H4475">
        <v>129.56</v>
      </c>
      <c r="I4475" s="1">
        <v>360.21000000000004</v>
      </c>
      <c r="J4475" s="16">
        <v>165718.93963190942</v>
      </c>
      <c r="K4475" s="5">
        <v>0.18378110573113288</v>
      </c>
      <c r="L4475" s="10">
        <v>332655.86790000001</v>
      </c>
    </row>
    <row r="4476" spans="1:12" x14ac:dyDescent="0.25">
      <c r="A4476">
        <v>4475</v>
      </c>
      <c r="B4476" s="3">
        <v>0.16593704046738506</v>
      </c>
      <c r="C4476" s="3">
        <v>4.8011988471245159E-2</v>
      </c>
      <c r="D4476" s="1">
        <v>73774.986723114678</v>
      </c>
      <c r="E4476" s="1">
        <v>2379662</v>
      </c>
      <c r="F4476" s="1">
        <v>12042993</v>
      </c>
      <c r="G4476" s="16">
        <v>65775.316295678233</v>
      </c>
      <c r="H4476">
        <v>422.97</v>
      </c>
      <c r="I4476" s="1">
        <v>1269.6300000000001</v>
      </c>
      <c r="J4476" s="16">
        <v>139550.30301879291</v>
      </c>
      <c r="K4476" s="5">
        <v>0.10928579607412954</v>
      </c>
      <c r="L4476" s="10">
        <v>260542.2745</v>
      </c>
    </row>
    <row r="4477" spans="1:12" x14ac:dyDescent="0.25">
      <c r="A4477">
        <v>4476</v>
      </c>
      <c r="B4477" s="3">
        <v>0.2091476132545122</v>
      </c>
      <c r="C4477" s="3">
        <v>6.1678234673733595E-2</v>
      </c>
      <c r="D4477" s="1">
        <v>18258.396728899741</v>
      </c>
      <c r="E4477" s="1">
        <v>546354</v>
      </c>
      <c r="F4477" s="1">
        <v>6518975</v>
      </c>
      <c r="G4477" s="16">
        <v>16880.885721777555</v>
      </c>
      <c r="H4477">
        <v>131.46</v>
      </c>
      <c r="I4477" s="1">
        <v>386.5</v>
      </c>
      <c r="J4477" s="16">
        <v>35139.282450677296</v>
      </c>
      <c r="K4477" s="5">
        <v>-8.1516373395341762E-2</v>
      </c>
      <c r="L4477" s="10">
        <v>-23203.584200000001</v>
      </c>
    </row>
    <row r="4478" spans="1:12" x14ac:dyDescent="0.25">
      <c r="A4478">
        <v>4477</v>
      </c>
      <c r="B4478" s="3">
        <v>0.19622114753536635</v>
      </c>
      <c r="C4478" s="3">
        <v>2.2029618404874718E-2</v>
      </c>
      <c r="D4478" s="1">
        <v>96371.057377654579</v>
      </c>
      <c r="E4478" s="1">
        <v>3473282</v>
      </c>
      <c r="F4478" s="1">
        <v>15017788</v>
      </c>
      <c r="G4478" s="16">
        <v>28723.405491473608</v>
      </c>
      <c r="H4478">
        <v>248.07</v>
      </c>
      <c r="I4478" s="1">
        <v>806.08999999999992</v>
      </c>
      <c r="J4478" s="16">
        <v>125094.46286912818</v>
      </c>
      <c r="K4478" s="5">
        <v>0.13068518856672054</v>
      </c>
      <c r="L4478" s="10">
        <v>652269.82440000004</v>
      </c>
    </row>
    <row r="4479" spans="1:12" x14ac:dyDescent="0.25">
      <c r="A4479">
        <v>4478</v>
      </c>
      <c r="B4479" s="3">
        <v>0.14771617981993648</v>
      </c>
      <c r="C4479" s="3">
        <v>3.7486820926184952E-2</v>
      </c>
      <c r="D4479" s="1">
        <v>201197.85201634097</v>
      </c>
      <c r="E4479" s="1">
        <v>7136561</v>
      </c>
      <c r="F4479" s="1">
        <v>27707350</v>
      </c>
      <c r="G4479" s="16">
        <v>43695.961778826961</v>
      </c>
      <c r="H4479">
        <v>201.09</v>
      </c>
      <c r="I4479" s="1">
        <v>580.71</v>
      </c>
      <c r="J4479" s="16">
        <v>244893.81379516792</v>
      </c>
      <c r="K4479" s="5">
        <v>9.1809403014222649E-2</v>
      </c>
      <c r="L4479" s="10">
        <v>496235.0687</v>
      </c>
    </row>
    <row r="4480" spans="1:12" x14ac:dyDescent="0.25">
      <c r="A4480">
        <v>4479</v>
      </c>
      <c r="B4480" s="3">
        <v>0.12753654799818978</v>
      </c>
      <c r="C4480" s="3">
        <v>2.2440298217823521E-2</v>
      </c>
      <c r="D4480" s="1">
        <v>62029.60751618124</v>
      </c>
      <c r="E4480" s="1">
        <v>1748079</v>
      </c>
      <c r="F4480" s="1">
        <v>12081706</v>
      </c>
      <c r="G4480" s="16">
        <v>46812.668242988169</v>
      </c>
      <c r="H4480">
        <v>183.27</v>
      </c>
      <c r="I4480" s="1">
        <v>556.35</v>
      </c>
      <c r="J4480" s="16">
        <v>108842.27575916941</v>
      </c>
      <c r="K4480" s="5">
        <v>0.2970216898235627</v>
      </c>
      <c r="L4480" s="10">
        <v>1282814.5216999999</v>
      </c>
    </row>
    <row r="4481" spans="1:12" x14ac:dyDescent="0.25">
      <c r="A4481">
        <v>4480</v>
      </c>
      <c r="B4481" s="3">
        <v>0.16671220308533685</v>
      </c>
      <c r="C4481" s="3">
        <v>6.6022547070387558E-2</v>
      </c>
      <c r="D4481" s="1">
        <v>255877.04678370716</v>
      </c>
      <c r="E4481" s="1">
        <v>9932390</v>
      </c>
      <c r="F4481" s="1">
        <v>40539987</v>
      </c>
      <c r="G4481" s="16">
        <v>11263.289143484224</v>
      </c>
      <c r="H4481">
        <v>50.62</v>
      </c>
      <c r="I4481" s="1">
        <v>208.19</v>
      </c>
      <c r="J4481" s="16">
        <v>267140.33592719137</v>
      </c>
      <c r="K4481" s="5">
        <v>0.12541753230190347</v>
      </c>
      <c r="L4481" s="10">
        <v>365781.30849999998</v>
      </c>
    </row>
    <row r="4482" spans="1:12" x14ac:dyDescent="0.25">
      <c r="A4482">
        <v>4481</v>
      </c>
      <c r="B4482" s="3">
        <v>0.23945304726779634</v>
      </c>
      <c r="C4482" s="3">
        <v>4.8971508621399762E-2</v>
      </c>
      <c r="D4482" s="1">
        <v>109376.5742956664</v>
      </c>
      <c r="E4482" s="1">
        <v>6118183</v>
      </c>
      <c r="F4482" s="1">
        <v>28803404</v>
      </c>
      <c r="G4482" s="16">
        <v>10199.279921839221</v>
      </c>
      <c r="H4482">
        <v>79.3</v>
      </c>
      <c r="I4482" s="1">
        <v>284.12</v>
      </c>
      <c r="J4482" s="16">
        <v>119575.85421750562</v>
      </c>
      <c r="K4482" s="5">
        <v>-3.7466038100921778E-2</v>
      </c>
      <c r="L4482" s="10">
        <v>-69223.421799999996</v>
      </c>
    </row>
    <row r="4483" spans="1:12" x14ac:dyDescent="0.25">
      <c r="A4483">
        <v>4482</v>
      </c>
      <c r="B4483" s="3">
        <v>0.24274022374429477</v>
      </c>
      <c r="C4483" s="3">
        <v>2.1808508055456827E-2</v>
      </c>
      <c r="D4483" s="1">
        <v>146059.49932777326</v>
      </c>
      <c r="E4483" s="1">
        <v>10977633</v>
      </c>
      <c r="F4483" s="1">
        <v>45538090</v>
      </c>
      <c r="G4483" s="16">
        <v>6436.0614025319001</v>
      </c>
      <c r="H4483">
        <v>38.86</v>
      </c>
      <c r="I4483" s="1">
        <v>160.4</v>
      </c>
      <c r="J4483" s="16">
        <v>152495.56073030515</v>
      </c>
      <c r="K4483" s="5">
        <v>0.18117882228109225</v>
      </c>
      <c r="L4483" s="10">
        <v>1137435.1816</v>
      </c>
    </row>
    <row r="4484" spans="1:12" x14ac:dyDescent="0.25">
      <c r="A4484">
        <v>4483</v>
      </c>
      <c r="B4484" s="3">
        <v>0.1425454211964369</v>
      </c>
      <c r="C4484" s="3">
        <v>4.6323645494535964E-2</v>
      </c>
      <c r="D4484" s="1">
        <v>70890.637111621836</v>
      </c>
      <c r="E4484" s="1">
        <v>2104545</v>
      </c>
      <c r="F4484" s="1">
        <v>13536394</v>
      </c>
      <c r="G4484" s="16">
        <v>47471.253042464152</v>
      </c>
      <c r="H4484">
        <v>244.41</v>
      </c>
      <c r="I4484" s="1">
        <v>864.1</v>
      </c>
      <c r="J4484" s="16">
        <v>118361.890154086</v>
      </c>
      <c r="K4484" s="5">
        <v>0.18983451912697977</v>
      </c>
      <c r="L4484" s="10">
        <v>390146.24599999998</v>
      </c>
    </row>
    <row r="4485" spans="1:12" x14ac:dyDescent="0.25">
      <c r="A4485">
        <v>4484</v>
      </c>
      <c r="B4485" s="3">
        <v>0.13462454918996009</v>
      </c>
      <c r="C4485" s="3">
        <v>2.7513495309976065E-2</v>
      </c>
      <c r="D4485" s="1">
        <v>183169.03707988485</v>
      </c>
      <c r="E4485" s="1">
        <v>6112750</v>
      </c>
      <c r="F4485" s="1">
        <v>36590343</v>
      </c>
      <c r="G4485" s="16">
        <v>30102.785006149261</v>
      </c>
      <c r="H4485">
        <v>124.66</v>
      </c>
      <c r="I4485" s="1">
        <v>392.15999999999997</v>
      </c>
      <c r="J4485" s="16">
        <v>213271.82208603411</v>
      </c>
      <c r="K4485" s="5">
        <v>6.6139425386880349E-2</v>
      </c>
      <c r="L4485" s="10">
        <v>503386.55680000002</v>
      </c>
    </row>
    <row r="4486" spans="1:12" x14ac:dyDescent="0.25">
      <c r="A4486">
        <v>4485</v>
      </c>
      <c r="B4486" s="3">
        <v>0.21332809446686005</v>
      </c>
      <c r="C4486" s="3">
        <v>2.6862422862972028E-2</v>
      </c>
      <c r="D4486" s="1">
        <v>46094.476959592386</v>
      </c>
      <c r="E4486" s="1">
        <v>1772030</v>
      </c>
      <c r="F4486" s="1">
        <v>12509828</v>
      </c>
      <c r="G4486" s="16">
        <v>13690.388792904649</v>
      </c>
      <c r="H4486">
        <v>86.65</v>
      </c>
      <c r="I4486" s="1">
        <v>312.42999999999995</v>
      </c>
      <c r="J4486" s="16">
        <v>59784.865752497033</v>
      </c>
      <c r="K4486" s="5">
        <v>8.8737440122803907E-2</v>
      </c>
      <c r="L4486" s="10">
        <v>199132.4491</v>
      </c>
    </row>
    <row r="4487" spans="1:12" x14ac:dyDescent="0.25">
      <c r="A4487">
        <v>4486</v>
      </c>
      <c r="B4487" s="3">
        <v>0.13515614600459641</v>
      </c>
      <c r="C4487" s="3">
        <v>6.1240465470366726E-2</v>
      </c>
      <c r="D4487" s="1">
        <v>128019.09806532934</v>
      </c>
      <c r="E4487" s="1">
        <v>3703949</v>
      </c>
      <c r="F4487" s="1">
        <v>17713957</v>
      </c>
      <c r="G4487" s="16">
        <v>43994.133453889008</v>
      </c>
      <c r="H4487">
        <v>182.98</v>
      </c>
      <c r="I4487" s="1">
        <v>581.79</v>
      </c>
      <c r="J4487" s="16">
        <v>172013.23151921836</v>
      </c>
      <c r="K4487" s="5">
        <v>8.0549744562323625E-2</v>
      </c>
      <c r="L4487" s="10">
        <v>156793.2941</v>
      </c>
    </row>
    <row r="4488" spans="1:12" x14ac:dyDescent="0.25">
      <c r="A4488">
        <v>4487</v>
      </c>
      <c r="B4488" s="3">
        <v>0.20823505240763149</v>
      </c>
      <c r="C4488" s="3">
        <v>7.5288687984174762E-2</v>
      </c>
      <c r="D4488" s="1">
        <v>152573.32266034512</v>
      </c>
      <c r="E4488" s="1">
        <v>7266010</v>
      </c>
      <c r="F4488" s="1">
        <v>40571669</v>
      </c>
      <c r="G4488" s="16">
        <v>13850.720119407155</v>
      </c>
      <c r="H4488">
        <v>106.82</v>
      </c>
      <c r="I4488" s="1">
        <v>394.37</v>
      </c>
      <c r="J4488" s="16">
        <v>166424.04277975229</v>
      </c>
      <c r="K4488" s="5">
        <v>0.27537270529445995</v>
      </c>
      <c r="L4488" s="10">
        <v>452807.71480000002</v>
      </c>
    </row>
    <row r="4489" spans="1:12" x14ac:dyDescent="0.25">
      <c r="A4489">
        <v>4488</v>
      </c>
      <c r="B4489" s="3">
        <v>0.16574758699866288</v>
      </c>
      <c r="C4489" s="3">
        <v>7.3381453620435258E-2</v>
      </c>
      <c r="D4489" s="1">
        <v>53306.359090178063</v>
      </c>
      <c r="E4489" s="1">
        <v>1433462</v>
      </c>
      <c r="F4489" s="1">
        <v>8866223</v>
      </c>
      <c r="G4489" s="16">
        <v>13708.327754845583</v>
      </c>
      <c r="H4489">
        <v>61.35</v>
      </c>
      <c r="I4489" s="1">
        <v>225.9</v>
      </c>
      <c r="J4489" s="16">
        <v>67014.686845023651</v>
      </c>
      <c r="K4489" s="5">
        <v>4.0926184919896275E-2</v>
      </c>
      <c r="L4489" s="10">
        <v>29830.650300000001</v>
      </c>
    </row>
    <row r="4490" spans="1:12" x14ac:dyDescent="0.25">
      <c r="A4490">
        <v>4489</v>
      </c>
      <c r="B4490" s="3">
        <v>0.22315856937931328</v>
      </c>
      <c r="C4490" s="3">
        <v>2.1019415635221323E-2</v>
      </c>
      <c r="D4490" s="1">
        <v>99747.285291344073</v>
      </c>
      <c r="E4490" s="1">
        <v>5125953</v>
      </c>
      <c r="F4490" s="1">
        <v>34693925</v>
      </c>
      <c r="G4490" s="16">
        <v>11535.188163801033</v>
      </c>
      <c r="H4490">
        <v>79.06</v>
      </c>
      <c r="I4490" s="1">
        <v>286.82</v>
      </c>
      <c r="J4490" s="16">
        <v>111282.47345514511</v>
      </c>
      <c r="K4490" s="5">
        <v>8.8113008579681698E-2</v>
      </c>
      <c r="L4490" s="10">
        <v>451124.91710000002</v>
      </c>
    </row>
    <row r="4491" spans="1:12" x14ac:dyDescent="0.25">
      <c r="A4491">
        <v>4490</v>
      </c>
      <c r="B4491" s="3">
        <v>0.14999588970785344</v>
      </c>
      <c r="C4491" s="3">
        <v>4.4849151682798502E-2</v>
      </c>
      <c r="D4491" s="1">
        <v>84692.824490537241</v>
      </c>
      <c r="E4491" s="1">
        <v>2580993</v>
      </c>
      <c r="F4491" s="1">
        <v>16713573</v>
      </c>
      <c r="G4491" s="16">
        <v>28955.455707051598</v>
      </c>
      <c r="H4491">
        <v>135.71</v>
      </c>
      <c r="I4491" s="1">
        <v>437.37</v>
      </c>
      <c r="J4491" s="16">
        <v>113648.28019758884</v>
      </c>
      <c r="K4491" s="5">
        <v>0.15599283993504334</v>
      </c>
      <c r="L4491" s="10">
        <v>303758.94640000002</v>
      </c>
    </row>
    <row r="4492" spans="1:12" x14ac:dyDescent="0.25">
      <c r="A4492">
        <v>4491</v>
      </c>
      <c r="B4492" s="3">
        <v>0.1365386561589445</v>
      </c>
      <c r="C4492" s="3">
        <v>3.9266026830971835E-2</v>
      </c>
      <c r="D4492" s="1">
        <v>63139.938879007706</v>
      </c>
      <c r="E4492" s="1">
        <v>1835603</v>
      </c>
      <c r="F4492" s="1">
        <v>16734917</v>
      </c>
      <c r="G4492" s="16">
        <v>24563.851524746413</v>
      </c>
      <c r="H4492">
        <v>103.35</v>
      </c>
      <c r="I4492" s="1">
        <v>392.07000000000005</v>
      </c>
      <c r="J4492" s="16">
        <v>87703.790403754116</v>
      </c>
      <c r="K4492" s="5">
        <v>0.17753811959739357</v>
      </c>
      <c r="L4492" s="10">
        <v>356556.49440000003</v>
      </c>
    </row>
    <row r="4493" spans="1:12" x14ac:dyDescent="0.25">
      <c r="A4493">
        <v>4492</v>
      </c>
      <c r="B4493" s="3">
        <v>0.18099019002428085</v>
      </c>
      <c r="C4493" s="3">
        <v>6.2385201338380492E-2</v>
      </c>
      <c r="D4493" s="1">
        <v>71983.397672951629</v>
      </c>
      <c r="E4493" s="1">
        <v>2994188</v>
      </c>
      <c r="F4493" s="1">
        <v>24258569</v>
      </c>
      <c r="G4493" s="16">
        <v>65934.288021824337</v>
      </c>
      <c r="H4493">
        <v>490.81</v>
      </c>
      <c r="I4493" s="1">
        <v>1130.8900000000001</v>
      </c>
      <c r="J4493" s="16">
        <v>137917.68569477595</v>
      </c>
      <c r="K4493" s="5">
        <v>0.25498440679486067</v>
      </c>
      <c r="L4493" s="10">
        <v>419996.90330000001</v>
      </c>
    </row>
    <row r="4494" spans="1:12" x14ac:dyDescent="0.25">
      <c r="A4494">
        <v>4493</v>
      </c>
      <c r="B4494" s="3">
        <v>0.16205155756592057</v>
      </c>
      <c r="C4494" s="3">
        <v>3.8675698257241972E-2</v>
      </c>
      <c r="D4494" s="1">
        <v>92092.758080533269</v>
      </c>
      <c r="E4494" s="1">
        <v>2929390</v>
      </c>
      <c r="F4494" s="1">
        <v>14378631</v>
      </c>
      <c r="G4494" s="16">
        <v>23818.667487597326</v>
      </c>
      <c r="H4494">
        <v>103.9</v>
      </c>
      <c r="I4494" s="1">
        <v>350.14</v>
      </c>
      <c r="J4494" s="16">
        <v>115911.42556813059</v>
      </c>
      <c r="K4494" s="5">
        <v>-0.12675477662841389</v>
      </c>
      <c r="L4494" s="10">
        <v>-270018.62060000002</v>
      </c>
    </row>
    <row r="4495" spans="1:12" x14ac:dyDescent="0.25">
      <c r="A4495">
        <v>4494</v>
      </c>
      <c r="B4495" s="3">
        <v>0.20791863195871829</v>
      </c>
      <c r="C4495" s="3">
        <v>2.4420944202298487E-2</v>
      </c>
      <c r="D4495" s="1">
        <v>197485.84400776646</v>
      </c>
      <c r="E4495" s="1">
        <v>9389871</v>
      </c>
      <c r="F4495" s="1">
        <v>41188563</v>
      </c>
      <c r="G4495" s="16">
        <v>17184.262590658454</v>
      </c>
      <c r="H4495">
        <v>104.5</v>
      </c>
      <c r="I4495" s="1">
        <v>286.44</v>
      </c>
      <c r="J4495" s="16">
        <v>214670.1065984249</v>
      </c>
      <c r="K4495" s="5">
        <v>6.6904445840903992E-2</v>
      </c>
      <c r="L4495" s="10">
        <v>544065.56290000002</v>
      </c>
    </row>
    <row r="4496" spans="1:12" x14ac:dyDescent="0.25">
      <c r="A4496">
        <v>4495</v>
      </c>
      <c r="B4496" s="3">
        <v>0.24478920318656189</v>
      </c>
      <c r="C4496" s="3">
        <v>4.2839433381586814E-2</v>
      </c>
      <c r="D4496" s="1">
        <v>194668.53349534926</v>
      </c>
      <c r="E4496" s="1">
        <v>11200201</v>
      </c>
      <c r="F4496" s="1">
        <v>41222222</v>
      </c>
      <c r="G4496" s="16">
        <v>11655.957280651208</v>
      </c>
      <c r="H4496">
        <v>125.15</v>
      </c>
      <c r="I4496" s="1">
        <v>461.37</v>
      </c>
      <c r="J4496" s="16">
        <v>206324.49077600046</v>
      </c>
      <c r="K4496" s="5">
        <v>-8.7919321423696808E-3</v>
      </c>
      <c r="L4496" s="10">
        <v>-1808.4373000000001</v>
      </c>
    </row>
    <row r="4497" spans="1:12" x14ac:dyDescent="0.25">
      <c r="A4497">
        <v>4496</v>
      </c>
      <c r="B4497" s="3">
        <v>0.19451102117648938</v>
      </c>
      <c r="C4497" s="3">
        <v>6.6086942116308001E-2</v>
      </c>
      <c r="D4497" s="1">
        <v>189380.23180448569</v>
      </c>
      <c r="E4497" s="1">
        <v>8419752</v>
      </c>
      <c r="F4497" s="1">
        <v>33304538</v>
      </c>
      <c r="G4497" s="16">
        <v>32322.231986176157</v>
      </c>
      <c r="H4497">
        <v>274.45999999999998</v>
      </c>
      <c r="I4497" s="1">
        <v>842.18000000000006</v>
      </c>
      <c r="J4497" s="16">
        <v>221702.46379066186</v>
      </c>
      <c r="K4497" s="5">
        <v>9.0816710020717256E-2</v>
      </c>
      <c r="L4497" s="10">
        <v>214937.41070000001</v>
      </c>
    </row>
    <row r="4498" spans="1:12" x14ac:dyDescent="0.25">
      <c r="A4498">
        <v>4497</v>
      </c>
      <c r="B4498" s="3">
        <v>0.14437458514566853</v>
      </c>
      <c r="C4498" s="3">
        <v>4.6962178405992885E-2</v>
      </c>
      <c r="D4498" s="1">
        <v>92434.297835399469</v>
      </c>
      <c r="E4498" s="1">
        <v>2761756</v>
      </c>
      <c r="F4498" s="1">
        <v>14164968</v>
      </c>
      <c r="G4498" s="16">
        <v>32759.590310860593</v>
      </c>
      <c r="H4498">
        <v>146.62</v>
      </c>
      <c r="I4498" s="1">
        <v>400.12</v>
      </c>
      <c r="J4498" s="16">
        <v>125193.88814626005</v>
      </c>
      <c r="K4498" s="5">
        <v>0.15492726046975683</v>
      </c>
      <c r="L4498" s="10">
        <v>342275.39889999997</v>
      </c>
    </row>
    <row r="4499" spans="1:12" x14ac:dyDescent="0.25">
      <c r="A4499">
        <v>4498</v>
      </c>
      <c r="B4499" s="3">
        <v>0.21124607721058952</v>
      </c>
      <c r="C4499" s="3">
        <v>5.5826440560488536E-2</v>
      </c>
      <c r="D4499" s="1">
        <v>73419.47976525675</v>
      </c>
      <c r="E4499" s="1">
        <v>3550158</v>
      </c>
      <c r="F4499" s="1">
        <v>22052351</v>
      </c>
      <c r="G4499" s="16">
        <v>13693.256188509376</v>
      </c>
      <c r="H4499">
        <v>85.57</v>
      </c>
      <c r="I4499" s="1">
        <v>356.42</v>
      </c>
      <c r="J4499" s="16">
        <v>87112.735953766125</v>
      </c>
      <c r="K4499" s="5">
        <v>0.18305051883704851</v>
      </c>
      <c r="L4499" s="10">
        <v>234109.96549999999</v>
      </c>
    </row>
    <row r="4500" spans="1:12" x14ac:dyDescent="0.25">
      <c r="A4500">
        <v>4499</v>
      </c>
      <c r="B4500" s="3">
        <v>0.18226129806587654</v>
      </c>
      <c r="C4500" s="3">
        <v>2.7182032218760088E-2</v>
      </c>
      <c r="D4500" s="1">
        <v>128331.25720177147</v>
      </c>
      <c r="E4500" s="1">
        <v>4392298</v>
      </c>
      <c r="F4500" s="1">
        <v>18593125</v>
      </c>
      <c r="G4500" s="16">
        <v>21366.974977379919</v>
      </c>
      <c r="H4500">
        <v>107.48</v>
      </c>
      <c r="I4500" s="1">
        <v>286.08</v>
      </c>
      <c r="J4500" s="16">
        <v>149698.23217915138</v>
      </c>
      <c r="K4500" s="5">
        <v>0.10254806278187441</v>
      </c>
      <c r="L4500" s="10">
        <v>483938.8357</v>
      </c>
    </row>
    <row r="4501" spans="1:12" x14ac:dyDescent="0.25">
      <c r="A4501">
        <v>4500</v>
      </c>
      <c r="B4501" s="3">
        <v>0.24971982636400053</v>
      </c>
      <c r="C4501" s="3">
        <v>2.4195514001626773E-2</v>
      </c>
      <c r="D4501" s="1">
        <v>168322.63293211182</v>
      </c>
      <c r="E4501" s="1">
        <v>13250361</v>
      </c>
      <c r="F4501" s="1">
        <v>58183226</v>
      </c>
      <c r="G4501" s="16">
        <v>10858.013252333609</v>
      </c>
      <c r="H4501">
        <v>91.6</v>
      </c>
      <c r="I4501" s="1">
        <v>300.34999999999997</v>
      </c>
      <c r="J4501" s="16">
        <v>179180.64618444545</v>
      </c>
      <c r="K4501" s="5">
        <v>1.1383759364847972E-2</v>
      </c>
      <c r="L4501" s="10">
        <v>76997.872000000003</v>
      </c>
    </row>
    <row r="4502" spans="1:12" x14ac:dyDescent="0.25">
      <c r="A4502">
        <v>4501</v>
      </c>
      <c r="B4502" s="3">
        <v>0.24617339767285487</v>
      </c>
      <c r="C4502" s="3">
        <v>6.1411568257587895E-2</v>
      </c>
      <c r="D4502" s="1">
        <v>245107.2070202977</v>
      </c>
      <c r="E4502" s="1">
        <v>18845226</v>
      </c>
      <c r="F4502" s="1">
        <v>59639737</v>
      </c>
      <c r="G4502" s="16">
        <v>13502.568078693646</v>
      </c>
      <c r="H4502">
        <v>146.87</v>
      </c>
      <c r="I4502" s="1">
        <v>428.19</v>
      </c>
      <c r="J4502" s="16">
        <v>258609.77509899135</v>
      </c>
      <c r="K4502" s="5">
        <v>4.9128236852962054E-2</v>
      </c>
      <c r="L4502" s="10">
        <v>175950.5558</v>
      </c>
    </row>
    <row r="4503" spans="1:12" x14ac:dyDescent="0.25">
      <c r="A4503">
        <v>4502</v>
      </c>
      <c r="B4503" s="3">
        <v>0.17803889984777177</v>
      </c>
      <c r="C4503" s="3">
        <v>5.4346788365204096E-2</v>
      </c>
      <c r="D4503" s="1">
        <v>441438.32859106874</v>
      </c>
      <c r="E4503" s="1">
        <v>22019962</v>
      </c>
      <c r="F4503" s="1">
        <v>63613284</v>
      </c>
      <c r="G4503" s="16">
        <v>20382.824185718</v>
      </c>
      <c r="H4503">
        <v>99.4</v>
      </c>
      <c r="I4503" s="1">
        <v>351.81999999999994</v>
      </c>
      <c r="J4503" s="16">
        <v>461821.15277678677</v>
      </c>
      <c r="K4503" s="5">
        <v>0.1699951187953358</v>
      </c>
      <c r="L4503" s="10">
        <v>1024986.2151</v>
      </c>
    </row>
    <row r="4504" spans="1:12" x14ac:dyDescent="0.25">
      <c r="A4504">
        <v>4503</v>
      </c>
      <c r="B4504" s="3">
        <v>0.21164274460169813</v>
      </c>
      <c r="C4504" s="3">
        <v>5.3112423246132842E-2</v>
      </c>
      <c r="D4504" s="1">
        <v>227159.03211420769</v>
      </c>
      <c r="E4504" s="1">
        <v>11006279</v>
      </c>
      <c r="F4504" s="1">
        <v>39720258</v>
      </c>
      <c r="G4504" s="16">
        <v>35171.585813737038</v>
      </c>
      <c r="H4504">
        <v>354.68</v>
      </c>
      <c r="I4504" s="1">
        <v>928.12000000000012</v>
      </c>
      <c r="J4504" s="16">
        <v>262330.61792794475</v>
      </c>
      <c r="K4504" s="5">
        <v>0.13569731696908008</v>
      </c>
      <c r="L4504" s="10">
        <v>493651.47269999998</v>
      </c>
    </row>
    <row r="4505" spans="1:12" x14ac:dyDescent="0.25">
      <c r="A4505">
        <v>4504</v>
      </c>
      <c r="B4505" s="3">
        <v>0.13207330653488092</v>
      </c>
      <c r="C4505" s="3">
        <v>3.987874110473557E-2</v>
      </c>
      <c r="D4505" s="1">
        <v>178015.8492430856</v>
      </c>
      <c r="E4505" s="1">
        <v>5871239</v>
      </c>
      <c r="F4505" s="1">
        <v>24987919</v>
      </c>
      <c r="G4505" s="16">
        <v>14379.913968955771</v>
      </c>
      <c r="H4505">
        <v>43.95</v>
      </c>
      <c r="I4505" s="1">
        <v>176.90000000000003</v>
      </c>
      <c r="J4505" s="16">
        <v>192395.76321204138</v>
      </c>
      <c r="K4505" s="5">
        <v>7.9718951671746419E-3</v>
      </c>
      <c r="L4505" s="10">
        <v>47632.069900000002</v>
      </c>
    </row>
    <row r="4506" spans="1:12" x14ac:dyDescent="0.25">
      <c r="A4506">
        <v>4505</v>
      </c>
      <c r="B4506" s="3">
        <v>0.13730236463924403</v>
      </c>
      <c r="C4506" s="3">
        <v>6.1012405258348834E-2</v>
      </c>
      <c r="D4506" s="1">
        <v>242051.86791876194</v>
      </c>
      <c r="E4506" s="1">
        <v>8178548</v>
      </c>
      <c r="F4506" s="1">
        <v>27189988</v>
      </c>
      <c r="G4506" s="16">
        <v>18271.423242646393</v>
      </c>
      <c r="H4506">
        <v>66.650000000000006</v>
      </c>
      <c r="I4506" s="1">
        <v>218.39000000000001</v>
      </c>
      <c r="J4506" s="16">
        <v>260323.29116140833</v>
      </c>
      <c r="K4506" s="5">
        <v>5.2408077386081636E-2</v>
      </c>
      <c r="L4506" s="10">
        <v>173434.2928</v>
      </c>
    </row>
    <row r="4507" spans="1:12" x14ac:dyDescent="0.25">
      <c r="A4507">
        <v>4506</v>
      </c>
      <c r="B4507" s="3">
        <v>0.16255014305676563</v>
      </c>
      <c r="C4507" s="3">
        <v>6.5653272473539928E-2</v>
      </c>
      <c r="D4507" s="1">
        <v>257018.02071208245</v>
      </c>
      <c r="E4507" s="1">
        <v>9779820</v>
      </c>
      <c r="F4507" s="1">
        <v>39212716</v>
      </c>
      <c r="G4507" s="16">
        <v>9456.4563259699462</v>
      </c>
      <c r="H4507">
        <v>41.32</v>
      </c>
      <c r="I4507" s="1">
        <v>221.48999999999998</v>
      </c>
      <c r="J4507" s="16">
        <v>266474.4770380524</v>
      </c>
      <c r="K4507" s="5">
        <v>6.8550870413454285E-2</v>
      </c>
      <c r="L4507" s="10">
        <v>201988.0766</v>
      </c>
    </row>
    <row r="4508" spans="1:12" x14ac:dyDescent="0.25">
      <c r="A4508">
        <v>4507</v>
      </c>
      <c r="B4508" s="3">
        <v>0.12586301447098308</v>
      </c>
      <c r="C4508" s="3">
        <v>7.4406951561342319E-2</v>
      </c>
      <c r="D4508" s="1">
        <v>182780.70723529672</v>
      </c>
      <c r="E4508" s="1">
        <v>5858888</v>
      </c>
      <c r="F4508" s="1">
        <v>28722861</v>
      </c>
      <c r="G4508" s="16">
        <v>41019.267052798772</v>
      </c>
      <c r="H4508">
        <v>158.19999999999999</v>
      </c>
      <c r="I4508" s="1">
        <v>447.49</v>
      </c>
      <c r="J4508" s="16">
        <v>223799.97428809549</v>
      </c>
      <c r="K4508" s="5">
        <v>8.0678250935786816E-2</v>
      </c>
      <c r="L4508" s="10">
        <v>179594.84599999999</v>
      </c>
    </row>
    <row r="4509" spans="1:12" x14ac:dyDescent="0.25">
      <c r="A4509">
        <v>4508</v>
      </c>
      <c r="B4509" s="3">
        <v>0.21801082287255841</v>
      </c>
      <c r="C4509" s="3">
        <v>4.518456517814004E-2</v>
      </c>
      <c r="D4509" s="1">
        <v>95049.382142253933</v>
      </c>
      <c r="E4509" s="1">
        <v>3720064</v>
      </c>
      <c r="F4509" s="1">
        <v>17709348</v>
      </c>
      <c r="G4509" s="16">
        <v>49390.274382820113</v>
      </c>
      <c r="H4509">
        <v>531.92999999999995</v>
      </c>
      <c r="I4509" s="1">
        <v>1267.77</v>
      </c>
      <c r="J4509" s="16">
        <v>144439.65652507404</v>
      </c>
      <c r="K4509" s="5">
        <v>0.11977201774828794</v>
      </c>
      <c r="L4509" s="10">
        <v>287869.92719999998</v>
      </c>
    </row>
    <row r="4510" spans="1:12" x14ac:dyDescent="0.25">
      <c r="A4510">
        <v>4509</v>
      </c>
      <c r="B4510" s="3">
        <v>0.10155594781838612</v>
      </c>
      <c r="C4510" s="3">
        <v>6.8429882430033034E-2</v>
      </c>
      <c r="D4510" s="1">
        <v>48608.042753850794</v>
      </c>
      <c r="E4510" s="1">
        <v>1127017</v>
      </c>
      <c r="F4510" s="1">
        <v>8059354</v>
      </c>
      <c r="G4510" s="16">
        <v>53238.004838342189</v>
      </c>
      <c r="H4510">
        <v>169.48</v>
      </c>
      <c r="I4510" s="1">
        <v>594.45000000000005</v>
      </c>
      <c r="J4510" s="16">
        <v>101846.04759219298</v>
      </c>
      <c r="K4510" s="5">
        <v>0.19653819560599534</v>
      </c>
      <c r="L4510" s="10">
        <v>200903.9406</v>
      </c>
    </row>
    <row r="4511" spans="1:12" x14ac:dyDescent="0.25">
      <c r="A4511">
        <v>4510</v>
      </c>
      <c r="B4511" s="3">
        <v>0.10637495884582845</v>
      </c>
      <c r="C4511" s="3">
        <v>2.4579916558335579E-2</v>
      </c>
      <c r="D4511" s="1">
        <v>464221.28129749367</v>
      </c>
      <c r="E4511" s="1">
        <v>15245838</v>
      </c>
      <c r="F4511" s="1">
        <v>55630701</v>
      </c>
      <c r="G4511" s="16">
        <v>31431.976247642848</v>
      </c>
      <c r="H4511">
        <v>92.94</v>
      </c>
      <c r="I4511" s="1">
        <v>361.58</v>
      </c>
      <c r="J4511" s="16">
        <v>495653.2575451365</v>
      </c>
      <c r="K4511" s="5">
        <v>0.11449361910568365</v>
      </c>
      <c r="L4511" s="10">
        <v>1949104.0985000001</v>
      </c>
    </row>
    <row r="4512" spans="1:12" x14ac:dyDescent="0.25">
      <c r="A4512">
        <v>4511</v>
      </c>
      <c r="B4512" s="3">
        <v>0.22286864448721849</v>
      </c>
      <c r="C4512" s="3">
        <v>3.8633608192095992E-2</v>
      </c>
      <c r="D4512" s="1">
        <v>292842.61151302676</v>
      </c>
      <c r="E4512" s="1">
        <v>15026545</v>
      </c>
      <c r="F4512" s="1">
        <v>42812024</v>
      </c>
      <c r="G4512" s="16">
        <v>35365.07727241447</v>
      </c>
      <c r="H4512">
        <v>310.27999999999997</v>
      </c>
      <c r="I4512" s="1">
        <v>764.98</v>
      </c>
      <c r="J4512" s="16">
        <v>328207.68878544122</v>
      </c>
      <c r="K4512" s="5">
        <v>0.16647486679285223</v>
      </c>
      <c r="L4512" s="10">
        <v>1133497.5485</v>
      </c>
    </row>
    <row r="4513" spans="1:12" x14ac:dyDescent="0.25">
      <c r="A4513">
        <v>4512</v>
      </c>
      <c r="B4513" s="3">
        <v>0.13940245439772614</v>
      </c>
      <c r="C4513" s="3">
        <v>5.0888611046003743E-2</v>
      </c>
      <c r="D4513" s="1">
        <v>164162.75728996188</v>
      </c>
      <c r="E4513" s="1">
        <v>5601143</v>
      </c>
      <c r="F4513" s="1">
        <v>23178670</v>
      </c>
      <c r="G4513" s="16">
        <v>83100.507969056824</v>
      </c>
      <c r="H4513">
        <v>414.74</v>
      </c>
      <c r="I4513" s="1">
        <v>950.40000000000009</v>
      </c>
      <c r="J4513" s="16">
        <v>247263.26525901869</v>
      </c>
      <c r="K4513" s="5">
        <v>0.25027732407178194</v>
      </c>
      <c r="L4513" s="10">
        <v>900359.84199999995</v>
      </c>
    </row>
    <row r="4514" spans="1:12" x14ac:dyDescent="0.25">
      <c r="A4514">
        <v>4513</v>
      </c>
      <c r="B4514" s="3">
        <v>0.11545357699502137</v>
      </c>
      <c r="C4514" s="3">
        <v>5.8584161003097449E-2</v>
      </c>
      <c r="D4514" s="1">
        <v>286514.5039010804</v>
      </c>
      <c r="E4514" s="1">
        <v>8759255</v>
      </c>
      <c r="F4514" s="1">
        <v>31531796</v>
      </c>
      <c r="G4514" s="16">
        <v>39882.002522393523</v>
      </c>
      <c r="H4514">
        <v>141.63999999999999</v>
      </c>
      <c r="I4514" s="1">
        <v>469.52</v>
      </c>
      <c r="J4514" s="16">
        <v>326396.50642347394</v>
      </c>
      <c r="K4514" s="5">
        <v>1.3450476846046278E-2</v>
      </c>
      <c r="L4514" s="10">
        <v>100156.19620000001</v>
      </c>
    </row>
    <row r="4515" spans="1:12" x14ac:dyDescent="0.25">
      <c r="A4515">
        <v>4514</v>
      </c>
      <c r="B4515" s="3">
        <v>0.14595752138673207</v>
      </c>
      <c r="C4515" s="3">
        <v>4.6740312132864642E-2</v>
      </c>
      <c r="D4515" s="1">
        <v>340781.58249737113</v>
      </c>
      <c r="E4515" s="1">
        <v>14037245</v>
      </c>
      <c r="F4515" s="1">
        <v>48844889</v>
      </c>
      <c r="G4515" s="16">
        <v>36590.626870288354</v>
      </c>
      <c r="H4515">
        <v>142</v>
      </c>
      <c r="I4515" s="1">
        <v>383.62</v>
      </c>
      <c r="J4515" s="16">
        <v>377372.20936765947</v>
      </c>
      <c r="K4515" s="5">
        <v>2.0099177911007345E-2</v>
      </c>
      <c r="L4515" s="10">
        <v>141738.92739999999</v>
      </c>
    </row>
    <row r="4516" spans="1:12" x14ac:dyDescent="0.25">
      <c r="A4516">
        <v>4515</v>
      </c>
      <c r="B4516" s="3">
        <v>0.19696278938273448</v>
      </c>
      <c r="C4516" s="3">
        <v>4.8001878077015073E-2</v>
      </c>
      <c r="D4516" s="1">
        <v>63030.689725626384</v>
      </c>
      <c r="E4516" s="1">
        <v>2277971</v>
      </c>
      <c r="F4516" s="1">
        <v>14911031</v>
      </c>
      <c r="G4516" s="16">
        <v>15568.267526532245</v>
      </c>
      <c r="H4516">
        <v>108.77</v>
      </c>
      <c r="I4516" s="1">
        <v>456.65999999999997</v>
      </c>
      <c r="J4516" s="16">
        <v>78598.957252158623</v>
      </c>
      <c r="K4516" s="5">
        <v>0.11123357933199265</v>
      </c>
      <c r="L4516" s="10">
        <v>146973.5502</v>
      </c>
    </row>
    <row r="4517" spans="1:12" x14ac:dyDescent="0.25">
      <c r="A4517">
        <v>4516</v>
      </c>
      <c r="B4517" s="3">
        <v>0.19116719769902057</v>
      </c>
      <c r="C4517" s="3">
        <v>4.4648755442637682E-2</v>
      </c>
      <c r="D4517" s="1">
        <v>86086.928415088798</v>
      </c>
      <c r="E4517" s="1">
        <v>3044835</v>
      </c>
      <c r="F4517" s="1">
        <v>15873434</v>
      </c>
      <c r="G4517" s="16">
        <v>20885.645937266905</v>
      </c>
      <c r="H4517">
        <v>112.14</v>
      </c>
      <c r="I4517" s="1">
        <v>324.71999999999997</v>
      </c>
      <c r="J4517" s="16">
        <v>106972.5743523557</v>
      </c>
      <c r="K4517" s="5">
        <v>2.3425547304340641E-2</v>
      </c>
      <c r="L4517" s="10">
        <v>56726.1705</v>
      </c>
    </row>
    <row r="4518" spans="1:12" x14ac:dyDescent="0.25">
      <c r="A4518">
        <v>4517</v>
      </c>
      <c r="B4518" s="3">
        <v>0.22439918849060547</v>
      </c>
      <c r="C4518" s="3">
        <v>4.6082350420098395E-2</v>
      </c>
      <c r="D4518" s="1">
        <v>79884.610963285522</v>
      </c>
      <c r="E4518" s="1">
        <v>4131556</v>
      </c>
      <c r="F4518" s="1">
        <v>26092342</v>
      </c>
      <c r="G4518" s="16">
        <v>13499.099144777087</v>
      </c>
      <c r="H4518">
        <v>120.4</v>
      </c>
      <c r="I4518" s="1">
        <v>446.02</v>
      </c>
      <c r="J4518" s="16">
        <v>93383.710108062602</v>
      </c>
      <c r="K4518" s="5">
        <v>5.2350158813818055E-2</v>
      </c>
      <c r="L4518" s="10">
        <v>87379.276899999997</v>
      </c>
    </row>
    <row r="4519" spans="1:12" x14ac:dyDescent="0.25">
      <c r="A4519">
        <v>4518</v>
      </c>
      <c r="B4519" s="3">
        <v>0.22222289447924889</v>
      </c>
      <c r="C4519" s="3">
        <v>5.5241622229952603E-2</v>
      </c>
      <c r="D4519" s="1">
        <v>41767.597662323569</v>
      </c>
      <c r="E4519" s="1">
        <v>1661411</v>
      </c>
      <c r="F4519" s="1">
        <v>11595338</v>
      </c>
      <c r="G4519" s="16">
        <v>17266.657513077371</v>
      </c>
      <c r="H4519">
        <v>150.85</v>
      </c>
      <c r="I4519" s="1">
        <v>403.09000000000003</v>
      </c>
      <c r="J4519" s="16">
        <v>59034.25517540094</v>
      </c>
      <c r="K4519" s="5">
        <v>0.14994947324542604</v>
      </c>
      <c r="L4519" s="10">
        <v>136646.53219999999</v>
      </c>
    </row>
    <row r="4520" spans="1:12" x14ac:dyDescent="0.25">
      <c r="A4520">
        <v>4519</v>
      </c>
      <c r="B4520" s="3">
        <v>0.23398146114002311</v>
      </c>
      <c r="C4520" s="3">
        <v>3.7645105714197269E-2</v>
      </c>
      <c r="D4520" s="1">
        <v>89033.478232484806</v>
      </c>
      <c r="E4520" s="1">
        <v>3707127</v>
      </c>
      <c r="F4520" s="1">
        <v>20603512</v>
      </c>
      <c r="G4520" s="16">
        <v>8694.4329504156467</v>
      </c>
      <c r="H4520">
        <v>49.57</v>
      </c>
      <c r="I4520" s="1">
        <v>171.07</v>
      </c>
      <c r="J4520" s="16">
        <v>97727.911182900454</v>
      </c>
      <c r="K4520" s="5">
        <v>0.18402635067201295</v>
      </c>
      <c r="L4520" s="10">
        <v>417614.09399999998</v>
      </c>
    </row>
    <row r="4521" spans="1:12" x14ac:dyDescent="0.25">
      <c r="A4521">
        <v>4520</v>
      </c>
      <c r="B4521" s="3">
        <v>0.21012831009166411</v>
      </c>
      <c r="C4521" s="3">
        <v>7.7368087323908125E-2</v>
      </c>
      <c r="D4521" s="1">
        <v>85041.233932980438</v>
      </c>
      <c r="E4521" s="1">
        <v>3229696</v>
      </c>
      <c r="F4521" s="1">
        <v>14918477</v>
      </c>
      <c r="G4521" s="16">
        <v>31302.028939258889</v>
      </c>
      <c r="H4521">
        <v>310.88</v>
      </c>
      <c r="I4521" s="1">
        <v>785.79</v>
      </c>
      <c r="J4521" s="16">
        <v>116343.26287223933</v>
      </c>
      <c r="K4521" s="5">
        <v>8.9403220377985801E-2</v>
      </c>
      <c r="L4521" s="10">
        <v>93452.883799999996</v>
      </c>
    </row>
    <row r="4522" spans="1:12" x14ac:dyDescent="0.25">
      <c r="A4522">
        <v>4521</v>
      </c>
      <c r="B4522" s="3">
        <v>0.18180846982065851</v>
      </c>
      <c r="C4522" s="3">
        <v>2.1605869776251178E-2</v>
      </c>
      <c r="D4522" s="1">
        <v>61216.936763701633</v>
      </c>
      <c r="E4522" s="1">
        <v>2091745</v>
      </c>
      <c r="F4522" s="1">
        <v>13158918</v>
      </c>
      <c r="G4522" s="16">
        <v>16783.413812571933</v>
      </c>
      <c r="H4522">
        <v>84.12</v>
      </c>
      <c r="I4522" s="1">
        <v>273.12</v>
      </c>
      <c r="J4522" s="16">
        <v>78000.350576273573</v>
      </c>
      <c r="K4522" s="5">
        <v>-6.0189438741060884E-3</v>
      </c>
      <c r="L4522" s="10">
        <v>-25155.268100000001</v>
      </c>
    </row>
    <row r="4523" spans="1:12" x14ac:dyDescent="0.25">
      <c r="A4523">
        <v>4522</v>
      </c>
      <c r="B4523" s="3">
        <v>0.23351576070123498</v>
      </c>
      <c r="C4523" s="3">
        <v>4.7674824072195296E-2</v>
      </c>
      <c r="D4523" s="1">
        <v>222138.36420416861</v>
      </c>
      <c r="E4523" s="1">
        <v>15714853</v>
      </c>
      <c r="F4523" s="1">
        <v>59717920</v>
      </c>
      <c r="G4523" s="16">
        <v>8304.7380630725329</v>
      </c>
      <c r="H4523">
        <v>47.25</v>
      </c>
      <c r="I4523" s="1">
        <v>185.14</v>
      </c>
      <c r="J4523" s="16">
        <v>230443.10226724113</v>
      </c>
      <c r="K4523" s="5">
        <v>-1.1127846127318847E-2</v>
      </c>
      <c r="L4523" s="10">
        <v>-829.59720000000004</v>
      </c>
    </row>
    <row r="4524" spans="1:12" x14ac:dyDescent="0.25">
      <c r="A4524">
        <v>4523</v>
      </c>
      <c r="B4524" s="3">
        <v>0.22049756485358682</v>
      </c>
      <c r="C4524" s="3">
        <v>5.0495763168190134E-2</v>
      </c>
      <c r="D4524" s="1">
        <v>108138.74868227892</v>
      </c>
      <c r="E4524" s="1">
        <v>5481689</v>
      </c>
      <c r="F4524" s="1">
        <v>26792478</v>
      </c>
      <c r="G4524" s="16">
        <v>15369.501135627044</v>
      </c>
      <c r="H4524">
        <v>132.13</v>
      </c>
      <c r="I4524" s="1">
        <v>553.49</v>
      </c>
      <c r="J4524" s="16">
        <v>123508.24981790596</v>
      </c>
      <c r="K4524" s="5">
        <v>0.14685105347701621</v>
      </c>
      <c r="L4524" s="10">
        <v>296650.25939999998</v>
      </c>
    </row>
    <row r="4525" spans="1:12" x14ac:dyDescent="0.25">
      <c r="A4525">
        <v>4524</v>
      </c>
      <c r="B4525" s="3">
        <v>0.17191920938408056</v>
      </c>
      <c r="C4525" s="3">
        <v>4.5132497665649543E-2</v>
      </c>
      <c r="D4525" s="1">
        <v>139434.06366086661</v>
      </c>
      <c r="E4525" s="1">
        <v>5549837</v>
      </c>
      <c r="F4525" s="1">
        <v>30176198</v>
      </c>
      <c r="G4525" s="16">
        <v>45422.639413570112</v>
      </c>
      <c r="H4525">
        <v>309.14999999999998</v>
      </c>
      <c r="I4525" s="1">
        <v>836.92</v>
      </c>
      <c r="J4525" s="16">
        <v>184856.70307443672</v>
      </c>
      <c r="K4525" s="5">
        <v>0.11373718012209275</v>
      </c>
      <c r="L4525" s="10">
        <v>389674.20270000002</v>
      </c>
    </row>
    <row r="4526" spans="1:12" x14ac:dyDescent="0.25">
      <c r="A4526">
        <v>4525</v>
      </c>
      <c r="B4526" s="3">
        <v>0.221682143819287</v>
      </c>
      <c r="C4526" s="3">
        <v>3.3937008575436703E-2</v>
      </c>
      <c r="D4526" s="1">
        <v>43211.186056443505</v>
      </c>
      <c r="E4526" s="1">
        <v>1335013</v>
      </c>
      <c r="F4526" s="1">
        <v>8267205</v>
      </c>
      <c r="G4526" s="16">
        <v>23453.481409407777</v>
      </c>
      <c r="H4526">
        <v>204.19</v>
      </c>
      <c r="I4526" s="1">
        <v>621.33000000000004</v>
      </c>
      <c r="J4526" s="16">
        <v>66664.667465851278</v>
      </c>
      <c r="K4526" s="5">
        <v>0.12948450929021887</v>
      </c>
      <c r="L4526" s="10">
        <v>220006.5778</v>
      </c>
    </row>
    <row r="4527" spans="1:12" x14ac:dyDescent="0.25">
      <c r="A4527">
        <v>4526</v>
      </c>
      <c r="B4527" s="3">
        <v>0.21973843439493204</v>
      </c>
      <c r="C4527" s="3">
        <v>3.0475726263187342E-2</v>
      </c>
      <c r="D4527" s="1">
        <v>86544.380482541834</v>
      </c>
      <c r="E4527" s="1">
        <v>3409742</v>
      </c>
      <c r="F4527" s="1">
        <v>14140213</v>
      </c>
      <c r="G4527" s="16">
        <v>11897.096330275512</v>
      </c>
      <c r="H4527">
        <v>79.349999999999994</v>
      </c>
      <c r="I4527" s="1">
        <v>324.87</v>
      </c>
      <c r="J4527" s="16">
        <v>98441.476812817345</v>
      </c>
      <c r="K4527" s="5">
        <v>2.856868613446395E-2</v>
      </c>
      <c r="L4527" s="10">
        <v>98494.135999999999</v>
      </c>
    </row>
    <row r="4528" spans="1:12" x14ac:dyDescent="0.25">
      <c r="A4528">
        <v>4527</v>
      </c>
      <c r="B4528" s="3">
        <v>0.166236759146076</v>
      </c>
      <c r="C4528" s="3">
        <v>3.9839442155147384E-2</v>
      </c>
      <c r="D4528" s="1">
        <v>292409.19729242218</v>
      </c>
      <c r="E4528" s="1">
        <v>11324606</v>
      </c>
      <c r="F4528" s="1">
        <v>39304559</v>
      </c>
      <c r="G4528" s="16">
        <v>25230.761302802959</v>
      </c>
      <c r="H4528">
        <v>135.34</v>
      </c>
      <c r="I4528" s="1">
        <v>412.84000000000003</v>
      </c>
      <c r="J4528" s="16">
        <v>317639.95859522512</v>
      </c>
      <c r="K4528" s="5">
        <v>-6.6058380728550775E-2</v>
      </c>
      <c r="L4528" s="10">
        <v>-346320.18150000001</v>
      </c>
    </row>
    <row r="4529" spans="1:12" x14ac:dyDescent="0.25">
      <c r="A4529">
        <v>4528</v>
      </c>
      <c r="B4529" s="3">
        <v>0.17530939535273721</v>
      </c>
      <c r="C4529" s="3">
        <v>5.6765880511231409E-2</v>
      </c>
      <c r="D4529" s="1">
        <v>531559.43553807854</v>
      </c>
      <c r="E4529" s="1">
        <v>26079504</v>
      </c>
      <c r="F4529" s="1">
        <v>79257651</v>
      </c>
      <c r="G4529" s="16">
        <v>15465.860754755378</v>
      </c>
      <c r="H4529">
        <v>73.94</v>
      </c>
      <c r="I4529" s="1">
        <v>248.71</v>
      </c>
      <c r="J4529" s="16">
        <v>547025.29629283387</v>
      </c>
      <c r="K4529" s="5">
        <v>0.16017611823243022</v>
      </c>
      <c r="L4529" s="10">
        <v>1072970.3533999999</v>
      </c>
    </row>
    <row r="4530" spans="1:12" x14ac:dyDescent="0.25">
      <c r="A4530">
        <v>4529</v>
      </c>
      <c r="B4530" s="3">
        <v>0.20003314446656267</v>
      </c>
      <c r="C4530" s="3">
        <v>6.0321539564475959E-2</v>
      </c>
      <c r="D4530" s="1">
        <v>146505.15944250434</v>
      </c>
      <c r="E4530" s="1">
        <v>6695259</v>
      </c>
      <c r="F4530" s="1">
        <v>22231286</v>
      </c>
      <c r="G4530" s="16">
        <v>26572.803395323303</v>
      </c>
      <c r="H4530">
        <v>190.79</v>
      </c>
      <c r="I4530" s="1">
        <v>592.88</v>
      </c>
      <c r="J4530" s="16">
        <v>173077.96283782765</v>
      </c>
      <c r="K4530" s="5">
        <v>7.7264313805744972E-2</v>
      </c>
      <c r="L4530" s="10">
        <v>183241.22010000001</v>
      </c>
    </row>
    <row r="4531" spans="1:12" x14ac:dyDescent="0.25">
      <c r="A4531">
        <v>4530</v>
      </c>
      <c r="B4531" s="3">
        <v>0.17183224988955026</v>
      </c>
      <c r="C4531" s="3">
        <v>6.624584493235551E-2</v>
      </c>
      <c r="D4531" s="1">
        <v>88590.116396567842</v>
      </c>
      <c r="E4531" s="1">
        <v>2918996</v>
      </c>
      <c r="F4531" s="1">
        <v>17052177</v>
      </c>
      <c r="G4531" s="16">
        <v>25641.881396533921</v>
      </c>
      <c r="H4531">
        <v>144.36000000000001</v>
      </c>
      <c r="I4531" s="1">
        <v>588.45000000000005</v>
      </c>
      <c r="J4531" s="16">
        <v>114231.99779310176</v>
      </c>
      <c r="K4531" s="5">
        <v>0.26156675196271095</v>
      </c>
      <c r="L4531" s="10">
        <v>336827.88650000002</v>
      </c>
    </row>
    <row r="4532" spans="1:12" x14ac:dyDescent="0.25">
      <c r="A4532">
        <v>4531</v>
      </c>
      <c r="B4532" s="3">
        <v>0.11136529854970065</v>
      </c>
      <c r="C4532" s="3">
        <v>6.6115450188135499E-2</v>
      </c>
      <c r="D4532" s="1">
        <v>59449.993967066679</v>
      </c>
      <c r="E4532" s="1">
        <v>1585568</v>
      </c>
      <c r="F4532" s="1">
        <v>12701964</v>
      </c>
      <c r="G4532" s="16">
        <v>12426.185052865019</v>
      </c>
      <c r="H4532">
        <v>33.71</v>
      </c>
      <c r="I4532" s="1">
        <v>161.97</v>
      </c>
      <c r="J4532" s="16">
        <v>71876.179019931704</v>
      </c>
      <c r="K4532" s="5">
        <v>-4.8297918103619851E-2</v>
      </c>
      <c r="L4532" s="10">
        <v>-27469.125899999999</v>
      </c>
    </row>
    <row r="4533" spans="1:12" x14ac:dyDescent="0.25">
      <c r="A4533">
        <v>4532</v>
      </c>
      <c r="B4533" s="3">
        <v>0.17992330540384271</v>
      </c>
      <c r="C4533" s="3">
        <v>3.2039222119768097E-2</v>
      </c>
      <c r="D4533" s="1">
        <v>81493.788831030732</v>
      </c>
      <c r="E4533" s="1">
        <v>3372174</v>
      </c>
      <c r="F4533" s="1">
        <v>22109326</v>
      </c>
      <c r="G4533" s="16">
        <v>32981.499463797511</v>
      </c>
      <c r="H4533">
        <v>199</v>
      </c>
      <c r="I4533" s="1">
        <v>745.51</v>
      </c>
      <c r="J4533" s="16">
        <v>114475.28829482823</v>
      </c>
      <c r="K4533" s="5">
        <v>0.11589789729948338</v>
      </c>
      <c r="L4533" s="10">
        <v>393434.24709999998</v>
      </c>
    </row>
    <row r="4534" spans="1:12" x14ac:dyDescent="0.25">
      <c r="A4534">
        <v>4533</v>
      </c>
      <c r="B4534" s="3">
        <v>0.12200912028399201</v>
      </c>
      <c r="C4534" s="3">
        <v>7.3675195801602214E-2</v>
      </c>
      <c r="D4534" s="1">
        <v>98082.893452998338</v>
      </c>
      <c r="E4534" s="1">
        <v>3089129</v>
      </c>
      <c r="F4534" s="1">
        <v>22187803</v>
      </c>
      <c r="G4534" s="16">
        <v>36294.033631104205</v>
      </c>
      <c r="H4534">
        <v>119.26</v>
      </c>
      <c r="I4534" s="1">
        <v>380.61</v>
      </c>
      <c r="J4534" s="16">
        <v>134376.92708410253</v>
      </c>
      <c r="K4534" s="5">
        <v>7.4524078718980105E-2</v>
      </c>
      <c r="L4534" s="10">
        <v>104478.5284</v>
      </c>
    </row>
    <row r="4535" spans="1:12" x14ac:dyDescent="0.25">
      <c r="A4535">
        <v>4534</v>
      </c>
      <c r="B4535" s="3">
        <v>0.20222226129370535</v>
      </c>
      <c r="C4535" s="3">
        <v>2.6983178157785455E-2</v>
      </c>
      <c r="D4535" s="1">
        <v>136115.07845363161</v>
      </c>
      <c r="E4535" s="1">
        <v>6288997</v>
      </c>
      <c r="F4535" s="1">
        <v>22713447</v>
      </c>
      <c r="G4535" s="16">
        <v>35843.284402543963</v>
      </c>
      <c r="H4535">
        <v>262.26</v>
      </c>
      <c r="I4535" s="1">
        <v>732.8599999999999</v>
      </c>
      <c r="J4535" s="16">
        <v>171958.36285617558</v>
      </c>
      <c r="K4535" s="5">
        <v>5.6790954312658758E-2</v>
      </c>
      <c r="L4535" s="10">
        <v>323947.58010000002</v>
      </c>
    </row>
    <row r="4536" spans="1:12" x14ac:dyDescent="0.25">
      <c r="A4536">
        <v>4535</v>
      </c>
      <c r="B4536" s="3">
        <v>0.12923467840646383</v>
      </c>
      <c r="C4536" s="3">
        <v>2.6366095857676821E-2</v>
      </c>
      <c r="D4536" s="1">
        <v>122798.93798356847</v>
      </c>
      <c r="E4536" s="1">
        <v>3997541</v>
      </c>
      <c r="F4536" s="1">
        <v>21885933</v>
      </c>
      <c r="G4536" s="16">
        <v>16723.071590634096</v>
      </c>
      <c r="H4536">
        <v>57.7</v>
      </c>
      <c r="I4536" s="1">
        <v>244.91999999999996</v>
      </c>
      <c r="J4536" s="16">
        <v>139522.00957420256</v>
      </c>
      <c r="K4536" s="5">
        <v>3.744608109386232E-2</v>
      </c>
      <c r="L4536" s="10">
        <v>222755.72260000001</v>
      </c>
    </row>
    <row r="4537" spans="1:12" x14ac:dyDescent="0.25">
      <c r="A4537">
        <v>4536</v>
      </c>
      <c r="B4537" s="3">
        <v>0.24932705696021865</v>
      </c>
      <c r="C4537" s="3">
        <v>3.9384372290199518E-2</v>
      </c>
      <c r="D4537" s="1">
        <v>36778.705048017859</v>
      </c>
      <c r="E4537" s="1">
        <v>1221513</v>
      </c>
      <c r="F4537" s="1">
        <v>9481713</v>
      </c>
      <c r="G4537" s="16">
        <v>28317.10459653203</v>
      </c>
      <c r="H4537">
        <v>316.5</v>
      </c>
      <c r="I4537" s="1">
        <v>749.83</v>
      </c>
      <c r="J4537" s="16">
        <v>65095.809644549889</v>
      </c>
      <c r="K4537" s="5">
        <v>-5.1668327549709361E-3</v>
      </c>
      <c r="L4537" s="10">
        <v>6996.4790000000003</v>
      </c>
    </row>
    <row r="4538" spans="1:12" x14ac:dyDescent="0.25">
      <c r="A4538">
        <v>4537</v>
      </c>
      <c r="B4538" s="3">
        <v>0.21913523875584848</v>
      </c>
      <c r="C4538" s="3">
        <v>7.5677803277794012E-2</v>
      </c>
      <c r="D4538" s="1">
        <v>78108.3578685752</v>
      </c>
      <c r="E4538" s="1">
        <v>3931848</v>
      </c>
      <c r="F4538" s="1">
        <v>29198982</v>
      </c>
      <c r="G4538" s="16">
        <v>34738.207324623632</v>
      </c>
      <c r="H4538">
        <v>378.15</v>
      </c>
      <c r="I4538" s="1">
        <v>1037.1100000000001</v>
      </c>
      <c r="J4538" s="16">
        <v>112846.56519319882</v>
      </c>
      <c r="K4538" s="5">
        <v>9.152976397783863E-2</v>
      </c>
      <c r="L4538" s="10">
        <v>118472.26820000001</v>
      </c>
    </row>
    <row r="4539" spans="1:12" x14ac:dyDescent="0.25">
      <c r="A4539">
        <v>4538</v>
      </c>
      <c r="B4539" s="3">
        <v>0.12276752907974878</v>
      </c>
      <c r="C4539" s="3">
        <v>3.0453076367227116E-2</v>
      </c>
      <c r="D4539" s="1">
        <v>127123.23563737156</v>
      </c>
      <c r="E4539" s="1">
        <v>3524385</v>
      </c>
      <c r="F4539" s="1">
        <v>18509706</v>
      </c>
      <c r="G4539" s="16">
        <v>13330.276221851333</v>
      </c>
      <c r="H4539">
        <v>38.64</v>
      </c>
      <c r="I4539" s="1">
        <v>156.94</v>
      </c>
      <c r="J4539" s="16">
        <v>140453.5118592229</v>
      </c>
      <c r="K4539" s="5">
        <v>0.10525324964025848</v>
      </c>
      <c r="L4539" s="10">
        <v>414657.5356</v>
      </c>
    </row>
    <row r="4540" spans="1:12" x14ac:dyDescent="0.25">
      <c r="A4540">
        <v>4539</v>
      </c>
      <c r="B4540" s="3">
        <v>0.19267185201319326</v>
      </c>
      <c r="C4540" s="3">
        <v>3.463002653450814E-2</v>
      </c>
      <c r="D4540" s="1">
        <v>44563.250277157313</v>
      </c>
      <c r="E4540" s="1">
        <v>1279617</v>
      </c>
      <c r="F4540" s="1">
        <v>8547050</v>
      </c>
      <c r="G4540" s="16">
        <v>33909.476315722975</v>
      </c>
      <c r="H4540">
        <v>228.19</v>
      </c>
      <c r="I4540" s="1">
        <v>693.97</v>
      </c>
      <c r="J4540" s="16">
        <v>78472.726592880295</v>
      </c>
      <c r="K4540" s="5">
        <v>4.6385654421445897E-2</v>
      </c>
      <c r="L4540" s="10">
        <v>91563.354500000001</v>
      </c>
    </row>
    <row r="4541" spans="1:12" x14ac:dyDescent="0.25">
      <c r="A4541">
        <v>4540</v>
      </c>
      <c r="B4541" s="3">
        <v>0.11232609660409536</v>
      </c>
      <c r="C4541" s="3">
        <v>5.3552386183615713E-2</v>
      </c>
      <c r="D4541" s="1">
        <v>154564.75217978127</v>
      </c>
      <c r="E4541" s="1">
        <v>4659073</v>
      </c>
      <c r="F4541" s="1">
        <v>27961875</v>
      </c>
      <c r="G4541" s="16">
        <v>47655.137786128253</v>
      </c>
      <c r="H4541">
        <v>165.28</v>
      </c>
      <c r="I4541" s="1">
        <v>490.06000000000006</v>
      </c>
      <c r="J4541" s="16">
        <v>202219.88996590953</v>
      </c>
      <c r="K4541" s="5">
        <v>0.15330709676862936</v>
      </c>
      <c r="L4541" s="10">
        <v>420805.01770000003</v>
      </c>
    </row>
    <row r="4542" spans="1:12" x14ac:dyDescent="0.25">
      <c r="A4542">
        <v>4541</v>
      </c>
      <c r="B4542" s="3">
        <v>0.1334094199062015</v>
      </c>
      <c r="C4542" s="3">
        <v>3.3928441292364442E-2</v>
      </c>
      <c r="D4542" s="1">
        <v>75830.967205775436</v>
      </c>
      <c r="E4542" s="1">
        <v>2180762</v>
      </c>
      <c r="F4542" s="1">
        <v>12749413</v>
      </c>
      <c r="G4542" s="16">
        <v>47605.086678440523</v>
      </c>
      <c r="H4542">
        <v>195.36</v>
      </c>
      <c r="I4542" s="1">
        <v>585.77</v>
      </c>
      <c r="J4542" s="16">
        <v>123436.05388421596</v>
      </c>
      <c r="K4542" s="5">
        <v>0.27329702120208155</v>
      </c>
      <c r="L4542" s="10">
        <v>821424.85060000001</v>
      </c>
    </row>
    <row r="4543" spans="1:12" x14ac:dyDescent="0.25">
      <c r="A4543">
        <v>4542</v>
      </c>
      <c r="B4543" s="3">
        <v>0.2102264410814976</v>
      </c>
      <c r="C4543" s="3">
        <v>5.8750962274259008E-2</v>
      </c>
      <c r="D4543" s="1">
        <v>169549.88777453278</v>
      </c>
      <c r="E4543" s="1">
        <v>8156235</v>
      </c>
      <c r="F4543" s="1">
        <v>28025566</v>
      </c>
      <c r="G4543" s="16">
        <v>23414.187018439265</v>
      </c>
      <c r="H4543">
        <v>232.5</v>
      </c>
      <c r="I4543" s="1">
        <v>830.06</v>
      </c>
      <c r="J4543" s="16">
        <v>192964.07479297204</v>
      </c>
      <c r="K4543" s="5">
        <v>-7.6193221112487823E-3</v>
      </c>
      <c r="L4543" s="10">
        <v>-20083.686000000002</v>
      </c>
    </row>
    <row r="4544" spans="1:12" x14ac:dyDescent="0.25">
      <c r="A4544">
        <v>4543</v>
      </c>
      <c r="B4544" s="3">
        <v>0.14528358133738142</v>
      </c>
      <c r="C4544" s="3">
        <v>5.3187664245557237E-2</v>
      </c>
      <c r="D4544" s="1">
        <v>300748.42913400562</v>
      </c>
      <c r="E4544" s="1">
        <v>12339455</v>
      </c>
      <c r="F4544" s="1">
        <v>47677456</v>
      </c>
      <c r="G4544" s="16">
        <v>33505.00188491321</v>
      </c>
      <c r="H4544">
        <v>151.30000000000001</v>
      </c>
      <c r="I4544" s="1">
        <v>501.90000000000003</v>
      </c>
      <c r="J4544" s="16">
        <v>334253.43101891881</v>
      </c>
      <c r="K4544" s="5">
        <v>-1.5840041516234273E-2</v>
      </c>
      <c r="L4544" s="10">
        <v>-35357.455800000003</v>
      </c>
    </row>
    <row r="4545" spans="1:12" x14ac:dyDescent="0.25">
      <c r="A4545">
        <v>4544</v>
      </c>
      <c r="B4545" s="3">
        <v>0.23618664398636902</v>
      </c>
      <c r="C4545" s="3">
        <v>5.8082972094000124E-2</v>
      </c>
      <c r="D4545" s="1">
        <v>46989.222111279218</v>
      </c>
      <c r="E4545" s="1">
        <v>1973512</v>
      </c>
      <c r="F4545" s="1">
        <v>16125974</v>
      </c>
      <c r="G4545" s="16">
        <v>12848.526501698589</v>
      </c>
      <c r="H4545">
        <v>127.37</v>
      </c>
      <c r="I4545" s="1">
        <v>434.76</v>
      </c>
      <c r="J4545" s="16">
        <v>59837.748612977804</v>
      </c>
      <c r="K4545" s="5">
        <v>7.8256251288360695E-3</v>
      </c>
      <c r="L4545" s="10">
        <v>14558.226699999999</v>
      </c>
    </row>
    <row r="4546" spans="1:12" x14ac:dyDescent="0.25">
      <c r="A4546">
        <v>4545</v>
      </c>
      <c r="B4546" s="3">
        <v>0.1790012367748397</v>
      </c>
      <c r="C4546" s="3">
        <v>3.9524345593611426E-2</v>
      </c>
      <c r="D4546" s="1">
        <v>50413.6930159986</v>
      </c>
      <c r="E4546" s="1">
        <v>1399802</v>
      </c>
      <c r="F4546" s="1">
        <v>10245573</v>
      </c>
      <c r="G4546" s="16">
        <v>22494.779432801857</v>
      </c>
      <c r="H4546">
        <v>134.44</v>
      </c>
      <c r="I4546" s="1">
        <v>453.54</v>
      </c>
      <c r="J4546" s="16">
        <v>72908.472448800458</v>
      </c>
      <c r="K4546" s="5">
        <v>5.455785607290909E-2</v>
      </c>
      <c r="L4546" s="10">
        <v>110767.2663</v>
      </c>
    </row>
    <row r="4547" spans="1:12" x14ac:dyDescent="0.25">
      <c r="A4547">
        <v>4546</v>
      </c>
      <c r="B4547" s="3">
        <v>0.12662475374934276</v>
      </c>
      <c r="C4547" s="3">
        <v>2.7368151988349319E-2</v>
      </c>
      <c r="D4547" s="1">
        <v>191163.94068064843</v>
      </c>
      <c r="E4547" s="1">
        <v>5370394</v>
      </c>
      <c r="F4547" s="1">
        <v>20869795</v>
      </c>
      <c r="G4547" s="16">
        <v>48838.557879212261</v>
      </c>
      <c r="H4547">
        <v>189.55</v>
      </c>
      <c r="I4547" s="1">
        <v>765.92000000000007</v>
      </c>
      <c r="J4547" s="16">
        <v>240002.49855986069</v>
      </c>
      <c r="K4547" s="5">
        <v>4.1862491160861277E-2</v>
      </c>
      <c r="L4547" s="10">
        <v>326351.15639999998</v>
      </c>
    </row>
    <row r="4548" spans="1:12" x14ac:dyDescent="0.25">
      <c r="A4548">
        <v>4547</v>
      </c>
      <c r="B4548" s="3">
        <v>0.15472174999909427</v>
      </c>
      <c r="C4548" s="3">
        <v>5.9640635817348603E-2</v>
      </c>
      <c r="D4548" s="1">
        <v>208177.27351928488</v>
      </c>
      <c r="E4548" s="1">
        <v>7632002</v>
      </c>
      <c r="F4548" s="1">
        <v>27332660</v>
      </c>
      <c r="G4548" s="16">
        <v>32484.274527204456</v>
      </c>
      <c r="H4548">
        <v>158.37</v>
      </c>
      <c r="I4548" s="1">
        <v>514.16</v>
      </c>
      <c r="J4548" s="16">
        <v>240661.54804648933</v>
      </c>
      <c r="K4548" s="5">
        <v>0.11053324166709544</v>
      </c>
      <c r="L4548" s="10">
        <v>313183.77929999999</v>
      </c>
    </row>
    <row r="4549" spans="1:12" x14ac:dyDescent="0.25">
      <c r="A4549">
        <v>4548</v>
      </c>
      <c r="B4549" s="3">
        <v>0.22545442403893798</v>
      </c>
      <c r="C4549" s="3">
        <v>2.2072976126368479E-2</v>
      </c>
      <c r="D4549" s="1">
        <v>79995.178135873241</v>
      </c>
      <c r="E4549" s="1">
        <v>4159857</v>
      </c>
      <c r="F4549" s="1">
        <v>23166207</v>
      </c>
      <c r="G4549" s="16">
        <v>12063.095351951515</v>
      </c>
      <c r="H4549">
        <v>83.84</v>
      </c>
      <c r="I4549" s="1">
        <v>238.59</v>
      </c>
      <c r="J4549" s="16">
        <v>92058.273487824757</v>
      </c>
      <c r="K4549" s="5">
        <v>-5.3528387350867609E-3</v>
      </c>
      <c r="L4549" s="10">
        <v>17136.213400000001</v>
      </c>
    </row>
    <row r="4550" spans="1:12" x14ac:dyDescent="0.25">
      <c r="A4550">
        <v>4549</v>
      </c>
      <c r="B4550" s="3">
        <v>0.16500836435815927</v>
      </c>
      <c r="C4550" s="3">
        <v>7.8724035758898733E-2</v>
      </c>
      <c r="D4550" s="1">
        <v>88465.978740563005</v>
      </c>
      <c r="E4550" s="1">
        <v>2844021</v>
      </c>
      <c r="F4550" s="1">
        <v>18222350</v>
      </c>
      <c r="G4550" s="16">
        <v>23745.469022125752</v>
      </c>
      <c r="H4550">
        <v>105.3</v>
      </c>
      <c r="I4550" s="1">
        <v>355.57</v>
      </c>
      <c r="J4550" s="16">
        <v>112211.44776268875</v>
      </c>
      <c r="K4550" s="5">
        <v>5.7598374260817771E-2</v>
      </c>
      <c r="L4550" s="10">
        <v>73812.951499999996</v>
      </c>
    </row>
    <row r="4551" spans="1:12" x14ac:dyDescent="0.25">
      <c r="A4551">
        <v>4550</v>
      </c>
      <c r="B4551" s="3">
        <v>0.18758039131737275</v>
      </c>
      <c r="C4551" s="3">
        <v>2.736336375198006E-2</v>
      </c>
      <c r="D4551" s="1">
        <v>139848.81770966371</v>
      </c>
      <c r="E4551" s="1">
        <v>6008148</v>
      </c>
      <c r="F4551" s="1">
        <v>29641579</v>
      </c>
      <c r="G4551" s="16">
        <v>40004.520475966885</v>
      </c>
      <c r="H4551">
        <v>317.27</v>
      </c>
      <c r="I4551" s="1">
        <v>1047.3600000000001</v>
      </c>
      <c r="J4551" s="16">
        <v>179853.33818563059</v>
      </c>
      <c r="K4551" s="5">
        <v>3.6125796525079565E-2</v>
      </c>
      <c r="L4551" s="10">
        <v>190860.2648</v>
      </c>
    </row>
    <row r="4552" spans="1:12" x14ac:dyDescent="0.25">
      <c r="A4552">
        <v>4551</v>
      </c>
      <c r="B4552" s="3">
        <v>0.22152962787793229</v>
      </c>
      <c r="C4552" s="3">
        <v>5.572640672676768E-2</v>
      </c>
      <c r="D4552" s="1">
        <v>52814.013013838579</v>
      </c>
      <c r="E4552" s="1">
        <v>2095201</v>
      </c>
      <c r="F4552" s="1">
        <v>11318064</v>
      </c>
      <c r="G4552" s="16">
        <v>34127.139786476335</v>
      </c>
      <c r="H4552">
        <v>296.74</v>
      </c>
      <c r="I4552" s="1">
        <v>718.57</v>
      </c>
      <c r="J4552" s="16">
        <v>86941.152800314914</v>
      </c>
      <c r="K4552" s="5">
        <v>0.2579242571507942</v>
      </c>
      <c r="L4552" s="10">
        <v>288539.5001</v>
      </c>
    </row>
    <row r="4553" spans="1:12" x14ac:dyDescent="0.25">
      <c r="A4553">
        <v>4552</v>
      </c>
      <c r="B4553" s="3">
        <v>0.1814337536589799</v>
      </c>
      <c r="C4553" s="3">
        <v>6.1045898165865378E-2</v>
      </c>
      <c r="D4553" s="1">
        <v>241222.84111119018</v>
      </c>
      <c r="E4553" s="1">
        <v>10055550</v>
      </c>
      <c r="F4553" s="1">
        <v>34851295</v>
      </c>
      <c r="G4553" s="16">
        <v>38499.443342763654</v>
      </c>
      <c r="H4553">
        <v>235.33</v>
      </c>
      <c r="I4553" s="1">
        <v>676.93</v>
      </c>
      <c r="J4553" s="16">
        <v>279722.28445395385</v>
      </c>
      <c r="K4553" s="5">
        <v>0.13440403887892399</v>
      </c>
      <c r="L4553" s="10">
        <v>421182.2867</v>
      </c>
    </row>
    <row r="4554" spans="1:12" x14ac:dyDescent="0.25">
      <c r="A4554">
        <v>4553</v>
      </c>
      <c r="B4554" s="3">
        <v>0.18311849944697683</v>
      </c>
      <c r="C4554" s="3">
        <v>5.4837752535655843E-2</v>
      </c>
      <c r="D4554" s="1">
        <v>166201.6886745668</v>
      </c>
      <c r="E4554" s="1">
        <v>6985561</v>
      </c>
      <c r="F4554" s="1">
        <v>33275940</v>
      </c>
      <c r="G4554" s="16">
        <v>15081.256586319851</v>
      </c>
      <c r="H4554">
        <v>76.37</v>
      </c>
      <c r="I4554" s="1">
        <v>270.32000000000005</v>
      </c>
      <c r="J4554" s="16">
        <v>181282.94526088666</v>
      </c>
      <c r="K4554" s="5">
        <v>9.6924351787842408E-2</v>
      </c>
      <c r="L4554" s="10">
        <v>248097.00899999999</v>
      </c>
    </row>
    <row r="4555" spans="1:12" x14ac:dyDescent="0.25">
      <c r="A4555">
        <v>4554</v>
      </c>
      <c r="B4555" s="3">
        <v>0.24679777952892615</v>
      </c>
      <c r="C4555" s="3">
        <v>7.3316672208092376E-2</v>
      </c>
      <c r="D4555" s="1">
        <v>42714.575498237624</v>
      </c>
      <c r="E4555" s="1">
        <v>1870872</v>
      </c>
      <c r="F4555" s="1">
        <v>12394235</v>
      </c>
      <c r="G4555" s="16">
        <v>20700.163333482156</v>
      </c>
      <c r="H4555">
        <v>226.7</v>
      </c>
      <c r="I4555" s="1">
        <v>651</v>
      </c>
      <c r="J4555" s="16">
        <v>63414.738831719776</v>
      </c>
      <c r="K4555" s="5">
        <v>0.26931970081189388</v>
      </c>
      <c r="L4555" s="10">
        <v>162008.24470000001</v>
      </c>
    </row>
    <row r="4556" spans="1:12" x14ac:dyDescent="0.25">
      <c r="A4556">
        <v>4555</v>
      </c>
      <c r="B4556" s="3">
        <v>0.10300829599200406</v>
      </c>
      <c r="C4556" s="3">
        <v>5.8713596888971722E-2</v>
      </c>
      <c r="D4556" s="1">
        <v>231032.20262371239</v>
      </c>
      <c r="E4556" s="1">
        <v>6679153</v>
      </c>
      <c r="F4556" s="1">
        <v>22200216</v>
      </c>
      <c r="G4556" s="16">
        <v>37938.462849176511</v>
      </c>
      <c r="H4556">
        <v>122.22</v>
      </c>
      <c r="I4556" s="1">
        <v>429.96000000000004</v>
      </c>
      <c r="J4556" s="16">
        <v>268970.66547288891</v>
      </c>
      <c r="K4556" s="5">
        <v>6.8235410588166859E-2</v>
      </c>
      <c r="L4556" s="10">
        <v>221925.0625</v>
      </c>
    </row>
    <row r="4557" spans="1:12" x14ac:dyDescent="0.25">
      <c r="A4557">
        <v>4556</v>
      </c>
      <c r="B4557" s="3">
        <v>0.2418953756817511</v>
      </c>
      <c r="C4557" s="3">
        <v>7.9099323111049835E-2</v>
      </c>
      <c r="D4557" s="1">
        <v>88558.566943159094</v>
      </c>
      <c r="E4557" s="1">
        <v>5017838</v>
      </c>
      <c r="F4557" s="1">
        <v>29951850</v>
      </c>
      <c r="G4557" s="16">
        <v>9546.4515045993703</v>
      </c>
      <c r="H4557">
        <v>75.569999999999993</v>
      </c>
      <c r="I4557" s="1">
        <v>262.65999999999997</v>
      </c>
      <c r="J4557" s="16">
        <v>98105.01844775847</v>
      </c>
      <c r="K4557" s="5">
        <v>0.25873898595520617</v>
      </c>
      <c r="L4557" s="10">
        <v>224748.9846</v>
      </c>
    </row>
    <row r="4558" spans="1:12" x14ac:dyDescent="0.25">
      <c r="A4558">
        <v>4557</v>
      </c>
      <c r="B4558" s="3">
        <v>0.18784181537341538</v>
      </c>
      <c r="C4558" s="3">
        <v>2.060907508857665E-2</v>
      </c>
      <c r="D4558" s="1">
        <v>287198.57844391034</v>
      </c>
      <c r="E4558" s="1">
        <v>12354427</v>
      </c>
      <c r="F4558" s="1">
        <v>35587529</v>
      </c>
      <c r="G4558" s="16">
        <v>46855.73071265906</v>
      </c>
      <c r="H4558">
        <v>302.14</v>
      </c>
      <c r="I4558" s="1">
        <v>735.07999999999993</v>
      </c>
      <c r="J4558" s="16">
        <v>334054.30915656942</v>
      </c>
      <c r="K4558" s="5">
        <v>-1.9774569082303475E-3</v>
      </c>
      <c r="L4558" s="10">
        <v>-27423.0131</v>
      </c>
    </row>
    <row r="4559" spans="1:12" x14ac:dyDescent="0.25">
      <c r="A4559">
        <v>4558</v>
      </c>
      <c r="B4559" s="3">
        <v>0.14518085968732042</v>
      </c>
      <c r="C4559" s="3">
        <v>4.7688802613012032E-2</v>
      </c>
      <c r="D4559" s="1">
        <v>85626.86935970241</v>
      </c>
      <c r="E4559" s="1">
        <v>2565612</v>
      </c>
      <c r="F4559" s="1">
        <v>12202352</v>
      </c>
      <c r="G4559" s="16">
        <v>19638.836421414155</v>
      </c>
      <c r="H4559">
        <v>75.790000000000006</v>
      </c>
      <c r="I4559" s="1">
        <v>226.5</v>
      </c>
      <c r="J4559" s="16">
        <v>105265.70578111656</v>
      </c>
      <c r="K4559" s="5">
        <v>0.20067874280540324</v>
      </c>
      <c r="L4559" s="10">
        <v>345780.41690000001</v>
      </c>
    </row>
    <row r="4560" spans="1:12" x14ac:dyDescent="0.25">
      <c r="A4560">
        <v>4559</v>
      </c>
      <c r="B4560" s="3">
        <v>0.241965397250649</v>
      </c>
      <c r="C4560" s="3">
        <v>4.7704458690013204E-2</v>
      </c>
      <c r="D4560" s="1">
        <v>210423.66049404143</v>
      </c>
      <c r="E4560" s="1">
        <v>15734480</v>
      </c>
      <c r="F4560" s="1">
        <v>53260412</v>
      </c>
      <c r="G4560" s="16">
        <v>14213.684433535658</v>
      </c>
      <c r="H4560">
        <v>112.86</v>
      </c>
      <c r="I4560" s="1">
        <v>382.52000000000004</v>
      </c>
      <c r="J4560" s="16">
        <v>224637.34492757707</v>
      </c>
      <c r="K4560" s="5">
        <v>0.2176994177839594</v>
      </c>
      <c r="L4560" s="10">
        <v>799492.87340000004</v>
      </c>
    </row>
    <row r="4561" spans="1:12" x14ac:dyDescent="0.25">
      <c r="A4561">
        <v>4560</v>
      </c>
      <c r="B4561" s="3">
        <v>0.22015882374540685</v>
      </c>
      <c r="C4561" s="3">
        <v>6.2364497317555917E-2</v>
      </c>
      <c r="D4561" s="1">
        <v>129470.84082168895</v>
      </c>
      <c r="E4561" s="1">
        <v>6551646</v>
      </c>
      <c r="F4561" s="1">
        <v>22999580</v>
      </c>
      <c r="G4561" s="16">
        <v>28574.303985141407</v>
      </c>
      <c r="H4561">
        <v>314.73</v>
      </c>
      <c r="I4561" s="1">
        <v>949.15000000000009</v>
      </c>
      <c r="J4561" s="16">
        <v>158045.14480683036</v>
      </c>
      <c r="K4561" s="5">
        <v>0.12083266180019761</v>
      </c>
      <c r="L4561" s="10">
        <v>222037.5656</v>
      </c>
    </row>
    <row r="4562" spans="1:12" x14ac:dyDescent="0.25">
      <c r="A4562">
        <v>4561</v>
      </c>
      <c r="B4562" s="3">
        <v>0.22896780016423329</v>
      </c>
      <c r="C4562" s="3">
        <v>7.6036181561327937E-2</v>
      </c>
      <c r="D4562" s="1">
        <v>108013.26472131263</v>
      </c>
      <c r="E4562" s="1">
        <v>5719922</v>
      </c>
      <c r="F4562" s="1">
        <v>24413310</v>
      </c>
      <c r="G4562" s="16">
        <v>23729.707821889766</v>
      </c>
      <c r="H4562">
        <v>220.85</v>
      </c>
      <c r="I4562" s="1">
        <v>658.04</v>
      </c>
      <c r="J4562" s="16">
        <v>131742.9725432024</v>
      </c>
      <c r="K4562" s="5">
        <v>8.8005942138187757E-2</v>
      </c>
      <c r="L4562" s="10">
        <v>115939.2568</v>
      </c>
    </row>
    <row r="4563" spans="1:12" x14ac:dyDescent="0.25">
      <c r="A4563">
        <v>4562</v>
      </c>
      <c r="B4563" s="3">
        <v>0.16998814817534214</v>
      </c>
      <c r="C4563" s="3">
        <v>2.3172354703163991E-2</v>
      </c>
      <c r="D4563" s="1">
        <v>129235.29773388516</v>
      </c>
      <c r="E4563" s="1">
        <v>4229914</v>
      </c>
      <c r="F4563" s="1">
        <v>16020464</v>
      </c>
      <c r="G4563" s="16">
        <v>14248.173266319751</v>
      </c>
      <c r="H4563">
        <v>65.510000000000005</v>
      </c>
      <c r="I4563" s="1">
        <v>259.37</v>
      </c>
      <c r="J4563" s="16">
        <v>143483.47100020491</v>
      </c>
      <c r="K4563" s="5">
        <v>5.7735478892005213E-2</v>
      </c>
      <c r="L4563" s="10">
        <v>311815.19679999998</v>
      </c>
    </row>
    <row r="4564" spans="1:12" x14ac:dyDescent="0.25">
      <c r="A4564">
        <v>4563</v>
      </c>
      <c r="B4564" s="3">
        <v>0.16788119386431105</v>
      </c>
      <c r="C4564" s="3">
        <v>6.5548042016169678E-2</v>
      </c>
      <c r="D4564" s="1">
        <v>76146.467816113101</v>
      </c>
      <c r="E4564" s="1">
        <v>2473413</v>
      </c>
      <c r="F4564" s="1">
        <v>19345955</v>
      </c>
      <c r="G4564" s="16">
        <v>37049.834636762025</v>
      </c>
      <c r="H4564">
        <v>242.76</v>
      </c>
      <c r="I4564" s="1">
        <v>768.25</v>
      </c>
      <c r="J4564" s="16">
        <v>113196.30245287513</v>
      </c>
      <c r="K4564" s="5">
        <v>0.16873671066028029</v>
      </c>
      <c r="L4564" s="10">
        <v>243813.54889999999</v>
      </c>
    </row>
    <row r="4565" spans="1:12" x14ac:dyDescent="0.25">
      <c r="A4565">
        <v>4564</v>
      </c>
      <c r="B4565" s="3">
        <v>0.13260993614370842</v>
      </c>
      <c r="C4565" s="3">
        <v>4.2894163980792509E-2</v>
      </c>
      <c r="D4565" s="1">
        <v>140965.5871250979</v>
      </c>
      <c r="E4565" s="1">
        <v>4042711</v>
      </c>
      <c r="F4565" s="1">
        <v>21352340</v>
      </c>
      <c r="G4565" s="16">
        <v>70950.879957255442</v>
      </c>
      <c r="H4565">
        <v>333.51</v>
      </c>
      <c r="I4565" s="1">
        <v>803.61</v>
      </c>
      <c r="J4565" s="16">
        <v>211916.46708235334</v>
      </c>
      <c r="K4565" s="5">
        <v>1.7159304884156096E-2</v>
      </c>
      <c r="L4565" s="10">
        <v>118352.2173</v>
      </c>
    </row>
    <row r="4566" spans="1:12" x14ac:dyDescent="0.25">
      <c r="A4566">
        <v>4565</v>
      </c>
      <c r="B4566" s="3">
        <v>0.13072619183101822</v>
      </c>
      <c r="C4566" s="3">
        <v>5.15334245815815E-2</v>
      </c>
      <c r="D4566" s="1">
        <v>94386.696893457469</v>
      </c>
      <c r="E4566" s="1">
        <v>2689328</v>
      </c>
      <c r="F4566" s="1">
        <v>12581999</v>
      </c>
      <c r="G4566" s="16">
        <v>26840.24316651222</v>
      </c>
      <c r="H4566">
        <v>93.61</v>
      </c>
      <c r="I4566" s="1">
        <v>291.11</v>
      </c>
      <c r="J4566" s="16">
        <v>121226.9400599697</v>
      </c>
      <c r="K4566" s="5">
        <v>0.26706892271096228</v>
      </c>
      <c r="L4566" s="10">
        <v>455119.46620000002</v>
      </c>
    </row>
    <row r="4567" spans="1:12" x14ac:dyDescent="0.25">
      <c r="A4567">
        <v>4566</v>
      </c>
      <c r="B4567" s="3">
        <v>0.17775268756589438</v>
      </c>
      <c r="C4567" s="3">
        <v>5.3522224301218335E-2</v>
      </c>
      <c r="D4567" s="1">
        <v>93467.202370708081</v>
      </c>
      <c r="E4567" s="1">
        <v>3146694</v>
      </c>
      <c r="F4567" s="1">
        <v>14700572</v>
      </c>
      <c r="G4567" s="16">
        <v>15318.051290652107</v>
      </c>
      <c r="H4567">
        <v>74.489999999999995</v>
      </c>
      <c r="I4567" s="1">
        <v>221.13</v>
      </c>
      <c r="J4567" s="16">
        <v>108785.25366136018</v>
      </c>
      <c r="K4567" s="5">
        <v>0.10677968499022183</v>
      </c>
      <c r="L4567" s="10">
        <v>163337.8547</v>
      </c>
    </row>
    <row r="4568" spans="1:12" x14ac:dyDescent="0.25">
      <c r="A4568">
        <v>4567</v>
      </c>
      <c r="B4568" s="3">
        <v>0.21482947536502178</v>
      </c>
      <c r="C4568" s="3">
        <v>5.9961482636680233E-2</v>
      </c>
      <c r="D4568" s="1">
        <v>88484.526433751715</v>
      </c>
      <c r="E4568" s="1">
        <v>3421196</v>
      </c>
      <c r="F4568" s="1">
        <v>14586481</v>
      </c>
      <c r="G4568" s="16">
        <v>24313.50397799757</v>
      </c>
      <c r="H4568">
        <v>199.05</v>
      </c>
      <c r="I4568" s="1">
        <v>484.3</v>
      </c>
      <c r="J4568" s="16">
        <v>112798.03041174929</v>
      </c>
      <c r="K4568" s="5">
        <v>0.14245584656179966</v>
      </c>
      <c r="L4568" s="10">
        <v>189012.29519999999</v>
      </c>
    </row>
    <row r="4569" spans="1:12" x14ac:dyDescent="0.25">
      <c r="A4569">
        <v>4568</v>
      </c>
      <c r="B4569" s="3">
        <v>0.18871182364038275</v>
      </c>
      <c r="C4569" s="3">
        <v>2.2870914370875933E-2</v>
      </c>
      <c r="D4569" s="1">
        <v>101673.18054043289</v>
      </c>
      <c r="E4569" s="1">
        <v>4392473</v>
      </c>
      <c r="F4569" s="1">
        <v>27371675</v>
      </c>
      <c r="G4569" s="16">
        <v>23195.51964677389</v>
      </c>
      <c r="H4569">
        <v>122.28</v>
      </c>
      <c r="I4569" s="1">
        <v>313.94</v>
      </c>
      <c r="J4569" s="16">
        <v>124868.70018720678</v>
      </c>
      <c r="K4569" s="5">
        <v>9.2802165599397232E-2</v>
      </c>
      <c r="L4569" s="10">
        <v>497764.1557</v>
      </c>
    </row>
    <row r="4570" spans="1:12" x14ac:dyDescent="0.25">
      <c r="A4570">
        <v>4569</v>
      </c>
      <c r="B4570" s="3">
        <v>0.24701032006847259</v>
      </c>
      <c r="C4570" s="3">
        <v>3.4128732756980376E-2</v>
      </c>
      <c r="D4570" s="1">
        <v>126897.85446916656</v>
      </c>
      <c r="E4570" s="1">
        <v>5562761</v>
      </c>
      <c r="F4570" s="1">
        <v>19080413</v>
      </c>
      <c r="G4570" s="16">
        <v>15725.800553554758</v>
      </c>
      <c r="H4570">
        <v>172.35</v>
      </c>
      <c r="I4570" s="1">
        <v>474.23</v>
      </c>
      <c r="J4570" s="16">
        <v>142623.65502272133</v>
      </c>
      <c r="K4570" s="5">
        <v>3.5922137390937414E-3</v>
      </c>
      <c r="L4570" s="10">
        <v>52748.870300000002</v>
      </c>
    </row>
    <row r="4571" spans="1:12" x14ac:dyDescent="0.25">
      <c r="A4571">
        <v>4570</v>
      </c>
      <c r="B4571" s="3">
        <v>0.14289866033269416</v>
      </c>
      <c r="C4571" s="3">
        <v>3.3141404603675026E-2</v>
      </c>
      <c r="D4571" s="1">
        <v>168469.27033151413</v>
      </c>
      <c r="E4571" s="1">
        <v>5007565</v>
      </c>
      <c r="F4571" s="1">
        <v>20625517</v>
      </c>
      <c r="G4571" s="16">
        <v>23720.310753256665</v>
      </c>
      <c r="H4571">
        <v>90.09</v>
      </c>
      <c r="I4571" s="1">
        <v>308.52000000000004</v>
      </c>
      <c r="J4571" s="16">
        <v>192189.58108477079</v>
      </c>
      <c r="K4571" s="5">
        <v>5.3046189438362541E-2</v>
      </c>
      <c r="L4571" s="10">
        <v>273757.68109999999</v>
      </c>
    </row>
    <row r="4572" spans="1:12" x14ac:dyDescent="0.25">
      <c r="A4572">
        <v>4571</v>
      </c>
      <c r="B4572" s="3">
        <v>0.24628275272978614</v>
      </c>
      <c r="C4572" s="3">
        <v>5.8852454209924604E-2</v>
      </c>
      <c r="D4572" s="1">
        <v>152780.24161465504</v>
      </c>
      <c r="E4572" s="1">
        <v>8860049</v>
      </c>
      <c r="F4572" s="1">
        <v>32663822</v>
      </c>
      <c r="G4572" s="16">
        <v>11762.715209430218</v>
      </c>
      <c r="H4572">
        <v>127.98</v>
      </c>
      <c r="I4572" s="1">
        <v>404.22</v>
      </c>
      <c r="J4572" s="16">
        <v>164542.95682408527</v>
      </c>
      <c r="K4572" s="5">
        <v>-1.9711571243598298E-2</v>
      </c>
      <c r="L4572" s="10">
        <v>-6678.2021999999997</v>
      </c>
    </row>
    <row r="4573" spans="1:12" x14ac:dyDescent="0.25">
      <c r="A4573">
        <v>4572</v>
      </c>
      <c r="B4573" s="3">
        <v>0.17108006689517111</v>
      </c>
      <c r="C4573" s="3">
        <v>5.5165876510389705E-2</v>
      </c>
      <c r="D4573" s="1">
        <v>58239.839320777755</v>
      </c>
      <c r="E4573" s="1">
        <v>1913747</v>
      </c>
      <c r="F4573" s="1">
        <v>11996992</v>
      </c>
      <c r="G4573" s="16">
        <v>87684.572759631279</v>
      </c>
      <c r="H4573">
        <v>592.51</v>
      </c>
      <c r="I4573" s="1">
        <v>1296.23</v>
      </c>
      <c r="J4573" s="16">
        <v>145924.41208040903</v>
      </c>
      <c r="K4573" s="5">
        <v>2.5391891552668459E-2</v>
      </c>
      <c r="L4573" s="10">
        <v>61625.486799999999</v>
      </c>
    </row>
    <row r="4574" spans="1:12" x14ac:dyDescent="0.25">
      <c r="A4574">
        <v>4573</v>
      </c>
      <c r="B4574" s="3">
        <v>0.16448027858043818</v>
      </c>
      <c r="C4574" s="3">
        <v>7.5968327560618179E-2</v>
      </c>
      <c r="D4574" s="1">
        <v>57653.827602436199</v>
      </c>
      <c r="E4574" s="1">
        <v>1849955</v>
      </c>
      <c r="F4574" s="1">
        <v>11007506</v>
      </c>
      <c r="G4574" s="16">
        <v>26974.226458567213</v>
      </c>
      <c r="H4574">
        <v>119.41</v>
      </c>
      <c r="I4574" s="1">
        <v>374.34</v>
      </c>
      <c r="J4574" s="16">
        <v>84628.054061003408</v>
      </c>
      <c r="K4574" s="5">
        <v>1.7326164434011589E-3</v>
      </c>
      <c r="L4574" s="10">
        <v>10385.848</v>
      </c>
    </row>
    <row r="4575" spans="1:12" x14ac:dyDescent="0.25">
      <c r="A4575">
        <v>4574</v>
      </c>
      <c r="B4575" s="3">
        <v>0.10589702531794727</v>
      </c>
      <c r="C4575" s="3">
        <v>3.8397901290176548E-2</v>
      </c>
      <c r="D4575" s="1">
        <v>360318.21654774377</v>
      </c>
      <c r="E4575" s="1">
        <v>11801878</v>
      </c>
      <c r="F4575" s="1">
        <v>47025109</v>
      </c>
      <c r="G4575" s="16">
        <v>52366.243615523919</v>
      </c>
      <c r="H4575">
        <v>172.59</v>
      </c>
      <c r="I4575" s="1">
        <v>434.75</v>
      </c>
      <c r="J4575" s="16">
        <v>412684.46016326768</v>
      </c>
      <c r="K4575" s="5">
        <v>-1.6503182551577844E-2</v>
      </c>
      <c r="L4575" s="10">
        <v>-114458.82279999999</v>
      </c>
    </row>
    <row r="4576" spans="1:12" x14ac:dyDescent="0.25">
      <c r="A4576">
        <v>4575</v>
      </c>
      <c r="B4576" s="3">
        <v>0.19362222017719849</v>
      </c>
      <c r="C4576" s="3">
        <v>7.4196660070311296E-2</v>
      </c>
      <c r="D4576" s="1">
        <v>53703.776935653252</v>
      </c>
      <c r="E4576" s="1">
        <v>1916868</v>
      </c>
      <c r="F4576" s="1">
        <v>14694266</v>
      </c>
      <c r="G4576" s="16">
        <v>28032.890552218916</v>
      </c>
      <c r="H4576">
        <v>190.52</v>
      </c>
      <c r="I4576" s="1">
        <v>647.91</v>
      </c>
      <c r="J4576" s="16">
        <v>81736.667487872168</v>
      </c>
      <c r="K4576" s="5">
        <v>0.12554076048975196</v>
      </c>
      <c r="L4576" s="10">
        <v>109082.64780000001</v>
      </c>
    </row>
    <row r="4577" spans="1:12" x14ac:dyDescent="0.25">
      <c r="A4577">
        <v>4576</v>
      </c>
      <c r="B4577" s="3">
        <v>0.11425288950282859</v>
      </c>
      <c r="C4577" s="3">
        <v>7.7465063030376646E-2</v>
      </c>
      <c r="D4577" s="1">
        <v>531943.11412146408</v>
      </c>
      <c r="E4577" s="1">
        <v>18260783</v>
      </c>
      <c r="F4577" s="1">
        <v>64689743</v>
      </c>
      <c r="G4577" s="16">
        <v>61068.15611763324</v>
      </c>
      <c r="H4577">
        <v>214.73</v>
      </c>
      <c r="I4577" s="1">
        <v>741.13000000000011</v>
      </c>
      <c r="J4577" s="16">
        <v>593011.2702390973</v>
      </c>
      <c r="K4577" s="5">
        <v>3.8296671439724185E-2</v>
      </c>
      <c r="L4577" s="10">
        <v>243562.4944</v>
      </c>
    </row>
    <row r="4578" spans="1:12" x14ac:dyDescent="0.25">
      <c r="A4578">
        <v>4577</v>
      </c>
      <c r="B4578" s="3">
        <v>0.2323956434075832</v>
      </c>
      <c r="C4578" s="3">
        <v>5.2443181640378117E-2</v>
      </c>
      <c r="D4578" s="1">
        <v>245632.69961455261</v>
      </c>
      <c r="E4578" s="1">
        <v>17250511</v>
      </c>
      <c r="F4578" s="1">
        <v>59524338</v>
      </c>
      <c r="G4578" s="16">
        <v>23357.084001609757</v>
      </c>
      <c r="H4578">
        <v>291.38</v>
      </c>
      <c r="I4578" s="1">
        <v>893.67</v>
      </c>
      <c r="J4578" s="16">
        <v>268989.78361616237</v>
      </c>
      <c r="K4578" s="5">
        <v>0.15549705910533168</v>
      </c>
      <c r="L4578" s="10">
        <v>636558.97730000003</v>
      </c>
    </row>
    <row r="4579" spans="1:12" x14ac:dyDescent="0.25">
      <c r="A4579">
        <v>4578</v>
      </c>
      <c r="B4579" s="3">
        <v>0.12789953886053404</v>
      </c>
      <c r="C4579" s="3">
        <v>3.3857678456845328E-2</v>
      </c>
      <c r="D4579" s="1">
        <v>263982.82104298082</v>
      </c>
      <c r="E4579" s="1">
        <v>8541071</v>
      </c>
      <c r="F4579" s="1">
        <v>41477200</v>
      </c>
      <c r="G4579" s="16">
        <v>67118.212567119292</v>
      </c>
      <c r="H4579">
        <v>301.83999999999997</v>
      </c>
      <c r="I4579" s="1">
        <v>873.81</v>
      </c>
      <c r="J4579" s="16">
        <v>331101.0336101001</v>
      </c>
      <c r="K4579" s="5">
        <v>0.15718378658409815</v>
      </c>
      <c r="L4579" s="10">
        <v>1282610.5116999999</v>
      </c>
    </row>
    <row r="4580" spans="1:12" x14ac:dyDescent="0.25">
      <c r="A4580">
        <v>4579</v>
      </c>
      <c r="B4580" s="3">
        <v>0.12672732361949093</v>
      </c>
      <c r="C4580" s="3">
        <v>2.1576663811246476E-2</v>
      </c>
      <c r="D4580" s="1">
        <v>106977.43746704953</v>
      </c>
      <c r="E4580" s="1">
        <v>3442667</v>
      </c>
      <c r="F4580" s="1">
        <v>23317544</v>
      </c>
      <c r="G4580" s="16">
        <v>30721.961423139805</v>
      </c>
      <c r="H4580">
        <v>104.38</v>
      </c>
      <c r="I4580" s="1">
        <v>335.93</v>
      </c>
      <c r="J4580" s="16">
        <v>137699.39889018933</v>
      </c>
      <c r="K4580" s="5">
        <v>0.15469499401996048</v>
      </c>
      <c r="L4580" s="10">
        <v>897489.7034</v>
      </c>
    </row>
    <row r="4581" spans="1:12" x14ac:dyDescent="0.25">
      <c r="A4581">
        <v>4580</v>
      </c>
      <c r="B4581" s="3">
        <v>0.15368712475599622</v>
      </c>
      <c r="C4581" s="3">
        <v>6.5026850511333903E-2</v>
      </c>
      <c r="D4581" s="1">
        <v>107740.83701869205</v>
      </c>
      <c r="E4581" s="1">
        <v>3326522</v>
      </c>
      <c r="F4581" s="1">
        <v>20991001</v>
      </c>
      <c r="G4581" s="16">
        <v>41934.346808832124</v>
      </c>
      <c r="H4581">
        <v>202.83</v>
      </c>
      <c r="I4581" s="1">
        <v>744.87000000000012</v>
      </c>
      <c r="J4581" s="16">
        <v>149675.18382752419</v>
      </c>
      <c r="K4581" s="5">
        <v>5.9647927575359097E-2</v>
      </c>
      <c r="L4581" s="10">
        <v>104370.0434</v>
      </c>
    </row>
    <row r="4582" spans="1:12" x14ac:dyDescent="0.25">
      <c r="A4582">
        <v>4581</v>
      </c>
      <c r="B4582" s="3">
        <v>0.24897703004839861</v>
      </c>
      <c r="C4582" s="3">
        <v>2.8149251710860822E-2</v>
      </c>
      <c r="D4582" s="1">
        <v>231939.10992225879</v>
      </c>
      <c r="E4582" s="1">
        <v>18168150</v>
      </c>
      <c r="F4582" s="1">
        <v>78438530</v>
      </c>
      <c r="G4582" s="16">
        <v>6955.9833493764454</v>
      </c>
      <c r="H4582">
        <v>58.28</v>
      </c>
      <c r="I4582" s="1">
        <v>250.14000000000001</v>
      </c>
      <c r="J4582" s="16">
        <v>238895.09327163524</v>
      </c>
      <c r="K4582" s="5">
        <v>-2.4647634354335861E-2</v>
      </c>
      <c r="L4582" s="10">
        <v>-184110.57800000001</v>
      </c>
    </row>
    <row r="4583" spans="1:12" x14ac:dyDescent="0.25">
      <c r="A4583">
        <v>4582</v>
      </c>
      <c r="B4583" s="3">
        <v>0.15181462002846588</v>
      </c>
      <c r="C4583" s="3">
        <v>6.6995083010080808E-2</v>
      </c>
      <c r="D4583" s="1">
        <v>257745.67412614234</v>
      </c>
      <c r="E4583" s="1">
        <v>9320324</v>
      </c>
      <c r="F4583" s="1">
        <v>39144114</v>
      </c>
      <c r="G4583" s="16">
        <v>12964.129218504158</v>
      </c>
      <c r="H4583">
        <v>52.38</v>
      </c>
      <c r="I4583" s="1">
        <v>254.15</v>
      </c>
      <c r="J4583" s="16">
        <v>270709.80334464653</v>
      </c>
      <c r="K4583" s="5">
        <v>0.2242784991984447</v>
      </c>
      <c r="L4583" s="10">
        <v>613237.94400000002</v>
      </c>
    </row>
    <row r="4584" spans="1:12" x14ac:dyDescent="0.25">
      <c r="A4584">
        <v>4583</v>
      </c>
      <c r="B4584" s="3">
        <v>0.18257658325230264</v>
      </c>
      <c r="C4584" s="3">
        <v>7.3303063215399908E-2</v>
      </c>
      <c r="D4584" s="1">
        <v>253362.51852833573</v>
      </c>
      <c r="E4584" s="1">
        <v>10620780</v>
      </c>
      <c r="F4584" s="1">
        <v>40355135</v>
      </c>
      <c r="G4584" s="16">
        <v>21565.115911895162</v>
      </c>
      <c r="H4584">
        <v>132.94</v>
      </c>
      <c r="I4584" s="1">
        <v>399.93</v>
      </c>
      <c r="J4584" s="16">
        <v>274927.6344402309</v>
      </c>
      <c r="K4584" s="5">
        <v>0.1379228745021964</v>
      </c>
      <c r="L4584" s="10">
        <v>321384.88030000002</v>
      </c>
    </row>
    <row r="4585" spans="1:12" x14ac:dyDescent="0.25">
      <c r="A4585">
        <v>4584</v>
      </c>
      <c r="B4585" s="3">
        <v>0.12521218499547429</v>
      </c>
      <c r="C4585" s="3">
        <v>3.6640870599721931E-2</v>
      </c>
      <c r="D4585" s="1">
        <v>277237.80878856004</v>
      </c>
      <c r="E4585" s="1">
        <v>8860215</v>
      </c>
      <c r="F4585" s="1">
        <v>42512841</v>
      </c>
      <c r="G4585" s="16">
        <v>136978.10746655054</v>
      </c>
      <c r="H4585">
        <v>601.39</v>
      </c>
      <c r="I4585" s="1">
        <v>1468.3000000000002</v>
      </c>
      <c r="J4585" s="16">
        <v>414215.91625511058</v>
      </c>
      <c r="K4585" s="5">
        <v>0.15823520376907851</v>
      </c>
      <c r="L4585" s="10">
        <v>1408865.9043000001</v>
      </c>
    </row>
    <row r="4586" spans="1:12" x14ac:dyDescent="0.25">
      <c r="A4586">
        <v>4585</v>
      </c>
      <c r="B4586" s="3">
        <v>0.16913825094846036</v>
      </c>
      <c r="C4586" s="3">
        <v>7.8342724263950864E-2</v>
      </c>
      <c r="D4586" s="1">
        <v>167102.97222251823</v>
      </c>
      <c r="E4586" s="1">
        <v>6562548</v>
      </c>
      <c r="F4586" s="1">
        <v>29356675</v>
      </c>
      <c r="G4586" s="16">
        <v>50086.762127193964</v>
      </c>
      <c r="H4586">
        <v>275.99</v>
      </c>
      <c r="I4586" s="1">
        <v>657.48</v>
      </c>
      <c r="J4586" s="16">
        <v>217189.73434971221</v>
      </c>
      <c r="K4586" s="5">
        <v>0.17583906287074014</v>
      </c>
      <c r="L4586" s="10">
        <v>320152.1568</v>
      </c>
    </row>
    <row r="4587" spans="1:12" x14ac:dyDescent="0.25">
      <c r="A4587">
        <v>4586</v>
      </c>
      <c r="B4587" s="3">
        <v>0.15476361745862902</v>
      </c>
      <c r="C4587" s="3">
        <v>7.0881965042343023E-2</v>
      </c>
      <c r="D4587" s="1">
        <v>133668.01222930563</v>
      </c>
      <c r="E4587" s="1">
        <v>4142821</v>
      </c>
      <c r="F4587" s="1">
        <v>18027673</v>
      </c>
      <c r="G4587" s="16">
        <v>62155.251758043429</v>
      </c>
      <c r="H4587">
        <v>358.9</v>
      </c>
      <c r="I4587" s="1">
        <v>933.9</v>
      </c>
      <c r="J4587" s="16">
        <v>195823.26398734906</v>
      </c>
      <c r="K4587" s="5">
        <v>8.0420401146909681E-2</v>
      </c>
      <c r="L4587" s="10">
        <v>135302.97010000001</v>
      </c>
    </row>
    <row r="4588" spans="1:12" x14ac:dyDescent="0.25">
      <c r="A4588">
        <v>4587</v>
      </c>
      <c r="B4588" s="3">
        <v>0.24094571983982793</v>
      </c>
      <c r="C4588" s="3">
        <v>6.283667197131261E-2</v>
      </c>
      <c r="D4588" s="1">
        <v>66261.839510716629</v>
      </c>
      <c r="E4588" s="1">
        <v>2835623</v>
      </c>
      <c r="F4588" s="1">
        <v>16895866</v>
      </c>
      <c r="G4588" s="16">
        <v>15416.713106752615</v>
      </c>
      <c r="H4588">
        <v>121.4</v>
      </c>
      <c r="I4588" s="1">
        <v>342.89</v>
      </c>
      <c r="J4588" s="16">
        <v>81678.55261746925</v>
      </c>
      <c r="K4588" s="5">
        <v>1.9452163158642771E-2</v>
      </c>
      <c r="L4588" s="10">
        <v>31383.2899</v>
      </c>
    </row>
    <row r="4589" spans="1:12" x14ac:dyDescent="0.25">
      <c r="A4589">
        <v>4588</v>
      </c>
      <c r="B4589" s="3">
        <v>0.10896016552283308</v>
      </c>
      <c r="C4589" s="3">
        <v>6.9689055003549147E-2</v>
      </c>
      <c r="D4589" s="1">
        <v>354070.05789154483</v>
      </c>
      <c r="E4589" s="1">
        <v>10512441</v>
      </c>
      <c r="F4589" s="1">
        <v>29262772</v>
      </c>
      <c r="G4589" s="16">
        <v>63565.976867453464</v>
      </c>
      <c r="H4589">
        <v>214.38</v>
      </c>
      <c r="I4589" s="1">
        <v>582.53</v>
      </c>
      <c r="J4589" s="16">
        <v>417636.03475899831</v>
      </c>
      <c r="K4589" s="5">
        <v>-1.3328325922430634E-2</v>
      </c>
      <c r="L4589" s="10">
        <v>-55201.668400000002</v>
      </c>
    </row>
    <row r="4590" spans="1:12" x14ac:dyDescent="0.25">
      <c r="A4590">
        <v>4589</v>
      </c>
      <c r="B4590" s="3">
        <v>0.15483964206776385</v>
      </c>
      <c r="C4590" s="3">
        <v>6.0556474331373192E-2</v>
      </c>
      <c r="D4590" s="1">
        <v>50640.595834717802</v>
      </c>
      <c r="E4590" s="1">
        <v>1569945</v>
      </c>
      <c r="F4590" s="1">
        <v>13363761</v>
      </c>
      <c r="G4590" s="16">
        <v>10759.118659664002</v>
      </c>
      <c r="H4590">
        <v>37.51</v>
      </c>
      <c r="I4590" s="1">
        <v>146.11999999999998</v>
      </c>
      <c r="J4590" s="16">
        <v>61399.714494381806</v>
      </c>
      <c r="K4590" s="5">
        <v>0.29198093816459347</v>
      </c>
      <c r="L4590" s="10">
        <v>235710.64790000001</v>
      </c>
    </row>
    <row r="4591" spans="1:12" x14ac:dyDescent="0.25">
      <c r="A4591">
        <v>4590</v>
      </c>
      <c r="B4591" s="3">
        <v>0.11581306734524707</v>
      </c>
      <c r="C4591" s="3">
        <v>2.7816933557528154E-2</v>
      </c>
      <c r="D4591" s="1">
        <v>67226.067313919571</v>
      </c>
      <c r="E4591" s="1">
        <v>1820156</v>
      </c>
      <c r="F4591" s="1">
        <v>16104139</v>
      </c>
      <c r="G4591" s="16">
        <v>29571.106101351626</v>
      </c>
      <c r="H4591">
        <v>105.47</v>
      </c>
      <c r="I4591" s="1">
        <v>452.30999999999995</v>
      </c>
      <c r="J4591" s="16">
        <v>96797.173415271202</v>
      </c>
      <c r="K4591" s="5">
        <v>-2.2826924315311477E-2</v>
      </c>
      <c r="L4591" s="10">
        <v>-40960.164499999999</v>
      </c>
    </row>
    <row r="4592" spans="1:12" x14ac:dyDescent="0.25">
      <c r="A4592">
        <v>4591</v>
      </c>
      <c r="B4592" s="3">
        <v>0.11127474803917788</v>
      </c>
      <c r="C4592" s="3">
        <v>5.9706667162236257E-2</v>
      </c>
      <c r="D4592" s="1">
        <v>278083.59237609955</v>
      </c>
      <c r="E4592" s="1">
        <v>8342721</v>
      </c>
      <c r="F4592" s="1">
        <v>27995146</v>
      </c>
      <c r="G4592" s="16">
        <v>29426.099964823919</v>
      </c>
      <c r="H4592">
        <v>100.94</v>
      </c>
      <c r="I4592" s="1">
        <v>426.31</v>
      </c>
      <c r="J4592" s="16">
        <v>307509.69234092347</v>
      </c>
      <c r="K4592" s="5">
        <v>7.9129891475148185E-3</v>
      </c>
      <c r="L4592" s="10">
        <v>21287.1374</v>
      </c>
    </row>
    <row r="4593" spans="1:12" x14ac:dyDescent="0.25">
      <c r="A4593">
        <v>4592</v>
      </c>
      <c r="B4593" s="3">
        <v>0.22738568513389112</v>
      </c>
      <c r="C4593" s="3">
        <v>4.815232626698035E-2</v>
      </c>
      <c r="D4593" s="1">
        <v>160849.49878373937</v>
      </c>
      <c r="E4593" s="1">
        <v>8448353</v>
      </c>
      <c r="F4593" s="1">
        <v>29620866</v>
      </c>
      <c r="G4593" s="16">
        <v>28182.669415430766</v>
      </c>
      <c r="H4593">
        <v>333.87</v>
      </c>
      <c r="I4593" s="1">
        <v>1178.3899999999999</v>
      </c>
      <c r="J4593" s="16">
        <v>189032.16819917015</v>
      </c>
      <c r="K4593" s="5">
        <v>4.6937304496440117E-2</v>
      </c>
      <c r="L4593" s="10">
        <v>170487.3156</v>
      </c>
    </row>
    <row r="4594" spans="1:12" x14ac:dyDescent="0.25">
      <c r="A4594">
        <v>4593</v>
      </c>
      <c r="B4594" s="3">
        <v>0.10223526118257149</v>
      </c>
      <c r="C4594" s="3">
        <v>3.5459536011173194E-2</v>
      </c>
      <c r="D4594" s="1">
        <v>529715.81770822452</v>
      </c>
      <c r="E4594" s="1">
        <v>16999369</v>
      </c>
      <c r="F4594" s="1">
        <v>51293358</v>
      </c>
      <c r="G4594" s="16">
        <v>35746.521833240695</v>
      </c>
      <c r="H4594">
        <v>102.65</v>
      </c>
      <c r="I4594" s="1">
        <v>360.19000000000005</v>
      </c>
      <c r="J4594" s="16">
        <v>565462.33954146528</v>
      </c>
      <c r="K4594" s="5">
        <v>0.11112535883885005</v>
      </c>
      <c r="L4594" s="10">
        <v>1366930.0907999999</v>
      </c>
    </row>
    <row r="4595" spans="1:12" x14ac:dyDescent="0.25">
      <c r="A4595">
        <v>4594</v>
      </c>
      <c r="B4595" s="3">
        <v>0.21863148505142421</v>
      </c>
      <c r="C4595" s="3">
        <v>7.7597870130880861E-2</v>
      </c>
      <c r="D4595" s="1">
        <v>99590.133643156209</v>
      </c>
      <c r="E4595" s="1">
        <v>3907080</v>
      </c>
      <c r="F4595" s="1">
        <v>16227366</v>
      </c>
      <c r="G4595" s="16">
        <v>25793.226626559899</v>
      </c>
      <c r="H4595">
        <v>218.28</v>
      </c>
      <c r="I4595" s="1">
        <v>761.67</v>
      </c>
      <c r="J4595" s="16">
        <v>125383.36026971611</v>
      </c>
      <c r="K4595" s="5">
        <v>8.6454104802089482E-2</v>
      </c>
      <c r="L4595" s="10">
        <v>82511.313099999999</v>
      </c>
    </row>
    <row r="4596" spans="1:12" x14ac:dyDescent="0.25">
      <c r="A4596">
        <v>4595</v>
      </c>
      <c r="B4596" s="3">
        <v>0.1008278437116555</v>
      </c>
      <c r="C4596" s="3">
        <v>7.540325068136082E-2</v>
      </c>
      <c r="D4596" s="1">
        <v>178470.2082158238</v>
      </c>
      <c r="E4596" s="1">
        <v>5109725</v>
      </c>
      <c r="F4596" s="1">
        <v>25371136</v>
      </c>
      <c r="G4596" s="16">
        <v>66681.100404324388</v>
      </c>
      <c r="H4596">
        <v>210.92</v>
      </c>
      <c r="I4596" s="1">
        <v>580.12</v>
      </c>
      <c r="J4596" s="16">
        <v>245151.30862014819</v>
      </c>
      <c r="K4596" s="5">
        <v>0.15715654214890667</v>
      </c>
      <c r="L4596" s="10">
        <v>356929.17219999997</v>
      </c>
    </row>
    <row r="4597" spans="1:12" x14ac:dyDescent="0.25">
      <c r="A4597">
        <v>4596</v>
      </c>
      <c r="B4597" s="3">
        <v>0.19476154834515252</v>
      </c>
      <c r="C4597" s="3">
        <v>7.0021270017847331E-2</v>
      </c>
      <c r="D4597" s="1">
        <v>27315.962099229848</v>
      </c>
      <c r="E4597" s="1">
        <v>788443</v>
      </c>
      <c r="F4597" s="1">
        <v>7351591</v>
      </c>
      <c r="G4597" s="16">
        <v>22091.26374249029</v>
      </c>
      <c r="H4597">
        <v>151.30000000000001</v>
      </c>
      <c r="I4597" s="1">
        <v>428.58</v>
      </c>
      <c r="J4597" s="16">
        <v>49407.225841720137</v>
      </c>
      <c r="K4597" s="5">
        <v>7.1105100285952988E-2</v>
      </c>
      <c r="L4597" s="10">
        <v>39248.495799999997</v>
      </c>
    </row>
    <row r="4598" spans="1:12" x14ac:dyDescent="0.25">
      <c r="A4598">
        <v>4597</v>
      </c>
      <c r="B4598" s="3">
        <v>0.21574359409712879</v>
      </c>
      <c r="C4598" s="3">
        <v>7.003383503543581E-2</v>
      </c>
      <c r="D4598" s="1">
        <v>60265.52739833029</v>
      </c>
      <c r="E4598" s="1">
        <v>2338288</v>
      </c>
      <c r="F4598" s="1">
        <v>15369601</v>
      </c>
      <c r="G4598" s="16">
        <v>17408.342904768015</v>
      </c>
      <c r="H4598">
        <v>112.51</v>
      </c>
      <c r="I4598" s="1">
        <v>340.68</v>
      </c>
      <c r="J4598" s="16">
        <v>77673.870303098302</v>
      </c>
      <c r="K4598" s="5">
        <v>0.23404234490082826</v>
      </c>
      <c r="L4598" s="10">
        <v>202071.96369999999</v>
      </c>
    </row>
    <row r="4599" spans="1:12" x14ac:dyDescent="0.25">
      <c r="A4599">
        <v>4598</v>
      </c>
      <c r="B4599" s="3">
        <v>0.23942921730441566</v>
      </c>
      <c r="C4599" s="3">
        <v>5.0347714653008274E-2</v>
      </c>
      <c r="D4599" s="1">
        <v>161871.67175811497</v>
      </c>
      <c r="E4599" s="1">
        <v>9053473</v>
      </c>
      <c r="F4599" s="1">
        <v>38228267</v>
      </c>
      <c r="G4599" s="16">
        <v>20278.360156051269</v>
      </c>
      <c r="H4599">
        <v>207.49</v>
      </c>
      <c r="I4599" s="1">
        <v>611.21</v>
      </c>
      <c r="J4599" s="16">
        <v>182150.03191416623</v>
      </c>
      <c r="K4599" s="5">
        <v>0.23894013305766743</v>
      </c>
      <c r="L4599" s="10">
        <v>647347.26989999996</v>
      </c>
    </row>
    <row r="4600" spans="1:12" x14ac:dyDescent="0.25">
      <c r="A4600">
        <v>4599</v>
      </c>
      <c r="B4600" s="3">
        <v>0.15786460375452252</v>
      </c>
      <c r="C4600" s="3">
        <v>4.9773620057856641E-2</v>
      </c>
      <c r="D4600" s="1">
        <v>43735.500967951768</v>
      </c>
      <c r="E4600" s="1">
        <v>1370538</v>
      </c>
      <c r="F4600" s="1">
        <v>13143801</v>
      </c>
      <c r="G4600" s="16">
        <v>12828.138337485932</v>
      </c>
      <c r="H4600">
        <v>45.61</v>
      </c>
      <c r="I4600" s="1">
        <v>179.14999999999998</v>
      </c>
      <c r="J4600" s="16">
        <v>56563.639305437697</v>
      </c>
      <c r="K4600" s="5">
        <v>0.13991713205629105</v>
      </c>
      <c r="L4600" s="10">
        <v>152202.3425</v>
      </c>
    </row>
    <row r="4601" spans="1:12" x14ac:dyDescent="0.25">
      <c r="A4601">
        <v>4600</v>
      </c>
      <c r="B4601" s="3">
        <v>0.21947169439030967</v>
      </c>
      <c r="C4601" s="3">
        <v>7.8447363718536403E-2</v>
      </c>
      <c r="D4601" s="1">
        <v>98822.912377533168</v>
      </c>
      <c r="E4601" s="1">
        <v>4983171</v>
      </c>
      <c r="F4601" s="1">
        <v>32031363</v>
      </c>
      <c r="G4601" s="16">
        <v>22113.485353915352</v>
      </c>
      <c r="H4601">
        <v>188.28</v>
      </c>
      <c r="I4601" s="1">
        <v>553.28</v>
      </c>
      <c r="J4601" s="16">
        <v>120936.39773144852</v>
      </c>
      <c r="K4601" s="5">
        <v>1.2344939402790002E-2</v>
      </c>
      <c r="L4601" s="10">
        <v>67179.568499999994</v>
      </c>
    </row>
    <row r="4602" spans="1:12" x14ac:dyDescent="0.25">
      <c r="A4602">
        <v>4601</v>
      </c>
      <c r="B4602" s="3">
        <v>0.1749577252614074</v>
      </c>
      <c r="C4602" s="3">
        <v>5.6928947476750008E-2</v>
      </c>
      <c r="D4602" s="1">
        <v>182528.23810893708</v>
      </c>
      <c r="E4602" s="1">
        <v>7372732</v>
      </c>
      <c r="F4602" s="1">
        <v>35707323</v>
      </c>
      <c r="G4602" s="16">
        <v>48304.477483039838</v>
      </c>
      <c r="H4602">
        <v>338.3</v>
      </c>
      <c r="I4602" s="1">
        <v>1004.03</v>
      </c>
      <c r="J4602" s="16">
        <v>230832.71559197691</v>
      </c>
      <c r="K4602" s="5">
        <v>0.19315017953409819</v>
      </c>
      <c r="L4602" s="10">
        <v>568895.62820000004</v>
      </c>
    </row>
    <row r="4603" spans="1:12" x14ac:dyDescent="0.25">
      <c r="A4603">
        <v>4602</v>
      </c>
      <c r="B4603" s="3">
        <v>0.18429321147679245</v>
      </c>
      <c r="C4603" s="3">
        <v>5.5526697177396708E-2</v>
      </c>
      <c r="D4603" s="1">
        <v>39248.651807088972</v>
      </c>
      <c r="E4603" s="1">
        <v>1103974</v>
      </c>
      <c r="F4603" s="1">
        <v>8867394</v>
      </c>
      <c r="G4603" s="16">
        <v>19017.232785496017</v>
      </c>
      <c r="H4603">
        <v>97.26</v>
      </c>
      <c r="I4603" s="1">
        <v>328.75</v>
      </c>
      <c r="J4603" s="16">
        <v>58265.884592584989</v>
      </c>
      <c r="K4603" s="5">
        <v>0.11485126269755561</v>
      </c>
      <c r="L4603" s="10">
        <v>110685.5396</v>
      </c>
    </row>
    <row r="4604" spans="1:12" x14ac:dyDescent="0.25">
      <c r="A4604">
        <v>4603</v>
      </c>
      <c r="B4604" s="3">
        <v>0.11190171652837069</v>
      </c>
      <c r="C4604" s="3">
        <v>5.6981397978109444E-2</v>
      </c>
      <c r="D4604" s="1">
        <v>142427.25791880695</v>
      </c>
      <c r="E4604" s="1">
        <v>3805514</v>
      </c>
      <c r="F4604" s="1">
        <v>17893090</v>
      </c>
      <c r="G4604" s="16">
        <v>47613.078994293726</v>
      </c>
      <c r="H4604">
        <v>164.42</v>
      </c>
      <c r="I4604" s="1">
        <v>635.15</v>
      </c>
      <c r="J4604" s="16">
        <v>190040.33691310068</v>
      </c>
      <c r="K4604" s="5">
        <v>7.5704635929180197E-2</v>
      </c>
      <c r="L4604" s="10">
        <v>226396.745</v>
      </c>
    </row>
    <row r="4605" spans="1:12" x14ac:dyDescent="0.25">
      <c r="A4605">
        <v>4604</v>
      </c>
      <c r="B4605" s="3">
        <v>0.11728525884155851</v>
      </c>
      <c r="C4605" s="3">
        <v>5.8198252739347547E-2</v>
      </c>
      <c r="D4605" s="1">
        <v>288541.23643933824</v>
      </c>
      <c r="E4605" s="1">
        <v>8894646</v>
      </c>
      <c r="F4605" s="1">
        <v>31583780</v>
      </c>
      <c r="G4605" s="16">
        <v>37840.181782478241</v>
      </c>
      <c r="H4605">
        <v>136.19</v>
      </c>
      <c r="I4605" s="1">
        <v>508.84000000000003</v>
      </c>
      <c r="J4605" s="16">
        <v>326381.41822181648</v>
      </c>
      <c r="K4605" s="5">
        <v>9.5220821234234837E-2</v>
      </c>
      <c r="L4605" s="10">
        <v>399714.13909999997</v>
      </c>
    </row>
    <row r="4606" spans="1:12" x14ac:dyDescent="0.25">
      <c r="A4606">
        <v>4605</v>
      </c>
      <c r="B4606" s="3">
        <v>0.21814079841497208</v>
      </c>
      <c r="C4606" s="3">
        <v>4.2904477105483521E-2</v>
      </c>
      <c r="D4606" s="1">
        <v>255285.28887720613</v>
      </c>
      <c r="E4606" s="1">
        <v>16352553</v>
      </c>
      <c r="F4606" s="1">
        <v>58885118</v>
      </c>
      <c r="G4606" s="16">
        <v>12594.622897188512</v>
      </c>
      <c r="H4606">
        <v>82.94</v>
      </c>
      <c r="I4606" s="1">
        <v>264.59000000000003</v>
      </c>
      <c r="J4606" s="16">
        <v>267879.91177439463</v>
      </c>
      <c r="K4606" s="5">
        <v>0.24824963396573776</v>
      </c>
      <c r="L4606" s="10">
        <v>1200640.9963</v>
      </c>
    </row>
    <row r="4607" spans="1:12" x14ac:dyDescent="0.25">
      <c r="A4607">
        <v>4606</v>
      </c>
      <c r="B4607" s="3">
        <v>0.18369411724171436</v>
      </c>
      <c r="C4607" s="3">
        <v>3.2539259825313707E-2</v>
      </c>
      <c r="D4607" s="1">
        <v>82189.114482539764</v>
      </c>
      <c r="E4607" s="1">
        <v>2827864</v>
      </c>
      <c r="F4607" s="1">
        <v>19576018</v>
      </c>
      <c r="G4607" s="16">
        <v>27797.892361258429</v>
      </c>
      <c r="H4607">
        <v>173.17</v>
      </c>
      <c r="I4607" s="1">
        <v>433.27</v>
      </c>
      <c r="J4607" s="16">
        <v>109987.0068437982</v>
      </c>
      <c r="K4607" s="5">
        <v>-7.0234492279816568E-2</v>
      </c>
      <c r="L4607" s="10">
        <v>-169013.0356</v>
      </c>
    </row>
    <row r="4608" spans="1:12" x14ac:dyDescent="0.25">
      <c r="A4608">
        <v>4607</v>
      </c>
      <c r="B4608" s="3">
        <v>0.23945440851759062</v>
      </c>
      <c r="C4608" s="3">
        <v>6.1661972443839294E-2</v>
      </c>
      <c r="D4608" s="1">
        <v>119223.81285633899</v>
      </c>
      <c r="E4608" s="1">
        <v>6669061</v>
      </c>
      <c r="F4608" s="1">
        <v>24373460</v>
      </c>
      <c r="G4608" s="16">
        <v>15991.366574662787</v>
      </c>
      <c r="H4608">
        <v>124.17</v>
      </c>
      <c r="I4608" s="1">
        <v>369.45000000000005</v>
      </c>
      <c r="J4608" s="16">
        <v>135215.17943100177</v>
      </c>
      <c r="K4608" s="5">
        <v>0.19238513022940462</v>
      </c>
      <c r="L4608" s="10">
        <v>306859.23729999998</v>
      </c>
    </row>
    <row r="4609" spans="1:12" x14ac:dyDescent="0.25">
      <c r="A4609">
        <v>4608</v>
      </c>
      <c r="B4609" s="3">
        <v>0.20946747640103558</v>
      </c>
      <c r="C4609" s="3">
        <v>6.7089590854786704E-2</v>
      </c>
      <c r="D4609" s="1">
        <v>293870.92577025318</v>
      </c>
      <c r="E4609" s="1">
        <v>17813995</v>
      </c>
      <c r="F4609" s="1">
        <v>47043461</v>
      </c>
      <c r="G4609" s="16">
        <v>25430.409166492245</v>
      </c>
      <c r="H4609">
        <v>197.98</v>
      </c>
      <c r="I4609" s="1">
        <v>540.54999999999995</v>
      </c>
      <c r="J4609" s="16">
        <v>319301.33493674541</v>
      </c>
      <c r="K4609" s="5">
        <v>0.15033060012860161</v>
      </c>
      <c r="L4609" s="10">
        <v>460488.47389999998</v>
      </c>
    </row>
    <row r="4610" spans="1:12" x14ac:dyDescent="0.25">
      <c r="A4610">
        <v>4609</v>
      </c>
      <c r="B4610" s="3">
        <v>0.17782368894438039</v>
      </c>
      <c r="C4610" s="3">
        <v>2.3096290855876944E-2</v>
      </c>
      <c r="D4610" s="1">
        <v>411419.46194472583</v>
      </c>
      <c r="E4610" s="1">
        <v>20495704</v>
      </c>
      <c r="F4610" s="1">
        <v>72217927</v>
      </c>
      <c r="G4610" s="16">
        <v>31236.459737505851</v>
      </c>
      <c r="H4610">
        <v>185.18</v>
      </c>
      <c r="I4610" s="1">
        <v>460.33</v>
      </c>
      <c r="J4610" s="16">
        <v>442655.92168223171</v>
      </c>
      <c r="K4610" s="5">
        <v>2.3220778764791335E-2</v>
      </c>
      <c r="L4610" s="10">
        <v>433300.35749999998</v>
      </c>
    </row>
    <row r="4611" spans="1:12" x14ac:dyDescent="0.25">
      <c r="A4611">
        <v>4610</v>
      </c>
      <c r="B4611" s="3">
        <v>0.23089818619081998</v>
      </c>
      <c r="C4611" s="3">
        <v>2.9743874200518945E-2</v>
      </c>
      <c r="D4611" s="1">
        <v>123640.50762088668</v>
      </c>
      <c r="E4611" s="1">
        <v>5086428</v>
      </c>
      <c r="F4611" s="1">
        <v>16919353</v>
      </c>
      <c r="G4611" s="16">
        <v>13622.892378363949</v>
      </c>
      <c r="H4611">
        <v>98.99</v>
      </c>
      <c r="I4611" s="1">
        <v>266.77</v>
      </c>
      <c r="J4611" s="16">
        <v>137263.39999925063</v>
      </c>
      <c r="K4611" s="5">
        <v>0.15454428570367107</v>
      </c>
      <c r="L4611" s="10">
        <v>577299.62910000002</v>
      </c>
    </row>
    <row r="4612" spans="1:12" x14ac:dyDescent="0.25">
      <c r="A4612">
        <v>4611</v>
      </c>
      <c r="B4612" s="3">
        <v>0.1692129796305257</v>
      </c>
      <c r="C4612" s="3">
        <v>3.9920489816886451E-2</v>
      </c>
      <c r="D4612" s="1">
        <v>85359.072678641343</v>
      </c>
      <c r="E4612" s="1">
        <v>2786014</v>
      </c>
      <c r="F4612" s="1">
        <v>14431075</v>
      </c>
      <c r="G4612" s="16">
        <v>44886.512408972012</v>
      </c>
      <c r="H4612">
        <v>297.66000000000003</v>
      </c>
      <c r="I4612" s="1">
        <v>1096.22</v>
      </c>
      <c r="J4612" s="16">
        <v>130245.58508761335</v>
      </c>
      <c r="K4612" s="5">
        <v>0.14595272337731735</v>
      </c>
      <c r="L4612" s="10">
        <v>396658.20490000001</v>
      </c>
    </row>
    <row r="4613" spans="1:12" x14ac:dyDescent="0.25">
      <c r="A4613">
        <v>4612</v>
      </c>
      <c r="B4613" s="3">
        <v>0.1424100416354703</v>
      </c>
      <c r="C4613" s="3">
        <v>5.9279731746201825E-2</v>
      </c>
      <c r="D4613" s="1">
        <v>103573.82285855681</v>
      </c>
      <c r="E4613" s="1">
        <v>3583718</v>
      </c>
      <c r="F4613" s="1">
        <v>24890570</v>
      </c>
      <c r="G4613" s="16">
        <v>36100.371660665565</v>
      </c>
      <c r="H4613">
        <v>136.19999999999999</v>
      </c>
      <c r="I4613" s="1">
        <v>345.09000000000003</v>
      </c>
      <c r="J4613" s="16">
        <v>139674.19451922236</v>
      </c>
      <c r="K4613" s="5">
        <v>2.0078490103962923E-2</v>
      </c>
      <c r="L4613" s="10">
        <v>62452.264799999997</v>
      </c>
    </row>
    <row r="4614" spans="1:12" x14ac:dyDescent="0.25">
      <c r="A4614">
        <v>4613</v>
      </c>
      <c r="B4614" s="3">
        <v>0.14972145625585079</v>
      </c>
      <c r="C4614" s="3">
        <v>6.3856379533859073E-2</v>
      </c>
      <c r="D4614" s="1">
        <v>228114.57001693078</v>
      </c>
      <c r="E4614" s="1">
        <v>8167909</v>
      </c>
      <c r="F4614" s="1">
        <v>32395882</v>
      </c>
      <c r="G4614" s="16">
        <v>33584.061487621118</v>
      </c>
      <c r="H4614">
        <v>157.26</v>
      </c>
      <c r="I4614" s="1">
        <v>664.22</v>
      </c>
      <c r="J4614" s="16">
        <v>261698.63150455191</v>
      </c>
      <c r="K4614" s="5">
        <v>-4.9056756030650371E-2</v>
      </c>
      <c r="L4614" s="10">
        <v>-84779.587799999994</v>
      </c>
    </row>
    <row r="4615" spans="1:12" x14ac:dyDescent="0.25">
      <c r="A4615">
        <v>4614</v>
      </c>
      <c r="B4615" s="3">
        <v>0.2095448369266765</v>
      </c>
      <c r="C4615" s="3">
        <v>4.5809822498087238E-2</v>
      </c>
      <c r="D4615" s="1">
        <v>71324.359711353405</v>
      </c>
      <c r="E4615" s="1">
        <v>2702771</v>
      </c>
      <c r="F4615" s="1">
        <v>18251472</v>
      </c>
      <c r="G4615" s="16">
        <v>17608.672119203813</v>
      </c>
      <c r="H4615">
        <v>108.45</v>
      </c>
      <c r="I4615" s="1">
        <v>342.34</v>
      </c>
      <c r="J4615" s="16">
        <v>88933.031830557215</v>
      </c>
      <c r="K4615" s="5">
        <v>0.36861197395903861</v>
      </c>
      <c r="L4615" s="10">
        <v>562214.22010000004</v>
      </c>
    </row>
    <row r="4616" spans="1:12" x14ac:dyDescent="0.25">
      <c r="A4616">
        <v>4615</v>
      </c>
      <c r="B4616" s="3">
        <v>0.12409911202650588</v>
      </c>
      <c r="C4616" s="3">
        <v>2.4188020983461966E-2</v>
      </c>
      <c r="D4616" s="1">
        <v>138790.19979054588</v>
      </c>
      <c r="E4616" s="1">
        <v>3865414</v>
      </c>
      <c r="F4616" s="1">
        <v>14273747</v>
      </c>
      <c r="G4616" s="16">
        <v>93599.830443469895</v>
      </c>
      <c r="H4616">
        <v>406.34</v>
      </c>
      <c r="I4616" s="1">
        <v>933.21</v>
      </c>
      <c r="J4616" s="16">
        <v>232390.03023401578</v>
      </c>
      <c r="K4616" s="5">
        <v>0.14304833432863612</v>
      </c>
      <c r="L4616" s="10">
        <v>1178568.9225999999</v>
      </c>
    </row>
    <row r="4617" spans="1:12" x14ac:dyDescent="0.25">
      <c r="A4617">
        <v>4616</v>
      </c>
      <c r="B4617" s="3">
        <v>0.2353705702037793</v>
      </c>
      <c r="C4617" s="3">
        <v>4.2392197773552985E-2</v>
      </c>
      <c r="D4617" s="1">
        <v>31173.427339816408</v>
      </c>
      <c r="E4617" s="1">
        <v>1305072</v>
      </c>
      <c r="F4617" s="1">
        <v>13876673</v>
      </c>
      <c r="G4617" s="16">
        <v>25104.048501239035</v>
      </c>
      <c r="H4617">
        <v>323.32</v>
      </c>
      <c r="I4617" s="1">
        <v>862.22</v>
      </c>
      <c r="J4617" s="16">
        <v>56277.475841055442</v>
      </c>
      <c r="K4617" s="5">
        <v>0.18763338133229568</v>
      </c>
      <c r="L4617" s="10">
        <v>219231.58439999999</v>
      </c>
    </row>
    <row r="4618" spans="1:12" x14ac:dyDescent="0.25">
      <c r="A4618">
        <v>4617</v>
      </c>
      <c r="B4618" s="3">
        <v>0.17238849257754396</v>
      </c>
      <c r="C4618" s="3">
        <v>2.120249009959714E-2</v>
      </c>
      <c r="D4618" s="1">
        <v>50130.953718124983</v>
      </c>
      <c r="E4618" s="1">
        <v>1655118</v>
      </c>
      <c r="F4618" s="1">
        <v>12842649</v>
      </c>
      <c r="G4618" s="16">
        <v>24436.282588884671</v>
      </c>
      <c r="H4618">
        <v>114.29</v>
      </c>
      <c r="I4618" s="1">
        <v>332.62</v>
      </c>
      <c r="J4618" s="16">
        <v>74567.236307009647</v>
      </c>
      <c r="K4618" s="5">
        <v>0.1022874136038113</v>
      </c>
      <c r="L4618" s="10">
        <v>334745.16220000002</v>
      </c>
    </row>
    <row r="4619" spans="1:12" x14ac:dyDescent="0.25">
      <c r="A4619">
        <v>4618</v>
      </c>
      <c r="B4619" s="3">
        <v>0.17556595434100031</v>
      </c>
      <c r="C4619" s="3">
        <v>4.9002688790139068E-2</v>
      </c>
      <c r="D4619" s="1">
        <v>71912.190460289159</v>
      </c>
      <c r="E4619" s="1">
        <v>2401809</v>
      </c>
      <c r="F4619" s="1">
        <v>16235869</v>
      </c>
      <c r="G4619" s="16">
        <v>10265.372314481212</v>
      </c>
      <c r="H4619">
        <v>40.4</v>
      </c>
      <c r="I4619" s="1">
        <v>134.92000000000002</v>
      </c>
      <c r="J4619" s="16">
        <v>82177.562774770369</v>
      </c>
      <c r="K4619" s="5">
        <v>0.15236563703785339</v>
      </c>
      <c r="L4619" s="10">
        <v>201803.91450000001</v>
      </c>
    </row>
    <row r="4620" spans="1:12" x14ac:dyDescent="0.25">
      <c r="A4620">
        <v>4619</v>
      </c>
      <c r="B4620" s="3">
        <v>0.10717533185302545</v>
      </c>
      <c r="C4620" s="3">
        <v>6.0740022014899892E-2</v>
      </c>
      <c r="D4620" s="1">
        <v>64400.594350928826</v>
      </c>
      <c r="E4620" s="1">
        <v>1512031</v>
      </c>
      <c r="F4620" s="1">
        <v>7734392</v>
      </c>
      <c r="G4620" s="16">
        <v>22289.312405092216</v>
      </c>
      <c r="H4620">
        <v>66.33</v>
      </c>
      <c r="I4620" s="1">
        <v>239.45999999999998</v>
      </c>
      <c r="J4620" s="16">
        <v>86689.906756021039</v>
      </c>
      <c r="K4620" s="5">
        <v>0.16563906217110227</v>
      </c>
      <c r="L4620" s="10">
        <v>173486.87539999999</v>
      </c>
    </row>
    <row r="4621" spans="1:12" x14ac:dyDescent="0.25">
      <c r="A4621">
        <v>4620</v>
      </c>
      <c r="B4621" s="3">
        <v>0.18164566812151053</v>
      </c>
      <c r="C4621" s="3">
        <v>7.1140475076709911E-2</v>
      </c>
      <c r="D4621" s="1">
        <v>143789.91318521166</v>
      </c>
      <c r="E4621" s="1">
        <v>6000203</v>
      </c>
      <c r="F4621" s="1">
        <v>30110013</v>
      </c>
      <c r="G4621" s="16">
        <v>45193.093516330599</v>
      </c>
      <c r="H4621">
        <v>338.17</v>
      </c>
      <c r="I4621" s="1">
        <v>837.34999999999991</v>
      </c>
      <c r="J4621" s="16">
        <v>188983.00670154224</v>
      </c>
      <c r="K4621" s="5">
        <v>3.3476685167209766E-2</v>
      </c>
      <c r="L4621" s="10">
        <v>81806.737599999993</v>
      </c>
    </row>
    <row r="4622" spans="1:12" x14ac:dyDescent="0.25">
      <c r="A4622">
        <v>4621</v>
      </c>
      <c r="B4622" s="3">
        <v>0.16889196372252457</v>
      </c>
      <c r="C4622" s="3">
        <v>5.2568654440131243E-2</v>
      </c>
      <c r="D4622" s="1">
        <v>113209.40397833133</v>
      </c>
      <c r="E4622" s="1">
        <v>3690737</v>
      </c>
      <c r="F4622" s="1">
        <v>18739024</v>
      </c>
      <c r="G4622" s="16">
        <v>32976.342938528069</v>
      </c>
      <c r="H4622">
        <v>181.12</v>
      </c>
      <c r="I4622" s="1">
        <v>504.76</v>
      </c>
      <c r="J4622" s="16">
        <v>146185.74691685941</v>
      </c>
      <c r="K4622" s="5">
        <v>0.11220728975348375</v>
      </c>
      <c r="L4622" s="10">
        <v>237794.91219999999</v>
      </c>
    </row>
    <row r="4623" spans="1:12" x14ac:dyDescent="0.25">
      <c r="A4623">
        <v>4622</v>
      </c>
      <c r="B4623" s="3">
        <v>0.10713462101495061</v>
      </c>
      <c r="C4623" s="3">
        <v>4.00089693428307E-2</v>
      </c>
      <c r="D4623" s="1">
        <v>189120.45795451081</v>
      </c>
      <c r="E4623" s="1">
        <v>5569262</v>
      </c>
      <c r="F4623" s="1">
        <v>29032742</v>
      </c>
      <c r="G4623" s="16">
        <v>21098.577853941606</v>
      </c>
      <c r="H4623">
        <v>62.64</v>
      </c>
      <c r="I4623" s="1">
        <v>210.16000000000003</v>
      </c>
      <c r="J4623" s="16">
        <v>210219.03580845241</v>
      </c>
      <c r="K4623" s="5">
        <v>0.16685332585121415</v>
      </c>
      <c r="L4623" s="10">
        <v>740576.65289999999</v>
      </c>
    </row>
    <row r="4624" spans="1:12" x14ac:dyDescent="0.25">
      <c r="A4624">
        <v>4623</v>
      </c>
      <c r="B4624" s="3">
        <v>0.22567871717749804</v>
      </c>
      <c r="C4624" s="3">
        <v>4.5700304540729209E-2</v>
      </c>
      <c r="D4624" s="1">
        <v>127075.43558075347</v>
      </c>
      <c r="E4624" s="1">
        <v>8543947</v>
      </c>
      <c r="F4624" s="1">
        <v>50490613</v>
      </c>
      <c r="G4624" s="16">
        <v>8685.2217939897309</v>
      </c>
      <c r="H4624">
        <v>60.57</v>
      </c>
      <c r="I4624" s="1">
        <v>199.93</v>
      </c>
      <c r="J4624" s="16">
        <v>135760.6573747432</v>
      </c>
      <c r="K4624" s="5">
        <v>8.4161313427410789E-2</v>
      </c>
      <c r="L4624" s="10">
        <v>229337.6134</v>
      </c>
    </row>
    <row r="4625" spans="1:12" x14ac:dyDescent="0.25">
      <c r="A4625">
        <v>4624</v>
      </c>
      <c r="B4625" s="3">
        <v>0.1767376728489044</v>
      </c>
      <c r="C4625" s="3">
        <v>6.8283576689934955E-2</v>
      </c>
      <c r="D4625" s="1">
        <v>366131.848684119</v>
      </c>
      <c r="E4625" s="1">
        <v>18119617</v>
      </c>
      <c r="F4625" s="1">
        <v>69675551</v>
      </c>
      <c r="G4625" s="16">
        <v>30079.359093972926</v>
      </c>
      <c r="H4625">
        <v>176.46</v>
      </c>
      <c r="I4625" s="1">
        <v>472.87</v>
      </c>
      <c r="J4625" s="16">
        <v>396211.20777809195</v>
      </c>
      <c r="K4625" s="5">
        <v>5.0896953627977845E-2</v>
      </c>
      <c r="L4625" s="10">
        <v>272232.35940000002</v>
      </c>
    </row>
    <row r="4626" spans="1:12" x14ac:dyDescent="0.25">
      <c r="A4626">
        <v>4625</v>
      </c>
      <c r="B4626" s="3">
        <v>0.16305967817396577</v>
      </c>
      <c r="C4626" s="3">
        <v>3.3812614924212149E-2</v>
      </c>
      <c r="D4626" s="1">
        <v>50426.398676986362</v>
      </c>
      <c r="E4626" s="1">
        <v>1347323</v>
      </c>
      <c r="F4626" s="1">
        <v>9598152</v>
      </c>
      <c r="G4626" s="16">
        <v>50945.37235292016</v>
      </c>
      <c r="H4626">
        <v>266.39999999999998</v>
      </c>
      <c r="I4626" s="1">
        <v>619.97</v>
      </c>
      <c r="J4626" s="16">
        <v>101371.77102990652</v>
      </c>
      <c r="K4626" s="5">
        <v>8.6322693176979853E-2</v>
      </c>
      <c r="L4626" s="10">
        <v>209814.44949999999</v>
      </c>
    </row>
    <row r="4627" spans="1:12" x14ac:dyDescent="0.25">
      <c r="A4627">
        <v>4626</v>
      </c>
      <c r="B4627" s="3">
        <v>0.15110288625204218</v>
      </c>
      <c r="C4627" s="3">
        <v>6.2110227951574948E-2</v>
      </c>
      <c r="D4627" s="1">
        <v>116405.92147619577</v>
      </c>
      <c r="E4627" s="1">
        <v>3561336</v>
      </c>
      <c r="F4627" s="1">
        <v>14992761</v>
      </c>
      <c r="G4627" s="16">
        <v>11481.034955887626</v>
      </c>
      <c r="H4627">
        <v>39.14</v>
      </c>
      <c r="I4627" s="1">
        <v>124.97</v>
      </c>
      <c r="J4627" s="16">
        <v>127886.95643208339</v>
      </c>
      <c r="K4627" s="5">
        <v>2.6194791858921151E-2</v>
      </c>
      <c r="L4627" s="10">
        <v>61355.733500000002</v>
      </c>
    </row>
    <row r="4628" spans="1:12" x14ac:dyDescent="0.25">
      <c r="A4628">
        <v>4627</v>
      </c>
      <c r="B4628" s="3">
        <v>0.12280838075735104</v>
      </c>
      <c r="C4628" s="3">
        <v>6.1921563977415342E-2</v>
      </c>
      <c r="D4628" s="1">
        <v>307547.47459754784</v>
      </c>
      <c r="E4628" s="1">
        <v>11082629</v>
      </c>
      <c r="F4628" s="1">
        <v>44303519</v>
      </c>
      <c r="G4628" s="16">
        <v>116778.3072149299</v>
      </c>
      <c r="H4628">
        <v>501.31</v>
      </c>
      <c r="I4628" s="1">
        <v>1165.3799999999999</v>
      </c>
      <c r="J4628" s="16">
        <v>424325.78181247774</v>
      </c>
      <c r="K4628" s="5">
        <v>0.17644830212460222</v>
      </c>
      <c r="L4628" s="10">
        <v>865048.09580000001</v>
      </c>
    </row>
    <row r="4629" spans="1:12" x14ac:dyDescent="0.25">
      <c r="A4629">
        <v>4628</v>
      </c>
      <c r="B4629" s="3">
        <v>0.21239394390832014</v>
      </c>
      <c r="C4629" s="3">
        <v>6.6284306087515704E-2</v>
      </c>
      <c r="D4629" s="1">
        <v>110316.25395099493</v>
      </c>
      <c r="E4629" s="1">
        <v>5365454</v>
      </c>
      <c r="F4629" s="1">
        <v>24174047</v>
      </c>
      <c r="G4629" s="16">
        <v>10097.363066190157</v>
      </c>
      <c r="H4629">
        <v>63.56</v>
      </c>
      <c r="I4629" s="1">
        <v>270.05</v>
      </c>
      <c r="J4629" s="16">
        <v>120413.61701718508</v>
      </c>
      <c r="K4629" s="5">
        <v>9.3117519859302916E-2</v>
      </c>
      <c r="L4629" s="10">
        <v>108170.97229999999</v>
      </c>
    </row>
    <row r="4630" spans="1:12" x14ac:dyDescent="0.25">
      <c r="A4630">
        <v>4629</v>
      </c>
      <c r="B4630" s="3">
        <v>0.11224637611166011</v>
      </c>
      <c r="C4630" s="3">
        <v>2.3551889969578667E-2</v>
      </c>
      <c r="D4630" s="1">
        <v>278333.70116446604</v>
      </c>
      <c r="E4630" s="1">
        <v>8386842</v>
      </c>
      <c r="F4630" s="1">
        <v>40566097</v>
      </c>
      <c r="G4630" s="16">
        <v>79063.296058406777</v>
      </c>
      <c r="H4630">
        <v>308.29000000000002</v>
      </c>
      <c r="I4630" s="1">
        <v>775.86000000000013</v>
      </c>
      <c r="J4630" s="16">
        <v>357396.9972228728</v>
      </c>
      <c r="K4630" s="5">
        <v>0.30550145832484937</v>
      </c>
      <c r="L4630" s="10">
        <v>3995649.8593000001</v>
      </c>
    </row>
    <row r="4631" spans="1:12" x14ac:dyDescent="0.25">
      <c r="A4631">
        <v>4630</v>
      </c>
      <c r="B4631" s="3">
        <v>0.20003196658763758</v>
      </c>
      <c r="C4631" s="3">
        <v>2.8324281335135162E-2</v>
      </c>
      <c r="D4631" s="1">
        <v>47975.653335604562</v>
      </c>
      <c r="E4631" s="1">
        <v>1753903</v>
      </c>
      <c r="F4631" s="1">
        <v>13366505</v>
      </c>
      <c r="G4631" s="16">
        <v>23107.46273624439</v>
      </c>
      <c r="H4631">
        <v>165.63</v>
      </c>
      <c r="I4631" s="1">
        <v>464.71</v>
      </c>
      <c r="J4631" s="16">
        <v>71083.116071848955</v>
      </c>
      <c r="K4631" s="5">
        <v>9.4160237953505643E-2</v>
      </c>
      <c r="L4631" s="10">
        <v>219653.10269999999</v>
      </c>
    </row>
    <row r="4632" spans="1:12" x14ac:dyDescent="0.25">
      <c r="A4632">
        <v>4631</v>
      </c>
      <c r="B4632" s="3">
        <v>0.19758763905763457</v>
      </c>
      <c r="C4632" s="3">
        <v>4.4015096427983499E-2</v>
      </c>
      <c r="D4632" s="1">
        <v>153651.16748010259</v>
      </c>
      <c r="E4632" s="1">
        <v>6936618</v>
      </c>
      <c r="F4632" s="1">
        <v>27231872</v>
      </c>
      <c r="G4632" s="16">
        <v>9713.3408210274301</v>
      </c>
      <c r="H4632">
        <v>43.91</v>
      </c>
      <c r="I4632" s="1">
        <v>148.70999999999998</v>
      </c>
      <c r="J4632" s="16">
        <v>163364.50830113003</v>
      </c>
      <c r="K4632" s="5">
        <v>5.8077495843236293E-2</v>
      </c>
      <c r="L4632" s="10">
        <v>183292.5772</v>
      </c>
    </row>
    <row r="4633" spans="1:12" x14ac:dyDescent="0.25">
      <c r="A4633">
        <v>4632</v>
      </c>
      <c r="B4633" s="3">
        <v>0.21367443880017251</v>
      </c>
      <c r="C4633" s="3">
        <v>6.9661713176061624E-2</v>
      </c>
      <c r="D4633" s="1">
        <v>50938.435798690633</v>
      </c>
      <c r="E4633" s="1">
        <v>1960837</v>
      </c>
      <c r="F4633" s="1">
        <v>14112862</v>
      </c>
      <c r="G4633" s="16">
        <v>12840.196304340014</v>
      </c>
      <c r="H4633">
        <v>81.81</v>
      </c>
      <c r="I4633" s="1">
        <v>312.27</v>
      </c>
      <c r="J4633" s="16">
        <v>63778.632103030643</v>
      </c>
      <c r="K4633" s="5">
        <v>-0.13445532453613915</v>
      </c>
      <c r="L4633" s="10">
        <v>-70974.592199999999</v>
      </c>
    </row>
    <row r="4634" spans="1:12" x14ac:dyDescent="0.25">
      <c r="A4634">
        <v>4633</v>
      </c>
      <c r="B4634" s="3">
        <v>0.1976606861695735</v>
      </c>
      <c r="C4634" s="3">
        <v>6.9783424721406917E-2</v>
      </c>
      <c r="D4634" s="1">
        <v>215956.27910801195</v>
      </c>
      <c r="E4634" s="1">
        <v>12155658</v>
      </c>
      <c r="F4634" s="1">
        <v>51537148</v>
      </c>
      <c r="G4634" s="16">
        <v>28589.379458853007</v>
      </c>
      <c r="H4634">
        <v>201.1</v>
      </c>
      <c r="I4634" s="1">
        <v>589.84</v>
      </c>
      <c r="J4634" s="16">
        <v>244545.65856686496</v>
      </c>
      <c r="K4634" s="5">
        <v>-1.272059930666132E-2</v>
      </c>
      <c r="L4634" s="10">
        <v>-4292.3715000000002</v>
      </c>
    </row>
    <row r="4635" spans="1:12" x14ac:dyDescent="0.25">
      <c r="A4635">
        <v>4634</v>
      </c>
      <c r="B4635" s="3">
        <v>0.12457192899521044</v>
      </c>
      <c r="C4635" s="3">
        <v>3.1007019674989478E-2</v>
      </c>
      <c r="D4635" s="1">
        <v>293119.58430805115</v>
      </c>
      <c r="E4635" s="1">
        <v>9340409</v>
      </c>
      <c r="F4635" s="1">
        <v>42059742</v>
      </c>
      <c r="G4635" s="16">
        <v>26382.21495965551</v>
      </c>
      <c r="H4635">
        <v>88.14</v>
      </c>
      <c r="I4635" s="1">
        <v>228.87</v>
      </c>
      <c r="J4635" s="16">
        <v>319501.79926770669</v>
      </c>
      <c r="K4635" s="5">
        <v>0.14718778726323323</v>
      </c>
      <c r="L4635" s="10">
        <v>1264641.1921999999</v>
      </c>
    </row>
    <row r="4636" spans="1:12" x14ac:dyDescent="0.25">
      <c r="A4636">
        <v>4635</v>
      </c>
      <c r="B4636" s="3">
        <v>0.12916778343315113</v>
      </c>
      <c r="C4636" s="3">
        <v>5.4239104402882599E-2</v>
      </c>
      <c r="D4636" s="1">
        <v>225097.92689093118</v>
      </c>
      <c r="E4636" s="1">
        <v>7325484</v>
      </c>
      <c r="F4636" s="1">
        <v>36275019</v>
      </c>
      <c r="G4636" s="16">
        <v>27699.596840387203</v>
      </c>
      <c r="H4636">
        <v>109.82</v>
      </c>
      <c r="I4636" s="1">
        <v>494.58</v>
      </c>
      <c r="J4636" s="16">
        <v>252797.52373131839</v>
      </c>
      <c r="K4636" s="5">
        <v>-3.6497577272701538E-3</v>
      </c>
      <c r="L4636" s="10">
        <v>40939.481699999997</v>
      </c>
    </row>
    <row r="4637" spans="1:12" x14ac:dyDescent="0.25">
      <c r="A4637">
        <v>4636</v>
      </c>
      <c r="B4637" s="3">
        <v>0.21495070317937795</v>
      </c>
      <c r="C4637" s="3">
        <v>7.7068956525479182E-2</v>
      </c>
      <c r="D4637" s="1">
        <v>65675.966080937069</v>
      </c>
      <c r="E4637" s="1">
        <v>3236097</v>
      </c>
      <c r="F4637" s="1">
        <v>24859329</v>
      </c>
      <c r="G4637" s="16">
        <v>16752.949389831665</v>
      </c>
      <c r="H4637">
        <v>137.13999999999999</v>
      </c>
      <c r="I4637" s="1">
        <v>475.22</v>
      </c>
      <c r="J4637" s="16">
        <v>82428.915470768727</v>
      </c>
      <c r="K4637" s="5">
        <v>0.24450666737242741</v>
      </c>
      <c r="L4637" s="10">
        <v>225458.91949999999</v>
      </c>
    </row>
    <row r="4638" spans="1:12" x14ac:dyDescent="0.25">
      <c r="A4638">
        <v>4637</v>
      </c>
      <c r="B4638" s="3">
        <v>0.14418403429512408</v>
      </c>
      <c r="C4638" s="3">
        <v>4.5964559675286065E-2</v>
      </c>
      <c r="D4638" s="1">
        <v>82559.7787933566</v>
      </c>
      <c r="E4638" s="1">
        <v>2109649</v>
      </c>
      <c r="F4638" s="1">
        <v>9859110</v>
      </c>
      <c r="G4638" s="16">
        <v>28800.656626020187</v>
      </c>
      <c r="H4638">
        <v>128.91999999999999</v>
      </c>
      <c r="I4638" s="1">
        <v>388.49</v>
      </c>
      <c r="J4638" s="16">
        <v>111360.43541937679</v>
      </c>
      <c r="K4638" s="5">
        <v>0.16642314351676157</v>
      </c>
      <c r="L4638" s="10">
        <v>298522.23320000002</v>
      </c>
    </row>
    <row r="4639" spans="1:12" x14ac:dyDescent="0.25">
      <c r="A4639">
        <v>4638</v>
      </c>
      <c r="B4639" s="3">
        <v>0.23206663618968831</v>
      </c>
      <c r="C4639" s="3">
        <v>4.7210216709677989E-2</v>
      </c>
      <c r="D4639" s="1">
        <v>61606.123258062435</v>
      </c>
      <c r="E4639" s="1">
        <v>2545988</v>
      </c>
      <c r="F4639" s="1">
        <v>17791849</v>
      </c>
      <c r="G4639" s="16">
        <v>15853.860751599135</v>
      </c>
      <c r="H4639">
        <v>151.4</v>
      </c>
      <c r="I4639" s="1">
        <v>503.62</v>
      </c>
      <c r="J4639" s="16">
        <v>77459.984009661566</v>
      </c>
      <c r="K4639" s="5">
        <v>0.15039197576984709</v>
      </c>
      <c r="L4639" s="10">
        <v>197994.91519999999</v>
      </c>
    </row>
    <row r="4640" spans="1:12" x14ac:dyDescent="0.25">
      <c r="A4640">
        <v>4639</v>
      </c>
      <c r="B4640" s="3">
        <v>0.18515786959668629</v>
      </c>
      <c r="C4640" s="3">
        <v>6.4517112512371508E-2</v>
      </c>
      <c r="D4640" s="1">
        <v>72475.217880096257</v>
      </c>
      <c r="E4640" s="1">
        <v>2507100</v>
      </c>
      <c r="F4640" s="1">
        <v>12844704</v>
      </c>
      <c r="G4640" s="16">
        <v>26574.622359076271</v>
      </c>
      <c r="H4640">
        <v>167.65</v>
      </c>
      <c r="I4640" s="1">
        <v>467.81999999999994</v>
      </c>
      <c r="J4640" s="16">
        <v>99049.840239172525</v>
      </c>
      <c r="K4640" s="5">
        <v>0.13449564939580444</v>
      </c>
      <c r="L4640" s="10">
        <v>149573.91870000001</v>
      </c>
    </row>
    <row r="4641" spans="1:12" x14ac:dyDescent="0.25">
      <c r="A4641">
        <v>4640</v>
      </c>
      <c r="B4641" s="3">
        <v>0.15327872600461995</v>
      </c>
      <c r="C4641" s="3">
        <v>6.7336734738722065E-2</v>
      </c>
      <c r="D4641" s="1">
        <v>120272.78359441976</v>
      </c>
      <c r="E4641" s="1">
        <v>4379337</v>
      </c>
      <c r="F4641" s="1">
        <v>23500644</v>
      </c>
      <c r="G4641" s="16">
        <v>32048.023941758605</v>
      </c>
      <c r="H4641">
        <v>154.53</v>
      </c>
      <c r="I4641" s="1">
        <v>397.37</v>
      </c>
      <c r="J4641" s="16">
        <v>152320.80753617836</v>
      </c>
      <c r="K4641" s="5">
        <v>0.16566225566565362</v>
      </c>
      <c r="L4641" s="10">
        <v>286604.89720000001</v>
      </c>
    </row>
    <row r="4642" spans="1:12" x14ac:dyDescent="0.25">
      <c r="A4642">
        <v>4641</v>
      </c>
      <c r="B4642" s="3">
        <v>0.10735384537420006</v>
      </c>
      <c r="C4642" s="3">
        <v>7.1957227086948031E-2</v>
      </c>
      <c r="D4642" s="1">
        <v>145989.80025498415</v>
      </c>
      <c r="E4642" s="1">
        <v>3841378</v>
      </c>
      <c r="F4642" s="1">
        <v>18136359</v>
      </c>
      <c r="G4642" s="16">
        <v>62707.495151769428</v>
      </c>
      <c r="H4642">
        <v>208.97</v>
      </c>
      <c r="I4642" s="1">
        <v>759.90000000000009</v>
      </c>
      <c r="J4642" s="16">
        <v>208697.29540675358</v>
      </c>
      <c r="K4642" s="5">
        <v>9.4884250832086986E-4</v>
      </c>
      <c r="L4642" s="10">
        <v>2931.8739999999998</v>
      </c>
    </row>
    <row r="4643" spans="1:12" x14ac:dyDescent="0.25">
      <c r="A4643">
        <v>4642</v>
      </c>
      <c r="B4643" s="3">
        <v>0.10040595210817511</v>
      </c>
      <c r="C4643" s="3">
        <v>2.6777976320143622E-2</v>
      </c>
      <c r="D4643" s="1">
        <v>332524.06839682051</v>
      </c>
      <c r="E4643" s="1">
        <v>9502538</v>
      </c>
      <c r="F4643" s="1">
        <v>29041170</v>
      </c>
      <c r="G4643" s="16">
        <v>31359.222730842197</v>
      </c>
      <c r="H4643">
        <v>88.78</v>
      </c>
      <c r="I4643" s="1">
        <v>284.79999999999995</v>
      </c>
      <c r="J4643" s="16">
        <v>363883.2911276627</v>
      </c>
      <c r="K4643" s="5">
        <v>3.1660046615565568E-2</v>
      </c>
      <c r="L4643" s="10">
        <v>344618.7769</v>
      </c>
    </row>
    <row r="4644" spans="1:12" x14ac:dyDescent="0.25">
      <c r="A4644">
        <v>4643</v>
      </c>
      <c r="B4644" s="3">
        <v>0.10864801940377303</v>
      </c>
      <c r="C4644" s="3">
        <v>2.6002630171552153E-2</v>
      </c>
      <c r="D4644" s="1">
        <v>131545.37637996281</v>
      </c>
      <c r="E4644" s="1">
        <v>3476409</v>
      </c>
      <c r="F4644" s="1">
        <v>15815615</v>
      </c>
      <c r="G4644" s="16">
        <v>68464.930741588498</v>
      </c>
      <c r="H4644">
        <v>230.4</v>
      </c>
      <c r="I4644" s="1">
        <v>560.41999999999996</v>
      </c>
      <c r="J4644" s="16">
        <v>200010.3071215513</v>
      </c>
      <c r="K4644" s="5">
        <v>0.11785998772155629</v>
      </c>
      <c r="L4644" s="10">
        <v>764886.65009999997</v>
      </c>
    </row>
    <row r="4645" spans="1:12" x14ac:dyDescent="0.25">
      <c r="A4645">
        <v>4644</v>
      </c>
      <c r="B4645" s="3">
        <v>0.11735752640548754</v>
      </c>
      <c r="C4645" s="3">
        <v>2.3335706544451006E-2</v>
      </c>
      <c r="D4645" s="1">
        <v>135065.45034403855</v>
      </c>
      <c r="E4645" s="1">
        <v>4164936</v>
      </c>
      <c r="F4645" s="1">
        <v>22107355</v>
      </c>
      <c r="G4645" s="16">
        <v>13798.363038648748</v>
      </c>
      <c r="H4645">
        <v>38.74</v>
      </c>
      <c r="I4645" s="1">
        <v>154.28</v>
      </c>
      <c r="J4645" s="16">
        <v>148863.81338268728</v>
      </c>
      <c r="K4645" s="5">
        <v>5.9087976461456984E-2</v>
      </c>
      <c r="L4645" s="10">
        <v>323034.5539</v>
      </c>
    </row>
    <row r="4646" spans="1:12" x14ac:dyDescent="0.25">
      <c r="A4646">
        <v>4645</v>
      </c>
      <c r="B4646" s="3">
        <v>0.22956853968032664</v>
      </c>
      <c r="C4646" s="3">
        <v>6.5087767320933868E-2</v>
      </c>
      <c r="D4646" s="1">
        <v>50096.844004301369</v>
      </c>
      <c r="E4646" s="1">
        <v>2050270</v>
      </c>
      <c r="F4646" s="1">
        <v>12013828</v>
      </c>
      <c r="G4646" s="16">
        <v>6401.373764480214</v>
      </c>
      <c r="H4646">
        <v>27.31</v>
      </c>
      <c r="I4646" s="1">
        <v>94.070000000000007</v>
      </c>
      <c r="J4646" s="16">
        <v>56498.217768781586</v>
      </c>
      <c r="K4646" s="5">
        <v>0.14094875779616212</v>
      </c>
      <c r="L4646" s="10">
        <v>97650.051200000002</v>
      </c>
    </row>
    <row r="4647" spans="1:12" x14ac:dyDescent="0.25">
      <c r="A4647">
        <v>4646</v>
      </c>
      <c r="B4647" s="3">
        <v>0.10372964554423773</v>
      </c>
      <c r="C4647" s="3">
        <v>4.8206597490459073E-2</v>
      </c>
      <c r="D4647" s="1">
        <v>167302.82472426168</v>
      </c>
      <c r="E4647" s="1">
        <v>4852330</v>
      </c>
      <c r="F4647" s="1">
        <v>27027546</v>
      </c>
      <c r="G4647" s="16">
        <v>43979.112342359964</v>
      </c>
      <c r="H4647">
        <v>142.44999999999999</v>
      </c>
      <c r="I4647" s="1">
        <v>395.06</v>
      </c>
      <c r="J4647" s="16">
        <v>211281.93706662164</v>
      </c>
      <c r="K4647" s="5">
        <v>-2.3300475637939889E-3</v>
      </c>
      <c r="L4647" s="10">
        <v>8238.5007000000005</v>
      </c>
    </row>
    <row r="4648" spans="1:12" x14ac:dyDescent="0.25">
      <c r="A4648">
        <v>4647</v>
      </c>
      <c r="B4648" s="3">
        <v>0.21993036586604625</v>
      </c>
      <c r="C4648" s="3">
        <v>6.5277087100076694E-2</v>
      </c>
      <c r="D4648" s="1">
        <v>94794.269714870868</v>
      </c>
      <c r="E4648" s="1">
        <v>3737538</v>
      </c>
      <c r="F4648" s="1">
        <v>16302535</v>
      </c>
      <c r="G4648" s="16">
        <v>11491.632713435865</v>
      </c>
      <c r="H4648">
        <v>76.84</v>
      </c>
      <c r="I4648" s="1">
        <v>270.77999999999997</v>
      </c>
      <c r="J4648" s="16">
        <v>106285.90242830673</v>
      </c>
      <c r="K4648" s="5">
        <v>0.12988908503301733</v>
      </c>
      <c r="L4648" s="10">
        <v>161626.1911</v>
      </c>
    </row>
    <row r="4649" spans="1:12" x14ac:dyDescent="0.25">
      <c r="A4649">
        <v>4648</v>
      </c>
      <c r="B4649" s="3">
        <v>0.12562493674475783</v>
      </c>
      <c r="C4649" s="3">
        <v>7.4586021816382783E-2</v>
      </c>
      <c r="D4649" s="1">
        <v>338050.78161007934</v>
      </c>
      <c r="E4649" s="1">
        <v>12379287</v>
      </c>
      <c r="F4649" s="1">
        <v>62162588</v>
      </c>
      <c r="G4649" s="16">
        <v>36229.844653494503</v>
      </c>
      <c r="H4649">
        <v>139.53</v>
      </c>
      <c r="I4649" s="1">
        <v>458.36</v>
      </c>
      <c r="J4649" s="16">
        <v>374280.62626357382</v>
      </c>
      <c r="K4649" s="5">
        <v>0.22434671201165771</v>
      </c>
      <c r="L4649" s="10">
        <v>764405.70109999995</v>
      </c>
    </row>
    <row r="4650" spans="1:12" x14ac:dyDescent="0.25">
      <c r="A4650">
        <v>4649</v>
      </c>
      <c r="B4650" s="3">
        <v>0.20672325975316222</v>
      </c>
      <c r="C4650" s="3">
        <v>5.8431020318230539E-2</v>
      </c>
      <c r="D4650" s="1">
        <v>85608.908772035036</v>
      </c>
      <c r="E4650" s="1">
        <v>3209576</v>
      </c>
      <c r="F4650" s="1">
        <v>19328076</v>
      </c>
      <c r="G4650" s="16">
        <v>12682.688265484419</v>
      </c>
      <c r="H4650">
        <v>96.51</v>
      </c>
      <c r="I4650" s="1">
        <v>441.51</v>
      </c>
      <c r="J4650" s="16">
        <v>98291.597037519459</v>
      </c>
      <c r="K4650" s="5">
        <v>0.15166535944972184</v>
      </c>
      <c r="L4650" s="10">
        <v>223256.87580000001</v>
      </c>
    </row>
    <row r="4651" spans="1:12" x14ac:dyDescent="0.25">
      <c r="A4651">
        <v>4650</v>
      </c>
      <c r="B4651" s="3">
        <v>0.21494632676339259</v>
      </c>
      <c r="C4651" s="3">
        <v>3.7923461180366505E-2</v>
      </c>
      <c r="D4651" s="1">
        <v>31776.055360353916</v>
      </c>
      <c r="E4651" s="1">
        <v>1229149</v>
      </c>
      <c r="F4651" s="1">
        <v>11924861</v>
      </c>
      <c r="G4651" s="16">
        <v>24231.646145100669</v>
      </c>
      <c r="H4651">
        <v>198.2</v>
      </c>
      <c r="I4651" s="1">
        <v>701.45</v>
      </c>
      <c r="J4651" s="16">
        <v>56007.701505454585</v>
      </c>
      <c r="K4651" s="5">
        <v>0.26601451433851248</v>
      </c>
      <c r="L4651" s="10">
        <v>348383.24239999999</v>
      </c>
    </row>
    <row r="4652" spans="1:12" x14ac:dyDescent="0.25">
      <c r="A4652">
        <v>4651</v>
      </c>
      <c r="B4652" s="3">
        <v>0.18888551903286965</v>
      </c>
      <c r="C4652" s="3">
        <v>4.5618371268447366E-2</v>
      </c>
      <c r="D4652" s="1">
        <v>202811.16969575349</v>
      </c>
      <c r="E4652" s="1">
        <v>8769329</v>
      </c>
      <c r="F4652" s="1">
        <v>32946656</v>
      </c>
      <c r="G4652" s="16">
        <v>32360.224966469632</v>
      </c>
      <c r="H4652">
        <v>259.85000000000002</v>
      </c>
      <c r="I4652" s="1">
        <v>828.85</v>
      </c>
      <c r="J4652" s="16">
        <v>235171.39466222312</v>
      </c>
      <c r="K4652" s="5">
        <v>6.0061714456942125E-2</v>
      </c>
      <c r="L4652" s="10">
        <v>244742.95989999999</v>
      </c>
    </row>
    <row r="4653" spans="1:12" x14ac:dyDescent="0.25">
      <c r="A4653">
        <v>4652</v>
      </c>
      <c r="B4653" s="3">
        <v>0.13956332724216541</v>
      </c>
      <c r="C4653" s="3">
        <v>4.1192947322193939E-2</v>
      </c>
      <c r="D4653" s="1">
        <v>140033.04981115021</v>
      </c>
      <c r="E4653" s="1">
        <v>4781431</v>
      </c>
      <c r="F4653" s="1">
        <v>23890669</v>
      </c>
      <c r="G4653" s="16">
        <v>65535.449326120055</v>
      </c>
      <c r="H4653">
        <v>282.24</v>
      </c>
      <c r="I4653" s="1">
        <v>701.57</v>
      </c>
      <c r="J4653" s="16">
        <v>205568.49913727026</v>
      </c>
      <c r="K4653" s="5">
        <v>0.1832505597466256</v>
      </c>
      <c r="L4653" s="10">
        <v>747151.20869999996</v>
      </c>
    </row>
    <row r="4654" spans="1:12" x14ac:dyDescent="0.25">
      <c r="A4654">
        <v>4653</v>
      </c>
      <c r="B4654" s="3">
        <v>0.15593876886267163</v>
      </c>
      <c r="C4654" s="3">
        <v>4.9349328587213324E-2</v>
      </c>
      <c r="D4654" s="1">
        <v>75021.285565413826</v>
      </c>
      <c r="E4654" s="1">
        <v>2334885</v>
      </c>
      <c r="F4654" s="1">
        <v>15744318</v>
      </c>
      <c r="G4654" s="16">
        <v>27516.110079366896</v>
      </c>
      <c r="H4654">
        <v>135.46</v>
      </c>
      <c r="I4654" s="1">
        <v>419.51</v>
      </c>
      <c r="J4654" s="16">
        <v>102537.39564478071</v>
      </c>
      <c r="K4654" s="5">
        <v>8.7849454515356223E-2</v>
      </c>
      <c r="L4654" s="10">
        <v>157809.6887</v>
      </c>
    </row>
    <row r="4655" spans="1:12" x14ac:dyDescent="0.25">
      <c r="A4655">
        <v>4654</v>
      </c>
      <c r="B4655" s="3">
        <v>0.20409495623139878</v>
      </c>
      <c r="C4655" s="3">
        <v>3.4439377164039782E-2</v>
      </c>
      <c r="D4655" s="1">
        <v>393181.76662682148</v>
      </c>
      <c r="E4655" s="1">
        <v>23040396</v>
      </c>
      <c r="F4655" s="1">
        <v>65383327</v>
      </c>
      <c r="G4655" s="16">
        <v>10652.372595278224</v>
      </c>
      <c r="H4655">
        <v>63.11</v>
      </c>
      <c r="I4655" s="1">
        <v>228.43</v>
      </c>
      <c r="J4655" s="16">
        <v>403834.13922209968</v>
      </c>
      <c r="K4655" s="5">
        <v>0.23232774606184317</v>
      </c>
      <c r="L4655" s="10">
        <v>2182464.1982999998</v>
      </c>
    </row>
    <row r="4656" spans="1:12" x14ac:dyDescent="0.25">
      <c r="A4656">
        <v>4655</v>
      </c>
      <c r="B4656" s="3">
        <v>0.13906668037258738</v>
      </c>
      <c r="C4656" s="3">
        <v>6.5596088030724406E-2</v>
      </c>
      <c r="D4656" s="1">
        <v>239798.60008114218</v>
      </c>
      <c r="E4656" s="1">
        <v>8169037</v>
      </c>
      <c r="F4656" s="1">
        <v>35969395</v>
      </c>
      <c r="G4656" s="16">
        <v>26831.244487359789</v>
      </c>
      <c r="H4656">
        <v>115.28</v>
      </c>
      <c r="I4656" s="1">
        <v>440.16999999999996</v>
      </c>
      <c r="J4656" s="16">
        <v>266629.84456850198</v>
      </c>
      <c r="K4656" s="5">
        <v>0.1972822543106745</v>
      </c>
      <c r="L4656" s="10">
        <v>530335.81279999996</v>
      </c>
    </row>
    <row r="4657" spans="1:12" x14ac:dyDescent="0.25">
      <c r="A4657">
        <v>4656</v>
      </c>
      <c r="B4657" s="3">
        <v>0.13308126251018224</v>
      </c>
      <c r="C4657" s="3">
        <v>7.8404612391959783E-2</v>
      </c>
      <c r="D4657" s="1">
        <v>165594.90335503407</v>
      </c>
      <c r="E4657" s="1">
        <v>5487019</v>
      </c>
      <c r="F4657" s="1">
        <v>33008061</v>
      </c>
      <c r="G4657" s="16">
        <v>23853.273859018154</v>
      </c>
      <c r="H4657">
        <v>84.57</v>
      </c>
      <c r="I4657" s="1">
        <v>342.6</v>
      </c>
      <c r="J4657" s="16">
        <v>189448.17721405224</v>
      </c>
      <c r="K4657" s="5">
        <v>6.5336731686271923E-2</v>
      </c>
      <c r="L4657" s="10">
        <v>79871.279399999999</v>
      </c>
    </row>
    <row r="4658" spans="1:12" x14ac:dyDescent="0.25">
      <c r="A4658">
        <v>4657</v>
      </c>
      <c r="B4658" s="3">
        <v>0.21482393907375869</v>
      </c>
      <c r="C4658" s="3">
        <v>4.1720259627353741E-2</v>
      </c>
      <c r="D4658" s="1">
        <v>47112.348120621442</v>
      </c>
      <c r="E4658" s="1">
        <v>1821530</v>
      </c>
      <c r="F4658" s="1">
        <v>11955840</v>
      </c>
      <c r="G4658" s="16">
        <v>11451.072234597999</v>
      </c>
      <c r="H4658">
        <v>73.44</v>
      </c>
      <c r="I4658" s="1">
        <v>230.2</v>
      </c>
      <c r="J4658" s="16">
        <v>58563.420355219438</v>
      </c>
      <c r="K4658" s="5">
        <v>-8.9407201250478477E-2</v>
      </c>
      <c r="L4658" s="10">
        <v>-78811.673899999994</v>
      </c>
    </row>
    <row r="4659" spans="1:12" x14ac:dyDescent="0.25">
      <c r="A4659">
        <v>4658</v>
      </c>
      <c r="B4659" s="3">
        <v>0.18275871296384599</v>
      </c>
      <c r="C4659" s="3">
        <v>5.6700169214011845E-2</v>
      </c>
      <c r="D4659" s="1">
        <v>136659.00613433597</v>
      </c>
      <c r="E4659" s="1">
        <v>5733763</v>
      </c>
      <c r="F4659" s="1">
        <v>22271474</v>
      </c>
      <c r="G4659" s="16">
        <v>14878.980092834559</v>
      </c>
      <c r="H4659">
        <v>61.5</v>
      </c>
      <c r="I4659" s="1">
        <v>180.54999999999998</v>
      </c>
      <c r="J4659" s="16">
        <v>151537.98622717054</v>
      </c>
      <c r="K4659" s="5">
        <v>0.15623357002021437</v>
      </c>
      <c r="L4659" s="10">
        <v>313161.26199999999</v>
      </c>
    </row>
    <row r="4660" spans="1:12" x14ac:dyDescent="0.25">
      <c r="A4660">
        <v>4659</v>
      </c>
      <c r="B4660" s="3">
        <v>0.10875012062884287</v>
      </c>
      <c r="C4660" s="3">
        <v>7.7763252890173815E-2</v>
      </c>
      <c r="D4660" s="1">
        <v>115180.60249854495</v>
      </c>
      <c r="E4660" s="1">
        <v>3044970</v>
      </c>
      <c r="F4660" s="1">
        <v>16698775</v>
      </c>
      <c r="G4660" s="16">
        <v>66967.419068851319</v>
      </c>
      <c r="H4660">
        <v>225.68</v>
      </c>
      <c r="I4660" s="1">
        <v>566.72</v>
      </c>
      <c r="J4660" s="16">
        <v>182148.02156739627</v>
      </c>
      <c r="K4660" s="5">
        <v>8.2539200904612225E-2</v>
      </c>
      <c r="L4660" s="10">
        <v>156989.1286</v>
      </c>
    </row>
    <row r="4661" spans="1:12" x14ac:dyDescent="0.25">
      <c r="A4661">
        <v>4660</v>
      </c>
      <c r="B4661" s="3">
        <v>0.23384964237868611</v>
      </c>
      <c r="C4661" s="3">
        <v>3.51505337104977E-2</v>
      </c>
      <c r="D4661" s="1">
        <v>97541.134711261533</v>
      </c>
      <c r="E4661" s="1">
        <v>4059273</v>
      </c>
      <c r="F4661" s="1">
        <v>20030450</v>
      </c>
      <c r="G4661" s="16">
        <v>17578.087680741071</v>
      </c>
      <c r="H4661">
        <v>170.78</v>
      </c>
      <c r="I4661" s="1">
        <v>501.91999999999996</v>
      </c>
      <c r="J4661" s="16">
        <v>115119.2223920026</v>
      </c>
      <c r="K4661" s="5">
        <v>-3.1052724485488303E-2</v>
      </c>
      <c r="L4661" s="10">
        <v>-66611.113400000002</v>
      </c>
    </row>
    <row r="4662" spans="1:12" x14ac:dyDescent="0.25">
      <c r="A4662">
        <v>4661</v>
      </c>
      <c r="B4662" s="3">
        <v>0.19148554914040644</v>
      </c>
      <c r="C4662" s="3">
        <v>5.0633404350393311E-2</v>
      </c>
      <c r="D4662" s="1">
        <v>211308.00338873753</v>
      </c>
      <c r="E4662" s="1">
        <v>11446690</v>
      </c>
      <c r="F4662" s="1">
        <v>43487960</v>
      </c>
      <c r="G4662" s="16">
        <v>47598.651613395246</v>
      </c>
      <c r="H4662">
        <v>391.74</v>
      </c>
      <c r="I4662" s="1">
        <v>966.93000000000006</v>
      </c>
      <c r="J4662" s="16">
        <v>258906.65500213279</v>
      </c>
      <c r="K4662" s="5">
        <v>-3.1861988937159774E-2</v>
      </c>
      <c r="L4662" s="10">
        <v>-61197.501499999998</v>
      </c>
    </row>
    <row r="4663" spans="1:12" x14ac:dyDescent="0.25">
      <c r="A4663">
        <v>4662</v>
      </c>
      <c r="B4663" s="3">
        <v>0.13350138230914663</v>
      </c>
      <c r="C4663" s="3">
        <v>2.723818246200161E-2</v>
      </c>
      <c r="D4663" s="1">
        <v>67461.330134286589</v>
      </c>
      <c r="E4663" s="1">
        <v>1940681</v>
      </c>
      <c r="F4663" s="1">
        <v>13686706</v>
      </c>
      <c r="G4663" s="16">
        <v>20206.530710279207</v>
      </c>
      <c r="H4663">
        <v>71.87</v>
      </c>
      <c r="I4663" s="1">
        <v>206.23000000000002</v>
      </c>
      <c r="J4663" s="16">
        <v>87667.860844565788</v>
      </c>
      <c r="K4663" s="5">
        <v>6.7874871628784528E-2</v>
      </c>
      <c r="L4663" s="10">
        <v>207271.20069999999</v>
      </c>
    </row>
    <row r="4664" spans="1:12" x14ac:dyDescent="0.25">
      <c r="A4664">
        <v>4663</v>
      </c>
      <c r="B4664" s="3">
        <v>0.13055541543648394</v>
      </c>
      <c r="C4664" s="3">
        <v>3.1665787697893147E-2</v>
      </c>
      <c r="D4664" s="1">
        <v>224297.1737026241</v>
      </c>
      <c r="E4664" s="1">
        <v>7346136</v>
      </c>
      <c r="F4664" s="1">
        <v>34596290</v>
      </c>
      <c r="G4664" s="16">
        <v>53442.980508922315</v>
      </c>
      <c r="H4664">
        <v>214.54</v>
      </c>
      <c r="I4664" s="1">
        <v>764.04</v>
      </c>
      <c r="J4664" s="16">
        <v>277740.15421154641</v>
      </c>
      <c r="K4664" s="5">
        <v>0.11637389627328776</v>
      </c>
      <c r="L4664" s="10">
        <v>863286.07</v>
      </c>
    </row>
    <row r="4665" spans="1:12" x14ac:dyDescent="0.25">
      <c r="A4665">
        <v>4664</v>
      </c>
      <c r="B4665" s="3">
        <v>0.12141012739631146</v>
      </c>
      <c r="C4665" s="3">
        <v>2.8176409824613426E-2</v>
      </c>
      <c r="D4665" s="1">
        <v>155994.88165375587</v>
      </c>
      <c r="E4665" s="1">
        <v>4899689</v>
      </c>
      <c r="F4665" s="1">
        <v>28709627</v>
      </c>
      <c r="G4665" s="16">
        <v>138146.01848445632</v>
      </c>
      <c r="H4665">
        <v>665.82</v>
      </c>
      <c r="I4665" s="1">
        <v>1701.83</v>
      </c>
      <c r="J4665" s="16">
        <v>294140.90013821219</v>
      </c>
      <c r="K4665" s="5">
        <v>0.27835565749576413</v>
      </c>
      <c r="L4665" s="10">
        <v>2455643.4832000001</v>
      </c>
    </row>
    <row r="4666" spans="1:12" x14ac:dyDescent="0.25">
      <c r="A4666">
        <v>4665</v>
      </c>
      <c r="B4666" s="3">
        <v>0.16393103981628784</v>
      </c>
      <c r="C4666" s="3">
        <v>4.4959391676729993E-2</v>
      </c>
      <c r="D4666" s="1">
        <v>102967.92534447208</v>
      </c>
      <c r="E4666" s="1">
        <v>3943998</v>
      </c>
      <c r="F4666" s="1">
        <v>29012908</v>
      </c>
      <c r="G4666" s="16">
        <v>13579.341016145498</v>
      </c>
      <c r="H4666">
        <v>50.06</v>
      </c>
      <c r="I4666" s="1">
        <v>161.36000000000001</v>
      </c>
      <c r="J4666" s="16">
        <v>116547.26636061758</v>
      </c>
      <c r="K4666" s="5">
        <v>9.3364269687268325E-2</v>
      </c>
      <c r="L4666" s="10">
        <v>241251.04860000001</v>
      </c>
    </row>
    <row r="4667" spans="1:12" x14ac:dyDescent="0.25">
      <c r="A4667">
        <v>4666</v>
      </c>
      <c r="B4667" s="3">
        <v>0.17970553950994428</v>
      </c>
      <c r="C4667" s="3">
        <v>6.4390907264211442E-2</v>
      </c>
      <c r="D4667" s="1">
        <v>204071.239774188</v>
      </c>
      <c r="E4667" s="1">
        <v>8435389</v>
      </c>
      <c r="F4667" s="1">
        <v>30435785</v>
      </c>
      <c r="G4667" s="16">
        <v>12227.999548406769</v>
      </c>
      <c r="H4667">
        <v>60.25</v>
      </c>
      <c r="I4667" s="1">
        <v>273.05999999999995</v>
      </c>
      <c r="J4667" s="16">
        <v>216299.23932259477</v>
      </c>
      <c r="K4667" s="5">
        <v>7.6901376120464771E-2</v>
      </c>
      <c r="L4667" s="10">
        <v>202780.7058</v>
      </c>
    </row>
    <row r="4668" spans="1:12" x14ac:dyDescent="0.25">
      <c r="A4668">
        <v>4667</v>
      </c>
      <c r="B4668" s="3">
        <v>0.19978937536890434</v>
      </c>
      <c r="C4668" s="3">
        <v>2.6397071291899374E-2</v>
      </c>
      <c r="D4668" s="1">
        <v>108486.56603853573</v>
      </c>
      <c r="E4668" s="1">
        <v>4951780</v>
      </c>
      <c r="F4668" s="1">
        <v>24985214</v>
      </c>
      <c r="G4668" s="16">
        <v>19204.329395174365</v>
      </c>
      <c r="H4668">
        <v>109.87</v>
      </c>
      <c r="I4668" s="1">
        <v>334.62</v>
      </c>
      <c r="J4668" s="16">
        <v>127690.8954337101</v>
      </c>
      <c r="K4668" s="5">
        <v>1.7991002789855479E-3</v>
      </c>
      <c r="L4668" s="10">
        <v>47904.794300000001</v>
      </c>
    </row>
    <row r="4669" spans="1:12" x14ac:dyDescent="0.25">
      <c r="A4669">
        <v>4668</v>
      </c>
      <c r="B4669" s="3">
        <v>0.1260033913020592</v>
      </c>
      <c r="C4669" s="3">
        <v>3.144116444284295E-2</v>
      </c>
      <c r="D4669" s="1">
        <v>136645.40471718862</v>
      </c>
      <c r="E4669" s="1">
        <v>4382867</v>
      </c>
      <c r="F4669" s="1">
        <v>22554289</v>
      </c>
      <c r="G4669" s="16">
        <v>27134.815931386795</v>
      </c>
      <c r="H4669">
        <v>91.56</v>
      </c>
      <c r="I4669" s="1">
        <v>269.54999999999995</v>
      </c>
      <c r="J4669" s="16">
        <v>163780.2206485754</v>
      </c>
      <c r="K4669" s="5">
        <v>0.10643814177507765</v>
      </c>
      <c r="L4669" s="10">
        <v>456372.6765</v>
      </c>
    </row>
    <row r="4670" spans="1:12" x14ac:dyDescent="0.25">
      <c r="A4670">
        <v>4669</v>
      </c>
      <c r="B4670" s="3">
        <v>0.1515964176618099</v>
      </c>
      <c r="C4670" s="3">
        <v>3.8889631520325325E-2</v>
      </c>
      <c r="D4670" s="1">
        <v>119898.74466158496</v>
      </c>
      <c r="E4670" s="1">
        <v>4331189</v>
      </c>
      <c r="F4670" s="1">
        <v>22877294</v>
      </c>
      <c r="G4670" s="16">
        <v>32691.553288766372</v>
      </c>
      <c r="H4670">
        <v>155.51</v>
      </c>
      <c r="I4670" s="1">
        <v>521.09999999999991</v>
      </c>
      <c r="J4670" s="16">
        <v>152590.29795035132</v>
      </c>
      <c r="K4670" s="5">
        <v>0.11014170223156175</v>
      </c>
      <c r="L4670" s="10">
        <v>363581.31300000002</v>
      </c>
    </row>
    <row r="4671" spans="1:12" x14ac:dyDescent="0.25">
      <c r="A4671">
        <v>4670</v>
      </c>
      <c r="B4671" s="3">
        <v>0.15965200775388871</v>
      </c>
      <c r="C4671" s="3">
        <v>6.5580539275141889E-2</v>
      </c>
      <c r="D4671" s="1">
        <v>240451.08521600021</v>
      </c>
      <c r="E4671" s="1">
        <v>9023879</v>
      </c>
      <c r="F4671" s="1">
        <v>30238633</v>
      </c>
      <c r="G4671" s="16">
        <v>19743.337119252879</v>
      </c>
      <c r="H4671">
        <v>84.38</v>
      </c>
      <c r="I4671" s="1">
        <v>262.52999999999997</v>
      </c>
      <c r="J4671" s="16">
        <v>260194.4223352531</v>
      </c>
      <c r="K4671" s="5">
        <v>7.8771127543482131E-2</v>
      </c>
      <c r="L4671" s="10">
        <v>211342.3964</v>
      </c>
    </row>
    <row r="4672" spans="1:12" x14ac:dyDescent="0.25">
      <c r="A4672">
        <v>4671</v>
      </c>
      <c r="B4672" s="3">
        <v>0.11413539148892503</v>
      </c>
      <c r="C4672" s="3">
        <v>6.1026717094006658E-2</v>
      </c>
      <c r="D4672" s="1">
        <v>240797.16464160406</v>
      </c>
      <c r="E4672" s="1">
        <v>7317874</v>
      </c>
      <c r="F4672" s="1">
        <v>29581049</v>
      </c>
      <c r="G4672" s="16">
        <v>45024.264687251918</v>
      </c>
      <c r="H4672">
        <v>158.15</v>
      </c>
      <c r="I4672" s="1">
        <v>527.73</v>
      </c>
      <c r="J4672" s="16">
        <v>285821.429328856</v>
      </c>
      <c r="K4672" s="5">
        <v>0.12219209971272313</v>
      </c>
      <c r="L4672" s="10">
        <v>412570.23149999999</v>
      </c>
    </row>
    <row r="4673" spans="1:12" x14ac:dyDescent="0.25">
      <c r="A4673">
        <v>4672</v>
      </c>
      <c r="B4673" s="3">
        <v>0.21634022911744391</v>
      </c>
      <c r="C4673" s="3">
        <v>6.3813765221003904E-2</v>
      </c>
      <c r="D4673" s="1">
        <v>294686.23843365844</v>
      </c>
      <c r="E4673" s="1">
        <v>18660576</v>
      </c>
      <c r="F4673" s="1">
        <v>53852254</v>
      </c>
      <c r="G4673" s="16">
        <v>27308.79865867813</v>
      </c>
      <c r="H4673">
        <v>288.85000000000002</v>
      </c>
      <c r="I4673" s="1">
        <v>960.56000000000006</v>
      </c>
      <c r="J4673" s="16">
        <v>321995.03709233657</v>
      </c>
      <c r="K4673" s="5">
        <v>-3.1816554888378867E-2</v>
      </c>
      <c r="L4673" s="10">
        <v>-80514.160999999993</v>
      </c>
    </row>
    <row r="4674" spans="1:12" x14ac:dyDescent="0.25">
      <c r="A4674">
        <v>4673</v>
      </c>
      <c r="B4674" s="3">
        <v>0.15049640501642558</v>
      </c>
      <c r="C4674" s="3">
        <v>3.0503675447617042E-2</v>
      </c>
      <c r="D4674" s="1">
        <v>229119.97484887892</v>
      </c>
      <c r="E4674" s="1">
        <v>8233887</v>
      </c>
      <c r="F4674" s="1">
        <v>38547988</v>
      </c>
      <c r="G4674" s="16">
        <v>53110.802691780882</v>
      </c>
      <c r="H4674">
        <v>294.43</v>
      </c>
      <c r="I4674" s="1">
        <v>836.42000000000007</v>
      </c>
      <c r="J4674" s="16">
        <v>282230.77754065982</v>
      </c>
      <c r="K4674" s="5">
        <v>0.11676221307482214</v>
      </c>
      <c r="L4674" s="10">
        <v>927250.33330000006</v>
      </c>
    </row>
    <row r="4675" spans="1:12" x14ac:dyDescent="0.25">
      <c r="A4675">
        <v>4674</v>
      </c>
      <c r="B4675" s="3">
        <v>0.22483365199948208</v>
      </c>
      <c r="C4675" s="3">
        <v>2.9534495755915262E-2</v>
      </c>
      <c r="D4675" s="1">
        <v>176789.29043860323</v>
      </c>
      <c r="E4675" s="1">
        <v>11821821</v>
      </c>
      <c r="F4675" s="1">
        <v>58157272</v>
      </c>
      <c r="G4675" s="16">
        <v>8780.6413245699932</v>
      </c>
      <c r="H4675">
        <v>60.87</v>
      </c>
      <c r="I4675" s="1">
        <v>248.56</v>
      </c>
      <c r="J4675" s="16">
        <v>185569.93176317323</v>
      </c>
      <c r="K4675" s="5">
        <v>0.12838087940262172</v>
      </c>
      <c r="L4675" s="10">
        <v>664998.99990000005</v>
      </c>
    </row>
    <row r="4676" spans="1:12" x14ac:dyDescent="0.25">
      <c r="A4676">
        <v>4675</v>
      </c>
      <c r="B4676" s="3">
        <v>0.19510282395237838</v>
      </c>
      <c r="C4676" s="3">
        <v>2.6018612802591708E-2</v>
      </c>
      <c r="D4676" s="1">
        <v>131921.74039242801</v>
      </c>
      <c r="E4676" s="1">
        <v>5882439</v>
      </c>
      <c r="F4676" s="1">
        <v>26480086</v>
      </c>
      <c r="G4676" s="16">
        <v>36105.233275982406</v>
      </c>
      <c r="H4676">
        <v>308.45999999999998</v>
      </c>
      <c r="I4676" s="1">
        <v>812.68000000000006</v>
      </c>
      <c r="J4676" s="16">
        <v>168026.97366841041</v>
      </c>
      <c r="K4676" s="5">
        <v>6.7626208447687436E-2</v>
      </c>
      <c r="L4676" s="10">
        <v>391833.82370000001</v>
      </c>
    </row>
    <row r="4677" spans="1:12" x14ac:dyDescent="0.25">
      <c r="A4677">
        <v>4676</v>
      </c>
      <c r="B4677" s="3">
        <v>0.1134170351566407</v>
      </c>
      <c r="C4677" s="3">
        <v>2.7232943317260887E-2</v>
      </c>
      <c r="D4677" s="1">
        <v>126260.84577245005</v>
      </c>
      <c r="E4677" s="1">
        <v>3390888</v>
      </c>
      <c r="F4677" s="1">
        <v>18942885</v>
      </c>
      <c r="G4677" s="16">
        <v>24461.870388254632</v>
      </c>
      <c r="H4677">
        <v>75.78</v>
      </c>
      <c r="I4677" s="1">
        <v>255.69000000000003</v>
      </c>
      <c r="J4677" s="16">
        <v>150722.71616070467</v>
      </c>
      <c r="K4677" s="5">
        <v>0.16381471760945601</v>
      </c>
      <c r="L4677" s="10">
        <v>773981.01280000003</v>
      </c>
    </row>
    <row r="4678" spans="1:12" x14ac:dyDescent="0.25">
      <c r="A4678">
        <v>4677</v>
      </c>
      <c r="B4678" s="3">
        <v>0.20248136442094428</v>
      </c>
      <c r="C4678" s="3">
        <v>5.3853629616097201E-2</v>
      </c>
      <c r="D4678" s="1">
        <v>120057.39609034627</v>
      </c>
      <c r="E4678" s="1">
        <v>5554280</v>
      </c>
      <c r="F4678" s="1">
        <v>25843242</v>
      </c>
      <c r="G4678" s="16">
        <v>29892.229344144511</v>
      </c>
      <c r="H4678">
        <v>218.82</v>
      </c>
      <c r="I4678" s="1">
        <v>538.42000000000007</v>
      </c>
      <c r="J4678" s="16">
        <v>149949.62543449079</v>
      </c>
      <c r="K4678" s="5">
        <v>-0.13518395443248357</v>
      </c>
      <c r="L4678" s="10">
        <v>-248053.49429999999</v>
      </c>
    </row>
    <row r="4679" spans="1:12" x14ac:dyDescent="0.25">
      <c r="A4679">
        <v>4678</v>
      </c>
      <c r="B4679" s="3">
        <v>0.24686566619680281</v>
      </c>
      <c r="C4679" s="3">
        <v>3.3444425637229075E-2</v>
      </c>
      <c r="D4679" s="1">
        <v>59644.420250334624</v>
      </c>
      <c r="E4679" s="1">
        <v>2613096</v>
      </c>
      <c r="F4679" s="1">
        <v>15941992</v>
      </c>
      <c r="G4679" s="16">
        <v>6952.7333047192797</v>
      </c>
      <c r="H4679">
        <v>57.35</v>
      </c>
      <c r="I4679" s="1">
        <v>222.01</v>
      </c>
      <c r="J4679" s="16">
        <v>66597.153555053897</v>
      </c>
      <c r="K4679" s="5">
        <v>7.3873997656407731E-2</v>
      </c>
      <c r="L4679" s="10">
        <v>133506.28690000001</v>
      </c>
    </row>
    <row r="4680" spans="1:12" x14ac:dyDescent="0.25">
      <c r="A4680">
        <v>4679</v>
      </c>
      <c r="B4680" s="3">
        <v>0.12041428840316623</v>
      </c>
      <c r="C4680" s="3">
        <v>4.8270288160226826E-2</v>
      </c>
      <c r="D4680" s="1">
        <v>167673.66445771276</v>
      </c>
      <c r="E4680" s="1">
        <v>4611407</v>
      </c>
      <c r="F4680" s="1">
        <v>18668503</v>
      </c>
      <c r="G4680" s="16">
        <v>62947.576175601622</v>
      </c>
      <c r="H4680">
        <v>264.32</v>
      </c>
      <c r="I4680" s="1">
        <v>877.19</v>
      </c>
      <c r="J4680" s="16">
        <v>230621.24063331439</v>
      </c>
      <c r="K4680" s="5">
        <v>2.4360935368807971E-2</v>
      </c>
      <c r="L4680" s="10">
        <v>77634.044800000003</v>
      </c>
    </row>
    <row r="4681" spans="1:12" x14ac:dyDescent="0.25">
      <c r="A4681">
        <v>4680</v>
      </c>
      <c r="B4681" s="3">
        <v>0.24927602221299971</v>
      </c>
      <c r="C4681" s="3">
        <v>3.6198134412368035E-2</v>
      </c>
      <c r="D4681" s="1">
        <v>203462.95707679601</v>
      </c>
      <c r="E4681" s="1">
        <v>11988557</v>
      </c>
      <c r="F4681" s="1">
        <v>38921793</v>
      </c>
      <c r="G4681" s="16">
        <v>12640.392365356098</v>
      </c>
      <c r="H4681">
        <v>141.59</v>
      </c>
      <c r="I4681" s="1">
        <v>549.13</v>
      </c>
      <c r="J4681" s="16">
        <v>216103.3494421521</v>
      </c>
      <c r="K4681" s="5">
        <v>8.5037267989461554E-3</v>
      </c>
      <c r="L4681" s="10">
        <v>56090.483399999997</v>
      </c>
    </row>
    <row r="4682" spans="1:12" x14ac:dyDescent="0.25">
      <c r="A4682">
        <v>4681</v>
      </c>
      <c r="B4682" s="3">
        <v>0.23579072398982065</v>
      </c>
      <c r="C4682" s="3">
        <v>5.136077568103424E-2</v>
      </c>
      <c r="D4682" s="1">
        <v>276844.21746584203</v>
      </c>
      <c r="E4682" s="1">
        <v>19878169</v>
      </c>
      <c r="F4682" s="1">
        <v>68941985</v>
      </c>
      <c r="G4682" s="16">
        <v>14684.244648664257</v>
      </c>
      <c r="H4682">
        <v>145.02000000000001</v>
      </c>
      <c r="I4682" s="1">
        <v>500.31000000000006</v>
      </c>
      <c r="J4682" s="16">
        <v>291528.46211450628</v>
      </c>
      <c r="K4682" s="5">
        <v>0.14607809151320006</v>
      </c>
      <c r="L4682" s="10">
        <v>621365.75600000005</v>
      </c>
    </row>
    <row r="4683" spans="1:12" x14ac:dyDescent="0.25">
      <c r="A4683">
        <v>4682</v>
      </c>
      <c r="B4683" s="3">
        <v>0.13564512595366682</v>
      </c>
      <c r="C4683" s="3">
        <v>5.374857371234662E-2</v>
      </c>
      <c r="D4683" s="1">
        <v>295715.7304843117</v>
      </c>
      <c r="E4683" s="1">
        <v>9915376</v>
      </c>
      <c r="F4683" s="1">
        <v>31053050</v>
      </c>
      <c r="G4683" s="16">
        <v>66320.92065272262</v>
      </c>
      <c r="H4683">
        <v>276.69</v>
      </c>
      <c r="I4683" s="1">
        <v>693.46</v>
      </c>
      <c r="J4683" s="16">
        <v>362036.65113703429</v>
      </c>
      <c r="K4683" s="5">
        <v>4.1700394398411847E-2</v>
      </c>
      <c r="L4683" s="10">
        <v>218597.3083</v>
      </c>
    </row>
    <row r="4684" spans="1:12" x14ac:dyDescent="0.25">
      <c r="A4684">
        <v>4683</v>
      </c>
      <c r="B4684" s="3">
        <v>0.23253329691273031</v>
      </c>
      <c r="C4684" s="3">
        <v>7.3779429059519189E-2</v>
      </c>
      <c r="D4684" s="1">
        <v>72951.631958974933</v>
      </c>
      <c r="E4684" s="1">
        <v>3935493</v>
      </c>
      <c r="F4684" s="1">
        <v>21474546</v>
      </c>
      <c r="G4684" s="16">
        <v>27832.72031940988</v>
      </c>
      <c r="H4684">
        <v>267.20999999999998</v>
      </c>
      <c r="I4684" s="1">
        <v>640.08999999999992</v>
      </c>
      <c r="J4684" s="16">
        <v>100784.35227838482</v>
      </c>
      <c r="K4684" s="5">
        <v>8.0319438390148462E-2</v>
      </c>
      <c r="L4684" s="10">
        <v>99300.968200000003</v>
      </c>
    </row>
    <row r="4685" spans="1:12" x14ac:dyDescent="0.25">
      <c r="A4685">
        <v>4684</v>
      </c>
      <c r="B4685" s="3">
        <v>0.17484873501698328</v>
      </c>
      <c r="C4685" s="3">
        <v>5.2838688938335696E-2</v>
      </c>
      <c r="D4685" s="1">
        <v>118624.74242800138</v>
      </c>
      <c r="E4685" s="1">
        <v>4788991</v>
      </c>
      <c r="F4685" s="1">
        <v>27091057</v>
      </c>
      <c r="G4685" s="16">
        <v>12269.85233911953</v>
      </c>
      <c r="H4685">
        <v>58.47</v>
      </c>
      <c r="I4685" s="1">
        <v>277.27999999999997</v>
      </c>
      <c r="J4685" s="16">
        <v>130894.59476712091</v>
      </c>
      <c r="K4685" s="5">
        <v>1.9998106188987279E-2</v>
      </c>
      <c r="L4685" s="10">
        <v>17493.499100000001</v>
      </c>
    </row>
    <row r="4686" spans="1:12" x14ac:dyDescent="0.25">
      <c r="A4686">
        <v>4685</v>
      </c>
      <c r="B4686" s="3">
        <v>0.1802658881450776</v>
      </c>
      <c r="C4686" s="3">
        <v>2.0561107826616375E-2</v>
      </c>
      <c r="D4686" s="1">
        <v>141844.65177316187</v>
      </c>
      <c r="E4686" s="1">
        <v>5879269</v>
      </c>
      <c r="F4686" s="1">
        <v>31623199</v>
      </c>
      <c r="G4686" s="16">
        <v>29364.464289669897</v>
      </c>
      <c r="H4686">
        <v>177.59</v>
      </c>
      <c r="I4686" s="1">
        <v>516.74</v>
      </c>
      <c r="J4686" s="16">
        <v>171209.11606283177</v>
      </c>
      <c r="K4686" s="5">
        <v>1.4330907292923731E-2</v>
      </c>
      <c r="L4686" s="10">
        <v>135918.42679999999</v>
      </c>
    </row>
    <row r="4687" spans="1:12" x14ac:dyDescent="0.25">
      <c r="A4687">
        <v>4686</v>
      </c>
      <c r="B4687" s="3">
        <v>0.23462766947995323</v>
      </c>
      <c r="C4687" s="3">
        <v>6.4102632016915267E-2</v>
      </c>
      <c r="D4687" s="1">
        <v>46947.577822629042</v>
      </c>
      <c r="E4687" s="1">
        <v>1499929</v>
      </c>
      <c r="F4687" s="1">
        <v>10661585</v>
      </c>
      <c r="G4687" s="16">
        <v>7546.4235816315677</v>
      </c>
      <c r="H4687">
        <v>56.48</v>
      </c>
      <c r="I4687" s="1">
        <v>240.19</v>
      </c>
      <c r="J4687" s="16">
        <v>54494.001404260613</v>
      </c>
      <c r="K4687" s="5">
        <v>9.1365885065561286E-2</v>
      </c>
      <c r="L4687" s="10">
        <v>68563.131899999993</v>
      </c>
    </row>
    <row r="4688" spans="1:12" x14ac:dyDescent="0.25">
      <c r="A4688">
        <v>4687</v>
      </c>
      <c r="B4688" s="3">
        <v>0.15023231687802535</v>
      </c>
      <c r="C4688" s="3">
        <v>5.5613088174535294E-2</v>
      </c>
      <c r="D4688" s="1">
        <v>189541.91961440875</v>
      </c>
      <c r="E4688" s="1">
        <v>6803104</v>
      </c>
      <c r="F4688" s="1">
        <v>33272407</v>
      </c>
      <c r="G4688" s="16">
        <v>35723.044898076834</v>
      </c>
      <c r="H4688">
        <v>168.02</v>
      </c>
      <c r="I4688" s="1">
        <v>722.85</v>
      </c>
      <c r="J4688" s="16">
        <v>225264.96451248557</v>
      </c>
      <c r="K4688" s="5">
        <v>0.13543591359924714</v>
      </c>
      <c r="L4688" s="10">
        <v>414166.06929999997</v>
      </c>
    </row>
    <row r="4689" spans="1:12" x14ac:dyDescent="0.25">
      <c r="A4689">
        <v>4688</v>
      </c>
      <c r="B4689" s="3">
        <v>0.16255199701317696</v>
      </c>
      <c r="C4689" s="3">
        <v>2.1654141591589397E-2</v>
      </c>
      <c r="D4689" s="1">
        <v>231038.87745148959</v>
      </c>
      <c r="E4689" s="1">
        <v>8791363</v>
      </c>
      <c r="F4689" s="1">
        <v>37871068</v>
      </c>
      <c r="G4689" s="16">
        <v>11931.8645106274</v>
      </c>
      <c r="H4689">
        <v>43.55</v>
      </c>
      <c r="I4689" s="1">
        <v>155.99</v>
      </c>
      <c r="J4689" s="16">
        <v>242970.741962117</v>
      </c>
      <c r="K4689" s="5">
        <v>-5.3730364257296367E-3</v>
      </c>
      <c r="L4689" s="10">
        <v>-38036.248699999996</v>
      </c>
    </row>
    <row r="4690" spans="1:12" x14ac:dyDescent="0.25">
      <c r="A4690">
        <v>4689</v>
      </c>
      <c r="B4690" s="3">
        <v>0.11064029799309003</v>
      </c>
      <c r="C4690" s="3">
        <v>4.4388231796092498E-2</v>
      </c>
      <c r="D4690" s="1">
        <v>232998.12683586864</v>
      </c>
      <c r="E4690" s="1">
        <v>6970212</v>
      </c>
      <c r="F4690" s="1">
        <v>26333193</v>
      </c>
      <c r="G4690" s="16">
        <v>44884.055995569179</v>
      </c>
      <c r="H4690">
        <v>153.47999999999999</v>
      </c>
      <c r="I4690" s="1">
        <v>400.78</v>
      </c>
      <c r="J4690" s="16">
        <v>277882.18283143779</v>
      </c>
      <c r="K4690" s="5">
        <v>-4.522539919616296E-2</v>
      </c>
      <c r="L4690" s="10">
        <v>-190116.27220000001</v>
      </c>
    </row>
    <row r="4691" spans="1:12" x14ac:dyDescent="0.25">
      <c r="A4691">
        <v>4690</v>
      </c>
      <c r="B4691" s="3">
        <v>0.13287584008656572</v>
      </c>
      <c r="C4691" s="3">
        <v>2.6573502148764479E-2</v>
      </c>
      <c r="D4691" s="1">
        <v>200080.81638732381</v>
      </c>
      <c r="E4691" s="1">
        <v>6623438</v>
      </c>
      <c r="F4691" s="1">
        <v>31866746</v>
      </c>
      <c r="G4691" s="16">
        <v>53609.019628500573</v>
      </c>
      <c r="H4691">
        <v>218.94</v>
      </c>
      <c r="I4691" s="1">
        <v>591.45000000000005</v>
      </c>
      <c r="J4691" s="16">
        <v>253689.83601582437</v>
      </c>
      <c r="K4691" s="5">
        <v>4.7686082824770687E-2</v>
      </c>
      <c r="L4691" s="10">
        <v>405227.38740000001</v>
      </c>
    </row>
    <row r="4692" spans="1:12" x14ac:dyDescent="0.25">
      <c r="A4692">
        <v>4691</v>
      </c>
      <c r="B4692" s="3">
        <v>0.19329679736380798</v>
      </c>
      <c r="C4692" s="3">
        <v>4.7599153255229468E-2</v>
      </c>
      <c r="D4692" s="1">
        <v>484465.56028211542</v>
      </c>
      <c r="E4692" s="1">
        <v>26539762</v>
      </c>
      <c r="F4692" s="1">
        <v>68496211</v>
      </c>
      <c r="G4692" s="16">
        <v>15082.710693206507</v>
      </c>
      <c r="H4692">
        <v>82.19</v>
      </c>
      <c r="I4692" s="1">
        <v>334.78999999999996</v>
      </c>
      <c r="J4692" s="16">
        <v>499548.27097532194</v>
      </c>
      <c r="K4692" s="5">
        <v>4.2170119106391693E-2</v>
      </c>
      <c r="L4692" s="10">
        <v>343521.46860000002</v>
      </c>
    </row>
    <row r="4693" spans="1:12" x14ac:dyDescent="0.25">
      <c r="A4693">
        <v>4692</v>
      </c>
      <c r="B4693" s="3">
        <v>0.23614308691898162</v>
      </c>
      <c r="C4693" s="3">
        <v>4.9313267597840785E-2</v>
      </c>
      <c r="D4693" s="1">
        <v>90599.673045781776</v>
      </c>
      <c r="E4693" s="1">
        <v>4980595</v>
      </c>
      <c r="F4693" s="1">
        <v>29572573</v>
      </c>
      <c r="G4693" s="16">
        <v>18386.907633416195</v>
      </c>
      <c r="H4693">
        <v>138.99</v>
      </c>
      <c r="I4693" s="1">
        <v>383.64</v>
      </c>
      <c r="J4693" s="16">
        <v>108986.58067919797</v>
      </c>
      <c r="K4693" s="5">
        <v>0.26844631601790553</v>
      </c>
      <c r="L4693" s="10">
        <v>487828.73830000003</v>
      </c>
    </row>
    <row r="4694" spans="1:12" x14ac:dyDescent="0.25">
      <c r="A4694">
        <v>4693</v>
      </c>
      <c r="B4694" s="3">
        <v>0.12647116294727068</v>
      </c>
      <c r="C4694" s="3">
        <v>5.7627077634300014E-2</v>
      </c>
      <c r="D4694" s="1">
        <v>77491.145971670514</v>
      </c>
      <c r="E4694" s="1">
        <v>2175823</v>
      </c>
      <c r="F4694" s="1">
        <v>11956904</v>
      </c>
      <c r="G4694" s="16">
        <v>84629.679672725237</v>
      </c>
      <c r="H4694">
        <v>375.23</v>
      </c>
      <c r="I4694" s="1">
        <v>934.81000000000006</v>
      </c>
      <c r="J4694" s="16">
        <v>162120.82564439575</v>
      </c>
      <c r="K4694" s="5">
        <v>2.5304883353746432E-2</v>
      </c>
      <c r="L4694" s="10">
        <v>65620.462400000004</v>
      </c>
    </row>
    <row r="4695" spans="1:12" x14ac:dyDescent="0.25">
      <c r="A4695">
        <v>4694</v>
      </c>
      <c r="B4695" s="3">
        <v>0.21553031470731135</v>
      </c>
      <c r="C4695" s="3">
        <v>6.2703590030670969E-2</v>
      </c>
      <c r="D4695" s="1">
        <v>462971.85155714076</v>
      </c>
      <c r="E4695" s="1">
        <v>37179261</v>
      </c>
      <c r="F4695" s="1">
        <v>104644470</v>
      </c>
      <c r="G4695" s="16">
        <v>23207.253718576139</v>
      </c>
      <c r="H4695">
        <v>190.97</v>
      </c>
      <c r="I4695" s="1">
        <v>567.09</v>
      </c>
      <c r="J4695" s="16">
        <v>486179.10527571692</v>
      </c>
      <c r="K4695" s="5">
        <v>0.12578857753719536</v>
      </c>
      <c r="L4695" s="10">
        <v>693901.95550000004</v>
      </c>
    </row>
    <row r="4696" spans="1:12" x14ac:dyDescent="0.25">
      <c r="A4696">
        <v>4695</v>
      </c>
      <c r="B4696" s="3">
        <v>0.23381024958564739</v>
      </c>
      <c r="C4696" s="3">
        <v>2.5361142487653979E-2</v>
      </c>
      <c r="D4696" s="1">
        <v>208510.24907298561</v>
      </c>
      <c r="E4696" s="1">
        <v>11323601</v>
      </c>
      <c r="F4696" s="1">
        <v>34194929</v>
      </c>
      <c r="G4696" s="16">
        <v>11404.042537899042</v>
      </c>
      <c r="H4696">
        <v>110.79</v>
      </c>
      <c r="I4696" s="1">
        <v>480.14000000000004</v>
      </c>
      <c r="J4696" s="16">
        <v>219914.29161088465</v>
      </c>
      <c r="K4696" s="5">
        <v>0.15805218722213596</v>
      </c>
      <c r="L4696" s="10">
        <v>1168581.7679999999</v>
      </c>
    </row>
    <row r="4697" spans="1:12" x14ac:dyDescent="0.25">
      <c r="A4697">
        <v>4696</v>
      </c>
      <c r="B4697" s="3">
        <v>0.11603473173362161</v>
      </c>
      <c r="C4697" s="3">
        <v>3.2963768482725413E-2</v>
      </c>
      <c r="D4697" s="1">
        <v>196984.81683942498</v>
      </c>
      <c r="E4697" s="1">
        <v>6038019</v>
      </c>
      <c r="F4697" s="1">
        <v>35284048</v>
      </c>
      <c r="G4697" s="16">
        <v>71932.352699306095</v>
      </c>
      <c r="H4697">
        <v>290.23</v>
      </c>
      <c r="I4697" s="1">
        <v>947.92000000000007</v>
      </c>
      <c r="J4697" s="16">
        <v>268917.1695387311</v>
      </c>
      <c r="K4697" s="5">
        <v>3.8565206876203219E-2</v>
      </c>
      <c r="L4697" s="10">
        <v>305208.73629999999</v>
      </c>
    </row>
    <row r="4698" spans="1:12" x14ac:dyDescent="0.25">
      <c r="A4698">
        <v>4697</v>
      </c>
      <c r="B4698" s="3">
        <v>0.18044485337612942</v>
      </c>
      <c r="C4698" s="3">
        <v>3.6333429417179638E-2</v>
      </c>
      <c r="D4698" s="1">
        <v>89066.85849153297</v>
      </c>
      <c r="E4698" s="1">
        <v>3694934</v>
      </c>
      <c r="F4698" s="1">
        <v>21827451</v>
      </c>
      <c r="G4698" s="16">
        <v>41414.841952554634</v>
      </c>
      <c r="H4698">
        <v>250.67</v>
      </c>
      <c r="I4698" s="1">
        <v>580.39</v>
      </c>
      <c r="J4698" s="16">
        <v>130481.7004440876</v>
      </c>
      <c r="K4698" s="5">
        <v>5.9191973482718277E-2</v>
      </c>
      <c r="L4698" s="10">
        <v>171002.26139999999</v>
      </c>
    </row>
    <row r="4699" spans="1:12" x14ac:dyDescent="0.25">
      <c r="A4699">
        <v>4698</v>
      </c>
      <c r="B4699" s="3">
        <v>0.16623574196169072</v>
      </c>
      <c r="C4699" s="3">
        <v>5.2847068957378826E-2</v>
      </c>
      <c r="D4699" s="1">
        <v>116808.14813383562</v>
      </c>
      <c r="E4699" s="1">
        <v>4523794</v>
      </c>
      <c r="F4699" s="1">
        <v>25703784</v>
      </c>
      <c r="G4699" s="16">
        <v>16431.359362373219</v>
      </c>
      <c r="H4699">
        <v>73.73</v>
      </c>
      <c r="I4699" s="1">
        <v>269.89999999999998</v>
      </c>
      <c r="J4699" s="16">
        <v>133239.50749620885</v>
      </c>
      <c r="K4699" s="5">
        <v>0.10212974443285092</v>
      </c>
      <c r="L4699" s="10">
        <v>235673.25580000001</v>
      </c>
    </row>
    <row r="4700" spans="1:12" x14ac:dyDescent="0.25">
      <c r="A4700">
        <v>4699</v>
      </c>
      <c r="B4700" s="3">
        <v>0.17853864244701961</v>
      </c>
      <c r="C4700" s="3">
        <v>6.0024481763302981E-2</v>
      </c>
      <c r="D4700" s="1">
        <v>169653.78980621064</v>
      </c>
      <c r="E4700" s="1">
        <v>6972971</v>
      </c>
      <c r="F4700" s="1">
        <v>24660747</v>
      </c>
      <c r="G4700" s="16">
        <v>14265.301609421396</v>
      </c>
      <c r="H4700">
        <v>69.8</v>
      </c>
      <c r="I4700" s="1">
        <v>229.7</v>
      </c>
      <c r="J4700" s="16">
        <v>183919.09141563205</v>
      </c>
      <c r="K4700" s="5">
        <v>0.15652457383983068</v>
      </c>
      <c r="L4700" s="10">
        <v>358614.29180000001</v>
      </c>
    </row>
    <row r="4701" spans="1:12" x14ac:dyDescent="0.25">
      <c r="A4701">
        <v>4700</v>
      </c>
      <c r="B4701" s="3">
        <v>0.1265174026698157</v>
      </c>
      <c r="C4701" s="3">
        <v>3.7937732539210164E-2</v>
      </c>
      <c r="D4701" s="1">
        <v>271896.57571148005</v>
      </c>
      <c r="E4701" s="1">
        <v>10007719</v>
      </c>
      <c r="F4701" s="1">
        <v>45501818</v>
      </c>
      <c r="G4701" s="16">
        <v>40765.799540825123</v>
      </c>
      <c r="H4701">
        <v>158.05000000000001</v>
      </c>
      <c r="I4701" s="1">
        <v>547.88</v>
      </c>
      <c r="J4701" s="16">
        <v>312662.37525230518</v>
      </c>
      <c r="K4701" s="5">
        <v>0.1141054329909713</v>
      </c>
      <c r="L4701" s="10">
        <v>856250.34569999995</v>
      </c>
    </row>
    <row r="4702" spans="1:12" x14ac:dyDescent="0.25">
      <c r="A4702">
        <v>4701</v>
      </c>
      <c r="B4702" s="3">
        <v>0.21113861043606313</v>
      </c>
      <c r="C4702" s="3">
        <v>7.8665108945515871E-2</v>
      </c>
      <c r="D4702" s="1">
        <v>139757.50541737326</v>
      </c>
      <c r="E4702" s="1">
        <v>6754220</v>
      </c>
      <c r="F4702" s="1">
        <v>28711381</v>
      </c>
      <c r="G4702" s="16">
        <v>51671.251680828187</v>
      </c>
      <c r="H4702">
        <v>518.46</v>
      </c>
      <c r="I4702" s="1">
        <v>1224.95</v>
      </c>
      <c r="J4702" s="16">
        <v>191428.75709820146</v>
      </c>
      <c r="K4702" s="5">
        <v>0.18556140517909359</v>
      </c>
      <c r="L4702" s="10">
        <v>309011.53379999998</v>
      </c>
    </row>
    <row r="4703" spans="1:12" x14ac:dyDescent="0.25">
      <c r="A4703">
        <v>4702</v>
      </c>
      <c r="B4703" s="3">
        <v>0.15414895171431933</v>
      </c>
      <c r="C4703" s="3">
        <v>6.2867332641116408E-2</v>
      </c>
      <c r="D4703" s="1">
        <v>360411.667845961</v>
      </c>
      <c r="E4703" s="1">
        <v>15578732</v>
      </c>
      <c r="F4703" s="1">
        <v>62877441</v>
      </c>
      <c r="G4703" s="16">
        <v>46034.741061025379</v>
      </c>
      <c r="H4703">
        <v>223.39</v>
      </c>
      <c r="I4703" s="1">
        <v>728.37</v>
      </c>
      <c r="J4703" s="16">
        <v>406446.40890698635</v>
      </c>
      <c r="K4703" s="5">
        <v>0.21559282425843609</v>
      </c>
      <c r="L4703" s="10">
        <v>975747.22739999997</v>
      </c>
    </row>
    <row r="4704" spans="1:12" x14ac:dyDescent="0.25">
      <c r="A4704">
        <v>4703</v>
      </c>
      <c r="B4704" s="3">
        <v>0.11729643203342641</v>
      </c>
      <c r="C4704" s="3">
        <v>7.273889417545315E-2</v>
      </c>
      <c r="D4704" s="1">
        <v>152941.15961514512</v>
      </c>
      <c r="E4704" s="1">
        <v>4714856</v>
      </c>
      <c r="F4704" s="1">
        <v>21748417</v>
      </c>
      <c r="G4704" s="16">
        <v>43712.663431383764</v>
      </c>
      <c r="H4704">
        <v>157.33000000000001</v>
      </c>
      <c r="I4704" s="1">
        <v>465.78</v>
      </c>
      <c r="J4704" s="16">
        <v>196653.82304652888</v>
      </c>
      <c r="K4704" s="5">
        <v>0.1297172346353985</v>
      </c>
      <c r="L4704" s="10">
        <v>245790.68280000001</v>
      </c>
    </row>
    <row r="4705" spans="1:12" x14ac:dyDescent="0.25">
      <c r="A4705">
        <v>4704</v>
      </c>
      <c r="B4705" s="3">
        <v>0.13721102499389359</v>
      </c>
      <c r="C4705" s="3">
        <v>2.2474901219923276E-2</v>
      </c>
      <c r="D4705" s="1">
        <v>190118.55060242402</v>
      </c>
      <c r="E4705" s="1">
        <v>6421097</v>
      </c>
      <c r="F4705" s="1">
        <v>23945191</v>
      </c>
      <c r="G4705" s="16">
        <v>10545.800237790392</v>
      </c>
      <c r="H4705">
        <v>33.19</v>
      </c>
      <c r="I4705" s="1">
        <v>179.83</v>
      </c>
      <c r="J4705" s="16">
        <v>200664.35084021441</v>
      </c>
      <c r="K4705" s="5">
        <v>0.14342677980736013</v>
      </c>
      <c r="L4705" s="10">
        <v>1110620.209</v>
      </c>
    </row>
    <row r="4706" spans="1:12" x14ac:dyDescent="0.25">
      <c r="A4706">
        <v>4705</v>
      </c>
      <c r="B4706" s="3">
        <v>0.21083102870238851</v>
      </c>
      <c r="C4706" s="3">
        <v>6.0755529710766337E-2</v>
      </c>
      <c r="D4706" s="1">
        <v>110260.74077231348</v>
      </c>
      <c r="E4706" s="1">
        <v>5320389</v>
      </c>
      <c r="F4706" s="1">
        <v>23348394</v>
      </c>
      <c r="G4706" s="16">
        <v>20884.980523754544</v>
      </c>
      <c r="H4706">
        <v>164.86</v>
      </c>
      <c r="I4706" s="1">
        <v>435.44</v>
      </c>
      <c r="J4706" s="16">
        <v>131145.72129606802</v>
      </c>
      <c r="K4706" s="5">
        <v>0.17021435353594583</v>
      </c>
      <c r="L4706" s="10">
        <v>289629.84529999999</v>
      </c>
    </row>
    <row r="4707" spans="1:12" x14ac:dyDescent="0.25">
      <c r="A4707">
        <v>4706</v>
      </c>
      <c r="B4707" s="3">
        <v>0.22371679848214282</v>
      </c>
      <c r="C4707" s="3">
        <v>4.6141856053767E-2</v>
      </c>
      <c r="D4707" s="1">
        <v>106187.9156935323</v>
      </c>
      <c r="E4707" s="1">
        <v>5472646</v>
      </c>
      <c r="F4707" s="1">
        <v>22960268</v>
      </c>
      <c r="G4707" s="16">
        <v>10479.822788801783</v>
      </c>
      <c r="H4707">
        <v>71.95</v>
      </c>
      <c r="I4707" s="1">
        <v>293.58</v>
      </c>
      <c r="J4707" s="16">
        <v>116667.73848233408</v>
      </c>
      <c r="K4707" s="5">
        <v>-2.8027469404599159E-2</v>
      </c>
      <c r="L4707" s="10">
        <v>-26730.910599999999</v>
      </c>
    </row>
    <row r="4708" spans="1:12" x14ac:dyDescent="0.25">
      <c r="A4708">
        <v>4707</v>
      </c>
      <c r="B4708" s="3">
        <v>0.24499092022904265</v>
      </c>
      <c r="C4708" s="3">
        <v>6.3040656044512131E-2</v>
      </c>
      <c r="D4708" s="1">
        <v>217452.64808203789</v>
      </c>
      <c r="E4708" s="1">
        <v>16588486</v>
      </c>
      <c r="F4708" s="1">
        <v>79218474</v>
      </c>
      <c r="G4708" s="16">
        <v>15637.8046667618</v>
      </c>
      <c r="H4708">
        <v>126.99</v>
      </c>
      <c r="I4708" s="1">
        <v>320.34999999999997</v>
      </c>
      <c r="J4708" s="16">
        <v>233090.4527487997</v>
      </c>
      <c r="K4708" s="5">
        <v>9.3389392626366682E-2</v>
      </c>
      <c r="L4708" s="10">
        <v>324751.91159999999</v>
      </c>
    </row>
    <row r="4709" spans="1:12" x14ac:dyDescent="0.25">
      <c r="A4709">
        <v>4708</v>
      </c>
      <c r="B4709" s="3">
        <v>0.190707844288662</v>
      </c>
      <c r="C4709" s="3">
        <v>2.4874892914430652E-2</v>
      </c>
      <c r="D4709" s="1">
        <v>118893.18123044839</v>
      </c>
      <c r="E4709" s="1">
        <v>4198007</v>
      </c>
      <c r="F4709" s="1">
        <v>19170778</v>
      </c>
      <c r="G4709" s="16">
        <v>56096.222075712416</v>
      </c>
      <c r="H4709">
        <v>458.21</v>
      </c>
      <c r="I4709" s="1">
        <v>986.8900000000001</v>
      </c>
      <c r="J4709" s="16">
        <v>174989.40330616082</v>
      </c>
      <c r="K4709" s="5">
        <v>0.19900001741256981</v>
      </c>
      <c r="L4709" s="10">
        <v>1207927.1102</v>
      </c>
    </row>
    <row r="4710" spans="1:12" x14ac:dyDescent="0.25">
      <c r="A4710">
        <v>4709</v>
      </c>
      <c r="B4710" s="3">
        <v>0.16082513860585568</v>
      </c>
      <c r="C4710" s="3">
        <v>4.2683796729535137E-2</v>
      </c>
      <c r="D4710" s="1">
        <v>243162.49023492908</v>
      </c>
      <c r="E4710" s="1">
        <v>9176753</v>
      </c>
      <c r="F4710" s="1">
        <v>35563449</v>
      </c>
      <c r="G4710" s="16">
        <v>14918.868000127935</v>
      </c>
      <c r="H4710">
        <v>64.23</v>
      </c>
      <c r="I4710" s="1">
        <v>223.57999999999998</v>
      </c>
      <c r="J4710" s="16">
        <v>258081.35823505701</v>
      </c>
      <c r="K4710" s="5">
        <v>-0.15358693351246322</v>
      </c>
      <c r="L4710" s="10">
        <v>-672210.40419999999</v>
      </c>
    </row>
    <row r="4711" spans="1:12" x14ac:dyDescent="0.25">
      <c r="A4711">
        <v>4710</v>
      </c>
      <c r="B4711" s="3">
        <v>0.10975398585669222</v>
      </c>
      <c r="C4711" s="3">
        <v>2.2700876855710064E-2</v>
      </c>
      <c r="D4711" s="1">
        <v>565941.2650772261</v>
      </c>
      <c r="E4711" s="1">
        <v>18941903</v>
      </c>
      <c r="F4711" s="1">
        <v>54287808</v>
      </c>
      <c r="G4711" s="16">
        <v>61181.281148647635</v>
      </c>
      <c r="H4711">
        <v>207.93</v>
      </c>
      <c r="I4711" s="1">
        <v>626.82999999999993</v>
      </c>
      <c r="J4711" s="16">
        <v>627122.54622587375</v>
      </c>
      <c r="K4711" s="5">
        <v>0.20706256536599796</v>
      </c>
      <c r="L4711" s="10">
        <v>4876895.8256000001</v>
      </c>
    </row>
    <row r="4712" spans="1:12" x14ac:dyDescent="0.25">
      <c r="A4712">
        <v>4711</v>
      </c>
      <c r="B4712" s="3">
        <v>0.10488256261145827</v>
      </c>
      <c r="C4712" s="3">
        <v>6.3493197953787994E-2</v>
      </c>
      <c r="D4712" s="1">
        <v>93855.068096525225</v>
      </c>
      <c r="E4712" s="1">
        <v>2449180</v>
      </c>
      <c r="F4712" s="1">
        <v>12688605</v>
      </c>
      <c r="G4712" s="16">
        <v>22972.82018643519</v>
      </c>
      <c r="H4712">
        <v>67.17</v>
      </c>
      <c r="I4712" s="1">
        <v>216.32</v>
      </c>
      <c r="J4712" s="16">
        <v>116827.88828296041</v>
      </c>
      <c r="K4712" s="5">
        <v>0.11273665414161713</v>
      </c>
      <c r="L4712" s="10">
        <v>158550.9486</v>
      </c>
    </row>
    <row r="4713" spans="1:12" x14ac:dyDescent="0.25">
      <c r="A4713">
        <v>4712</v>
      </c>
      <c r="B4713" s="3">
        <v>0.18038235150323362</v>
      </c>
      <c r="C4713" s="3">
        <v>5.0216110993545511E-2</v>
      </c>
      <c r="D4713" s="1">
        <v>181971.73365033625</v>
      </c>
      <c r="E4713" s="1">
        <v>7546776</v>
      </c>
      <c r="F4713" s="1">
        <v>27189820</v>
      </c>
      <c r="G4713" s="16">
        <v>21287.334173537394</v>
      </c>
      <c r="H4713">
        <v>105.46</v>
      </c>
      <c r="I4713" s="1">
        <v>294.7</v>
      </c>
      <c r="J4713" s="16">
        <v>203259.06782387363</v>
      </c>
      <c r="K4713" s="5">
        <v>7.1113712175678995E-3</v>
      </c>
      <c r="L4713" s="10">
        <v>67188.583799999993</v>
      </c>
    </row>
    <row r="4714" spans="1:12" x14ac:dyDescent="0.25">
      <c r="A4714">
        <v>4713</v>
      </c>
      <c r="B4714" s="3">
        <v>0.22803770919074076</v>
      </c>
      <c r="C4714" s="3">
        <v>3.5995674491695329E-2</v>
      </c>
      <c r="D4714" s="1">
        <v>167641.15594592181</v>
      </c>
      <c r="E4714" s="1">
        <v>11444655</v>
      </c>
      <c r="F4714" s="1">
        <v>43959919</v>
      </c>
      <c r="G4714" s="16">
        <v>22825.692220880483</v>
      </c>
      <c r="H4714">
        <v>209.79</v>
      </c>
      <c r="I4714" s="1">
        <v>589.69999999999993</v>
      </c>
      <c r="J4714" s="16">
        <v>190466.84816680229</v>
      </c>
      <c r="K4714" s="5">
        <v>0.10385817540153205</v>
      </c>
      <c r="L4714" s="10">
        <v>485566.13860000001</v>
      </c>
    </row>
    <row r="4715" spans="1:12" x14ac:dyDescent="0.25">
      <c r="A4715">
        <v>4714</v>
      </c>
      <c r="B4715" s="3">
        <v>0.19537919299606776</v>
      </c>
      <c r="C4715" s="3">
        <v>7.024624425492168E-2</v>
      </c>
      <c r="D4715" s="1">
        <v>78799.267267684074</v>
      </c>
      <c r="E4715" s="1">
        <v>2831071</v>
      </c>
      <c r="F4715" s="1">
        <v>14445812</v>
      </c>
      <c r="G4715" s="16">
        <v>35560.869063675003</v>
      </c>
      <c r="H4715">
        <v>245.18</v>
      </c>
      <c r="I4715" s="1">
        <v>746.94</v>
      </c>
      <c r="J4715" s="16">
        <v>114360.13633135907</v>
      </c>
      <c r="K4715" s="5">
        <v>3.9951966550885697E-3</v>
      </c>
      <c r="L4715" s="10">
        <v>19680.1387</v>
      </c>
    </row>
    <row r="4716" spans="1:12" x14ac:dyDescent="0.25">
      <c r="A4716">
        <v>4715</v>
      </c>
      <c r="B4716" s="3">
        <v>0.14556777241340646</v>
      </c>
      <c r="C4716" s="3">
        <v>6.6712021964567728E-2</v>
      </c>
      <c r="D4716" s="1">
        <v>97426.677924350195</v>
      </c>
      <c r="E4716" s="1">
        <v>2923123</v>
      </c>
      <c r="F4716" s="1">
        <v>14291549</v>
      </c>
      <c r="G4716" s="16">
        <v>46832.050035418149</v>
      </c>
      <c r="H4716">
        <v>211.83</v>
      </c>
      <c r="I4716" s="1">
        <v>706.13</v>
      </c>
      <c r="J4716" s="16">
        <v>144258.72795976835</v>
      </c>
      <c r="K4716" s="5">
        <v>0.20237221989412149</v>
      </c>
      <c r="L4716" s="10">
        <v>297131.1213</v>
      </c>
    </row>
    <row r="4717" spans="1:12" x14ac:dyDescent="0.25">
      <c r="A4717">
        <v>4716</v>
      </c>
      <c r="B4717" s="3">
        <v>0.20266854518015359</v>
      </c>
      <c r="C4717" s="3">
        <v>6.8561721373181173E-2</v>
      </c>
      <c r="D4717" s="1">
        <v>130793.15775228803</v>
      </c>
      <c r="E4717" s="1">
        <v>4829157</v>
      </c>
      <c r="F4717" s="1">
        <v>19082501</v>
      </c>
      <c r="G4717" s="16">
        <v>7882.4120390609942</v>
      </c>
      <c r="H4717">
        <v>46.09</v>
      </c>
      <c r="I4717" s="1">
        <v>225.85</v>
      </c>
      <c r="J4717" s="16">
        <v>138675.56979134903</v>
      </c>
      <c r="K4717" s="5">
        <v>0.13652499828475578</v>
      </c>
      <c r="L4717" s="10">
        <v>188443.03390000001</v>
      </c>
    </row>
    <row r="4718" spans="1:12" x14ac:dyDescent="0.25">
      <c r="A4718">
        <v>4717</v>
      </c>
      <c r="B4718" s="3">
        <v>0.21574394188812435</v>
      </c>
      <c r="C4718" s="3">
        <v>3.175528241046896E-2</v>
      </c>
      <c r="D4718" s="1">
        <v>142299.07125935226</v>
      </c>
      <c r="E4718" s="1">
        <v>7040006</v>
      </c>
      <c r="F4718" s="1">
        <v>24931822</v>
      </c>
      <c r="G4718" s="16">
        <v>22049.983600539796</v>
      </c>
      <c r="H4718">
        <v>181.93</v>
      </c>
      <c r="I4718" s="1">
        <v>573.96</v>
      </c>
      <c r="J4718" s="16">
        <v>164349.05485989206</v>
      </c>
      <c r="K4718" s="5">
        <v>3.9185469249486557E-2</v>
      </c>
      <c r="L4718" s="10">
        <v>175919.19409999999</v>
      </c>
    </row>
    <row r="4719" spans="1:12" x14ac:dyDescent="0.25">
      <c r="A4719">
        <v>4718</v>
      </c>
      <c r="B4719" s="3">
        <v>0.18242444070324459</v>
      </c>
      <c r="C4719" s="3">
        <v>4.8604718266813646E-2</v>
      </c>
      <c r="D4719" s="1">
        <v>235436.16196039747</v>
      </c>
      <c r="E4719" s="1">
        <v>12062486</v>
      </c>
      <c r="F4719" s="1">
        <v>48030283</v>
      </c>
      <c r="G4719" s="16">
        <v>51358.610373177107</v>
      </c>
      <c r="H4719">
        <v>386.78</v>
      </c>
      <c r="I4719" s="1">
        <v>1024</v>
      </c>
      <c r="J4719" s="16">
        <v>286794.7723335746</v>
      </c>
      <c r="K4719" s="5">
        <v>7.4311210491047969E-2</v>
      </c>
      <c r="L4719" s="10">
        <v>342802.50170000002</v>
      </c>
    </row>
    <row r="4720" spans="1:12" x14ac:dyDescent="0.25">
      <c r="A4720">
        <v>4719</v>
      </c>
      <c r="B4720" s="3">
        <v>0.17846418545252701</v>
      </c>
      <c r="C4720" s="3">
        <v>3.5481222448646516E-2</v>
      </c>
      <c r="D4720" s="1">
        <v>82403.97358416584</v>
      </c>
      <c r="E4720" s="1">
        <v>2781451</v>
      </c>
      <c r="F4720" s="1">
        <v>13045771</v>
      </c>
      <c r="G4720" s="16">
        <v>14850.17978550264</v>
      </c>
      <c r="H4720">
        <v>59.7</v>
      </c>
      <c r="I4720" s="1">
        <v>168.92000000000002</v>
      </c>
      <c r="J4720" s="16">
        <v>97254.153369668478</v>
      </c>
      <c r="K4720" s="5">
        <v>-5.2991371122362949E-2</v>
      </c>
      <c r="L4720" s="10">
        <v>-113713.7135</v>
      </c>
    </row>
    <row r="4721" spans="1:12" x14ac:dyDescent="0.25">
      <c r="A4721">
        <v>4720</v>
      </c>
      <c r="B4721" s="3">
        <v>0.14446461315305578</v>
      </c>
      <c r="C4721" s="3">
        <v>5.3669686453953688E-2</v>
      </c>
      <c r="D4721" s="1">
        <v>116054.24377117043</v>
      </c>
      <c r="E4721" s="1">
        <v>4054266</v>
      </c>
      <c r="F4721" s="1">
        <v>30221984</v>
      </c>
      <c r="G4721" s="16">
        <v>74690.464865989677</v>
      </c>
      <c r="H4721">
        <v>391.43</v>
      </c>
      <c r="I4721" s="1">
        <v>1037.94</v>
      </c>
      <c r="J4721" s="16">
        <v>190744.7086371601</v>
      </c>
      <c r="K4721" s="5">
        <v>0.11544042605215442</v>
      </c>
      <c r="L4721" s="10">
        <v>343604.28499999997</v>
      </c>
    </row>
    <row r="4722" spans="1:12" x14ac:dyDescent="0.25">
      <c r="A4722">
        <v>4721</v>
      </c>
      <c r="B4722" s="3">
        <v>0.2006990811160283</v>
      </c>
      <c r="C4722" s="3">
        <v>7.7311163929832533E-2</v>
      </c>
      <c r="D4722" s="1">
        <v>238640.46970943001</v>
      </c>
      <c r="E4722" s="1">
        <v>13689748</v>
      </c>
      <c r="F4722" s="1">
        <v>44914896</v>
      </c>
      <c r="G4722" s="16">
        <v>22203.47720615967</v>
      </c>
      <c r="H4722">
        <v>160.06</v>
      </c>
      <c r="I4722" s="1">
        <v>466.40000000000003</v>
      </c>
      <c r="J4722" s="16">
        <v>260843.94691558968</v>
      </c>
      <c r="K4722" s="5">
        <v>0.11284000471705108</v>
      </c>
      <c r="L4722" s="10">
        <v>252669.0717</v>
      </c>
    </row>
    <row r="4723" spans="1:12" x14ac:dyDescent="0.25">
      <c r="A4723">
        <v>4722</v>
      </c>
      <c r="B4723" s="3">
        <v>0.24805336218550811</v>
      </c>
      <c r="C4723" s="3">
        <v>5.8778369700252603E-2</v>
      </c>
      <c r="D4723" s="1">
        <v>49932.515522379435</v>
      </c>
      <c r="E4723" s="1">
        <v>2197986</v>
      </c>
      <c r="F4723" s="1">
        <v>16049382</v>
      </c>
      <c r="G4723" s="16">
        <v>26495.919674512363</v>
      </c>
      <c r="H4723">
        <v>292.98</v>
      </c>
      <c r="I4723" s="1">
        <v>733.49</v>
      </c>
      <c r="J4723" s="16">
        <v>76428.435196891805</v>
      </c>
      <c r="K4723" s="5">
        <v>8.2366960571654449E-2</v>
      </c>
      <c r="L4723" s="10">
        <v>97266.666400000002</v>
      </c>
    </row>
    <row r="4724" spans="1:12" x14ac:dyDescent="0.25">
      <c r="A4724">
        <v>4723</v>
      </c>
      <c r="B4724" s="3">
        <v>0.17005311540940823</v>
      </c>
      <c r="C4724" s="3">
        <v>2.7460691980502716E-2</v>
      </c>
      <c r="D4724" s="1">
        <v>83647.268734938771</v>
      </c>
      <c r="E4724" s="1">
        <v>2738447</v>
      </c>
      <c r="F4724" s="1">
        <v>13196160</v>
      </c>
      <c r="G4724" s="16">
        <v>41161.891678221917</v>
      </c>
      <c r="H4724">
        <v>228.28</v>
      </c>
      <c r="I4724" s="1">
        <v>714.66</v>
      </c>
      <c r="J4724" s="16">
        <v>124809.16041316069</v>
      </c>
      <c r="K4724" s="5">
        <v>0.17834293895050612</v>
      </c>
      <c r="L4724" s="10">
        <v>710150.26399999997</v>
      </c>
    </row>
    <row r="4725" spans="1:12" x14ac:dyDescent="0.25">
      <c r="A4725">
        <v>4724</v>
      </c>
      <c r="B4725" s="3">
        <v>0.11377662475118414</v>
      </c>
      <c r="C4725" s="3">
        <v>4.1385855795422921E-2</v>
      </c>
      <c r="D4725" s="1">
        <v>157308.68122478831</v>
      </c>
      <c r="E4725" s="1">
        <v>4772905</v>
      </c>
      <c r="F4725" s="1">
        <v>28713403</v>
      </c>
      <c r="G4725" s="16">
        <v>33387.546616349071</v>
      </c>
      <c r="H4725">
        <v>103.68</v>
      </c>
      <c r="I4725" s="1">
        <v>349.35</v>
      </c>
      <c r="J4725" s="16">
        <v>190696.22784113738</v>
      </c>
      <c r="K4725" s="5">
        <v>0.20649663881862068</v>
      </c>
      <c r="L4725" s="10">
        <v>798615.16350000002</v>
      </c>
    </row>
    <row r="4726" spans="1:12" x14ac:dyDescent="0.25">
      <c r="A4726">
        <v>4725</v>
      </c>
      <c r="B4726" s="3">
        <v>0.17116643895736131</v>
      </c>
      <c r="C4726" s="3">
        <v>4.8728064700340065E-2</v>
      </c>
      <c r="D4726" s="1">
        <v>225706.64042913308</v>
      </c>
      <c r="E4726" s="1">
        <v>8951132</v>
      </c>
      <c r="F4726" s="1">
        <v>32596456</v>
      </c>
      <c r="G4726" s="16">
        <v>8283.0560821283743</v>
      </c>
      <c r="H4726">
        <v>31.84</v>
      </c>
      <c r="I4726" s="1">
        <v>113.74</v>
      </c>
      <c r="J4726" s="16">
        <v>233989.69651126146</v>
      </c>
      <c r="K4726" s="5">
        <v>4.7066747447795404E-2</v>
      </c>
      <c r="L4726" s="10">
        <v>204922.53400000001</v>
      </c>
    </row>
    <row r="4727" spans="1:12" x14ac:dyDescent="0.25">
      <c r="A4727">
        <v>4726</v>
      </c>
      <c r="B4727" s="3">
        <v>0.11203435912988077</v>
      </c>
      <c r="C4727" s="3">
        <v>6.4338714640062925E-2</v>
      </c>
      <c r="D4727" s="1">
        <v>149609.01427155756</v>
      </c>
      <c r="E4727" s="1">
        <v>4503767</v>
      </c>
      <c r="F4727" s="1">
        <v>25053093</v>
      </c>
      <c r="G4727" s="16">
        <v>27092.354123187801</v>
      </c>
      <c r="H4727">
        <v>82.99</v>
      </c>
      <c r="I4727" s="1">
        <v>307.39999999999998</v>
      </c>
      <c r="J4727" s="16">
        <v>176701.36839474537</v>
      </c>
      <c r="K4727" s="5">
        <v>8.4197848042777385E-2</v>
      </c>
      <c r="L4727" s="10">
        <v>207080.8848</v>
      </c>
    </row>
    <row r="4728" spans="1:12" x14ac:dyDescent="0.25">
      <c r="A4728">
        <v>4727</v>
      </c>
      <c r="B4728" s="3">
        <v>0.21926729710875903</v>
      </c>
      <c r="C4728" s="3">
        <v>6.4855696705476099E-2</v>
      </c>
      <c r="D4728" s="1">
        <v>473383.25335357292</v>
      </c>
      <c r="E4728" s="1">
        <v>39120225</v>
      </c>
      <c r="F4728" s="1">
        <v>121057534</v>
      </c>
      <c r="G4728" s="16">
        <v>10509.798874937544</v>
      </c>
      <c r="H4728">
        <v>54.54</v>
      </c>
      <c r="I4728" s="1">
        <v>188.43999999999997</v>
      </c>
      <c r="J4728" s="16">
        <v>483893.05222851044</v>
      </c>
      <c r="K4728" s="5">
        <v>0.14359254129825161</v>
      </c>
      <c r="L4728" s="10">
        <v>740390.88540000003</v>
      </c>
    </row>
    <row r="4729" spans="1:12" x14ac:dyDescent="0.25">
      <c r="A4729">
        <v>4728</v>
      </c>
      <c r="B4729" s="3">
        <v>0.2295190143660043</v>
      </c>
      <c r="C4729" s="3">
        <v>4.0414916373049781E-2</v>
      </c>
      <c r="D4729" s="1">
        <v>203695.02308355874</v>
      </c>
      <c r="E4729" s="1">
        <v>14040214</v>
      </c>
      <c r="F4729" s="1">
        <v>49164873</v>
      </c>
      <c r="G4729" s="16">
        <v>21171.320801763963</v>
      </c>
      <c r="H4729">
        <v>256.27999999999997</v>
      </c>
      <c r="I4729" s="1">
        <v>769.67</v>
      </c>
      <c r="J4729" s="16">
        <v>224866.34388532271</v>
      </c>
      <c r="K4729" s="5">
        <v>0.13779852660731251</v>
      </c>
      <c r="L4729" s="10">
        <v>593451.66850000003</v>
      </c>
    </row>
    <row r="4730" spans="1:12" x14ac:dyDescent="0.25">
      <c r="A4730">
        <v>4729</v>
      </c>
      <c r="B4730" s="3">
        <v>0.18696927800112167</v>
      </c>
      <c r="C4730" s="3">
        <v>7.6098463406330183E-2</v>
      </c>
      <c r="D4730" s="1">
        <v>210034.66746970112</v>
      </c>
      <c r="E4730" s="1">
        <v>8996344</v>
      </c>
      <c r="F4730" s="1">
        <v>33200913</v>
      </c>
      <c r="G4730" s="16">
        <v>22582.048344399624</v>
      </c>
      <c r="H4730">
        <v>117.5</v>
      </c>
      <c r="I4730" s="1">
        <v>313.94</v>
      </c>
      <c r="J4730" s="16">
        <v>232616.71581410075</v>
      </c>
      <c r="K4730" s="5">
        <v>8.549623577035087E-2</v>
      </c>
      <c r="L4730" s="10">
        <v>176435.37580000001</v>
      </c>
    </row>
    <row r="4731" spans="1:12" x14ac:dyDescent="0.25">
      <c r="A4731">
        <v>4730</v>
      </c>
      <c r="B4731" s="3">
        <v>0.20333609199522912</v>
      </c>
      <c r="C4731" s="3">
        <v>7.1220191288388204E-2</v>
      </c>
      <c r="D4731" s="1">
        <v>72257.344272520058</v>
      </c>
      <c r="E4731" s="1">
        <v>2674604</v>
      </c>
      <c r="F4731" s="1">
        <v>11294098</v>
      </c>
      <c r="G4731" s="16">
        <v>10622.31963796397</v>
      </c>
      <c r="H4731">
        <v>49.77</v>
      </c>
      <c r="I4731" s="1">
        <v>188.26000000000002</v>
      </c>
      <c r="J4731" s="16">
        <v>82879.663910484029</v>
      </c>
      <c r="K4731" s="5">
        <v>0.25638911441152484</v>
      </c>
      <c r="L4731" s="10">
        <v>209347.28289999999</v>
      </c>
    </row>
    <row r="4732" spans="1:12" x14ac:dyDescent="0.25">
      <c r="A4732">
        <v>4731</v>
      </c>
      <c r="B4732" s="3">
        <v>0.13552903262372484</v>
      </c>
      <c r="C4732" s="3">
        <v>6.399082657117855E-2</v>
      </c>
      <c r="D4732" s="1">
        <v>320508.13136445824</v>
      </c>
      <c r="E4732" s="1">
        <v>12424812</v>
      </c>
      <c r="F4732" s="1">
        <v>64164466</v>
      </c>
      <c r="G4732" s="16">
        <v>35372.18182007999</v>
      </c>
      <c r="H4732">
        <v>127.45</v>
      </c>
      <c r="I4732" s="1">
        <v>364.78</v>
      </c>
      <c r="J4732" s="16">
        <v>355880.31318453822</v>
      </c>
      <c r="K4732" s="5">
        <v>-6.1469368921680811E-3</v>
      </c>
      <c r="L4732" s="10">
        <v>45328.892399999997</v>
      </c>
    </row>
    <row r="4733" spans="1:12" x14ac:dyDescent="0.25">
      <c r="A4733">
        <v>4732</v>
      </c>
      <c r="B4733" s="3">
        <v>0.24654735206142575</v>
      </c>
      <c r="C4733" s="3">
        <v>4.9148134530929033E-2</v>
      </c>
      <c r="D4733" s="1">
        <v>61209.614571383638</v>
      </c>
      <c r="E4733" s="1">
        <v>3554667</v>
      </c>
      <c r="F4733" s="1">
        <v>22130526</v>
      </c>
      <c r="G4733" s="16">
        <v>13257.999948895089</v>
      </c>
      <c r="H4733">
        <v>144.76</v>
      </c>
      <c r="I4733" s="1">
        <v>627.5</v>
      </c>
      <c r="J4733" s="16">
        <v>74467.61452027873</v>
      </c>
      <c r="K4733" s="5">
        <v>7.5286904549298449E-3</v>
      </c>
      <c r="L4733" s="10">
        <v>15672.5633</v>
      </c>
    </row>
    <row r="4734" spans="1:12" x14ac:dyDescent="0.25">
      <c r="A4734">
        <v>4733</v>
      </c>
      <c r="B4734" s="3">
        <v>0.22346058393405835</v>
      </c>
      <c r="C4734" s="3">
        <v>3.6072704210550463E-2</v>
      </c>
      <c r="D4734" s="1">
        <v>129415.57756121285</v>
      </c>
      <c r="E4734" s="1">
        <v>6660939</v>
      </c>
      <c r="F4734" s="1">
        <v>23199457</v>
      </c>
      <c r="G4734" s="16">
        <v>28139.535837692081</v>
      </c>
      <c r="H4734">
        <v>248.69</v>
      </c>
      <c r="I4734" s="1">
        <v>687.38</v>
      </c>
      <c r="J4734" s="16">
        <v>157555.11339890494</v>
      </c>
      <c r="K4734" s="5">
        <v>4.3419281937300297E-2</v>
      </c>
      <c r="L4734" s="10">
        <v>158622.6452</v>
      </c>
    </row>
    <row r="4735" spans="1:12" x14ac:dyDescent="0.25">
      <c r="A4735">
        <v>4734</v>
      </c>
      <c r="B4735" s="3">
        <v>0.1600123940385649</v>
      </c>
      <c r="C4735" s="3">
        <v>7.7538766842916954E-2</v>
      </c>
      <c r="D4735" s="1">
        <v>190282.05917013952</v>
      </c>
      <c r="E4735" s="1">
        <v>6008726</v>
      </c>
      <c r="F4735" s="1">
        <v>20503627</v>
      </c>
      <c r="G4735" s="16">
        <v>14912.270731179016</v>
      </c>
      <c r="H4735">
        <v>63.99</v>
      </c>
      <c r="I4735" s="1">
        <v>214</v>
      </c>
      <c r="J4735" s="16">
        <v>205194.32990131853</v>
      </c>
      <c r="K4735" s="5">
        <v>0.11142287997423571</v>
      </c>
      <c r="L4735" s="10">
        <v>187536.08290000001</v>
      </c>
    </row>
    <row r="4736" spans="1:12" x14ac:dyDescent="0.25">
      <c r="A4736">
        <v>4735</v>
      </c>
      <c r="B4736" s="3">
        <v>0.22465094784946216</v>
      </c>
      <c r="C4736" s="3">
        <v>2.0116008066388719E-2</v>
      </c>
      <c r="D4736" s="1">
        <v>76801.8855534467</v>
      </c>
      <c r="E4736" s="1">
        <v>3083780</v>
      </c>
      <c r="F4736" s="1">
        <v>16577471</v>
      </c>
      <c r="G4736" s="16">
        <v>20080.665223829015</v>
      </c>
      <c r="H4736">
        <v>179.17</v>
      </c>
      <c r="I4736" s="1">
        <v>455.9</v>
      </c>
      <c r="J4736" s="16">
        <v>96882.550777275712</v>
      </c>
      <c r="K4736" s="5">
        <v>0.12311320976909018</v>
      </c>
      <c r="L4736" s="10">
        <v>531935.89309999999</v>
      </c>
    </row>
    <row r="4737" spans="1:12" x14ac:dyDescent="0.25">
      <c r="A4737">
        <v>4736</v>
      </c>
      <c r="B4737" s="3">
        <v>0.24970306655022015</v>
      </c>
      <c r="C4737" s="3">
        <v>5.2223365393668189E-2</v>
      </c>
      <c r="D4737" s="1">
        <v>46803.545580288854</v>
      </c>
      <c r="E4737" s="1">
        <v>2073870</v>
      </c>
      <c r="F4737" s="1">
        <v>12429555</v>
      </c>
      <c r="G4737" s="16">
        <v>28285.072467292182</v>
      </c>
      <c r="H4737">
        <v>423.62</v>
      </c>
      <c r="I4737" s="1">
        <v>1210.0300000000002</v>
      </c>
      <c r="J4737" s="16">
        <v>75088.61804758104</v>
      </c>
      <c r="K4737" s="5">
        <v>1.7985788653754813E-2</v>
      </c>
      <c r="L4737" s="10">
        <v>28813.1345</v>
      </c>
    </row>
    <row r="4738" spans="1:12" x14ac:dyDescent="0.25">
      <c r="A4738">
        <v>4737</v>
      </c>
      <c r="B4738" s="3">
        <v>0.1375745182292934</v>
      </c>
      <c r="C4738" s="3">
        <v>4.2377069484581448E-2</v>
      </c>
      <c r="D4738" s="1">
        <v>103352.57536402297</v>
      </c>
      <c r="E4738" s="1">
        <v>3015495</v>
      </c>
      <c r="F4738" s="1">
        <v>16198930</v>
      </c>
      <c r="G4738" s="16">
        <v>28947.303490055649</v>
      </c>
      <c r="H4738">
        <v>122.84</v>
      </c>
      <c r="I4738" s="1">
        <v>412.35</v>
      </c>
      <c r="J4738" s="16">
        <v>132299.87885407862</v>
      </c>
      <c r="K4738" s="5">
        <v>2.7142250100219544E-2</v>
      </c>
      <c r="L4738" s="10">
        <v>68873.989499999996</v>
      </c>
    </row>
    <row r="4739" spans="1:12" x14ac:dyDescent="0.25">
      <c r="A4739">
        <v>4738</v>
      </c>
      <c r="B4739" s="3">
        <v>0.18380685696143784</v>
      </c>
      <c r="C4739" s="3">
        <v>7.6067307772000908E-2</v>
      </c>
      <c r="D4739" s="1">
        <v>82891.805897601531</v>
      </c>
      <c r="E4739" s="1">
        <v>2853220</v>
      </c>
      <c r="F4739" s="1">
        <v>14684533</v>
      </c>
      <c r="G4739" s="16">
        <v>13246.983418131624</v>
      </c>
      <c r="H4739">
        <v>67.36</v>
      </c>
      <c r="I4739" s="1">
        <v>235.5</v>
      </c>
      <c r="J4739" s="16">
        <v>96138.789315733156</v>
      </c>
      <c r="K4739" s="5">
        <v>0.15627757379834464</v>
      </c>
      <c r="L4739" s="10">
        <v>141775.61379999999</v>
      </c>
    </row>
    <row r="4740" spans="1:12" x14ac:dyDescent="0.25">
      <c r="A4740">
        <v>4739</v>
      </c>
      <c r="B4740" s="3">
        <v>0.18107996960295381</v>
      </c>
      <c r="C4740" s="3">
        <v>4.1980068900089901E-2</v>
      </c>
      <c r="D4740" s="1">
        <v>302003.02278039063</v>
      </c>
      <c r="E4740" s="1">
        <v>15346403</v>
      </c>
      <c r="F4740" s="1">
        <v>48266104</v>
      </c>
      <c r="G4740" s="16">
        <v>52905.291514476768</v>
      </c>
      <c r="H4740">
        <v>393.91</v>
      </c>
      <c r="I4740" s="1">
        <v>869.19</v>
      </c>
      <c r="J4740" s="16">
        <v>354908.31429486739</v>
      </c>
      <c r="K4740" s="5">
        <v>4.8619689099418127E-2</v>
      </c>
      <c r="L4740" s="10">
        <v>341921.48839999997</v>
      </c>
    </row>
    <row r="4741" spans="1:12" x14ac:dyDescent="0.25">
      <c r="A4741">
        <v>4740</v>
      </c>
      <c r="B4741" s="3">
        <v>0.11838718139485296</v>
      </c>
      <c r="C4741" s="3">
        <v>5.6614429485522283E-2</v>
      </c>
      <c r="D4741" s="1">
        <v>85920.491945110669</v>
      </c>
      <c r="E4741" s="1">
        <v>2068921</v>
      </c>
      <c r="F4741" s="1">
        <v>9986027</v>
      </c>
      <c r="G4741" s="16">
        <v>57100.837652511218</v>
      </c>
      <c r="H4741">
        <v>207.61</v>
      </c>
      <c r="I4741" s="1">
        <v>554.63</v>
      </c>
      <c r="J4741" s="16">
        <v>143021.32959762189</v>
      </c>
      <c r="K4741" s="5">
        <v>8.3561201860934811E-2</v>
      </c>
      <c r="L4741" s="10">
        <v>167041.98499999999</v>
      </c>
    </row>
    <row r="4742" spans="1:12" x14ac:dyDescent="0.25">
      <c r="A4742">
        <v>4741</v>
      </c>
      <c r="B4742" s="3">
        <v>0.19826051781364434</v>
      </c>
      <c r="C4742" s="3">
        <v>4.1958467627169704E-2</v>
      </c>
      <c r="D4742" s="1">
        <v>144786.44453459047</v>
      </c>
      <c r="E4742" s="1">
        <v>6558394</v>
      </c>
      <c r="F4742" s="1">
        <v>23442032</v>
      </c>
      <c r="G4742" s="16">
        <v>22032.068403707308</v>
      </c>
      <c r="H4742">
        <v>155.65</v>
      </c>
      <c r="I4742" s="1">
        <v>609.26</v>
      </c>
      <c r="J4742" s="16">
        <v>166818.51293829776</v>
      </c>
      <c r="K4742" s="5">
        <v>7.0708086049771066E-2</v>
      </c>
      <c r="L4742" s="10">
        <v>231860.2133</v>
      </c>
    </row>
    <row r="4743" spans="1:12" x14ac:dyDescent="0.25">
      <c r="A4743">
        <v>4742</v>
      </c>
      <c r="B4743" s="3">
        <v>0.11902792195891267</v>
      </c>
      <c r="C4743" s="3">
        <v>3.82881356805162E-2</v>
      </c>
      <c r="D4743" s="1">
        <v>146866.7338997527</v>
      </c>
      <c r="E4743" s="1">
        <v>4020130</v>
      </c>
      <c r="F4743" s="1">
        <v>19872380</v>
      </c>
      <c r="G4743" s="16">
        <v>28120.761798164614</v>
      </c>
      <c r="H4743">
        <v>90.69</v>
      </c>
      <c r="I4743" s="1">
        <v>275.95999999999998</v>
      </c>
      <c r="J4743" s="16">
        <v>174987.4956979173</v>
      </c>
      <c r="K4743" s="5">
        <v>0.18540234194972552</v>
      </c>
      <c r="L4743" s="10">
        <v>676778.53090000001</v>
      </c>
    </row>
    <row r="4744" spans="1:12" x14ac:dyDescent="0.25">
      <c r="A4744">
        <v>4743</v>
      </c>
      <c r="B4744" s="3">
        <v>0.18520004252857106</v>
      </c>
      <c r="C4744" s="3">
        <v>5.5310947786465892E-2</v>
      </c>
      <c r="D4744" s="1">
        <v>159013.00440667896</v>
      </c>
      <c r="E4744" s="1">
        <v>6751989</v>
      </c>
      <c r="F4744" s="1">
        <v>37616705</v>
      </c>
      <c r="G4744" s="16">
        <v>53090.310229393413</v>
      </c>
      <c r="H4744">
        <v>410.93</v>
      </c>
      <c r="I4744" s="1">
        <v>1382.95</v>
      </c>
      <c r="J4744" s="16">
        <v>212103.31463607238</v>
      </c>
      <c r="K4744" s="5">
        <v>0.11953402107738835</v>
      </c>
      <c r="L4744" s="10">
        <v>373416.03499999997</v>
      </c>
    </row>
    <row r="4745" spans="1:12" x14ac:dyDescent="0.25">
      <c r="A4745">
        <v>4744</v>
      </c>
      <c r="B4745" s="3">
        <v>0.16885336301756126</v>
      </c>
      <c r="C4745" s="3">
        <v>3.0409934343744352E-2</v>
      </c>
      <c r="D4745" s="1">
        <v>204074.07799045701</v>
      </c>
      <c r="E4745" s="1">
        <v>8003505</v>
      </c>
      <c r="F4745" s="1">
        <v>42481532</v>
      </c>
      <c r="G4745" s="16">
        <v>27522.263848449948</v>
      </c>
      <c r="H4745">
        <v>151.05000000000001</v>
      </c>
      <c r="I4745" s="1">
        <v>482.93</v>
      </c>
      <c r="J4745" s="16">
        <v>231596.34183890696</v>
      </c>
      <c r="K4745" s="5">
        <v>3.3937173241291696E-2</v>
      </c>
      <c r="L4745" s="10">
        <v>250001.03700000001</v>
      </c>
    </row>
    <row r="4746" spans="1:12" x14ac:dyDescent="0.25">
      <c r="A4746">
        <v>4745</v>
      </c>
      <c r="B4746" s="3">
        <v>0.2189721745726958</v>
      </c>
      <c r="C4746" s="3">
        <v>7.598900307532766E-2</v>
      </c>
      <c r="D4746" s="1">
        <v>109953.62740748785</v>
      </c>
      <c r="E4746" s="1">
        <v>5530267</v>
      </c>
      <c r="F4746" s="1">
        <v>32298219</v>
      </c>
      <c r="G4746" s="16">
        <v>21162.744823598623</v>
      </c>
      <c r="H4746">
        <v>179.91</v>
      </c>
      <c r="I4746" s="1">
        <v>472.18999999999994</v>
      </c>
      <c r="J4746" s="16">
        <v>131116.37223108648</v>
      </c>
      <c r="K4746" s="5">
        <v>-1.0000393095985938E-2</v>
      </c>
      <c r="L4746" s="10">
        <v>-11599.277</v>
      </c>
    </row>
    <row r="4747" spans="1:12" x14ac:dyDescent="0.25">
      <c r="A4747">
        <v>4746</v>
      </c>
      <c r="B4747" s="3">
        <v>0.12714030110030333</v>
      </c>
      <c r="C4747" s="3">
        <v>7.4816034427820186E-2</v>
      </c>
      <c r="D4747" s="1">
        <v>40522.077692944913</v>
      </c>
      <c r="E4747" s="1">
        <v>1140409</v>
      </c>
      <c r="F4747" s="1">
        <v>10842143</v>
      </c>
      <c r="G4747" s="16">
        <v>26943.957723132793</v>
      </c>
      <c r="H4747">
        <v>104.98</v>
      </c>
      <c r="I4747" s="1">
        <v>427.11</v>
      </c>
      <c r="J4747" s="16">
        <v>67466.035416077706</v>
      </c>
      <c r="K4747" s="5">
        <v>0.25008706481423154</v>
      </c>
      <c r="L4747" s="10">
        <v>158542.4958</v>
      </c>
    </row>
    <row r="4748" spans="1:12" x14ac:dyDescent="0.25">
      <c r="A4748">
        <v>4747</v>
      </c>
      <c r="B4748" s="3">
        <v>0.13105968243432028</v>
      </c>
      <c r="C4748" s="3">
        <v>3.1312353446476385E-2</v>
      </c>
      <c r="D4748" s="1">
        <v>95295.046320551119</v>
      </c>
      <c r="E4748" s="1">
        <v>2718338</v>
      </c>
      <c r="F4748" s="1">
        <v>21322872</v>
      </c>
      <c r="G4748" s="16">
        <v>33734.327505231748</v>
      </c>
      <c r="H4748">
        <v>135.97999999999999</v>
      </c>
      <c r="I4748" s="1">
        <v>491.43999999999994</v>
      </c>
      <c r="J4748" s="16">
        <v>129029.37382578287</v>
      </c>
      <c r="K4748" s="5">
        <v>0.12140207260957078</v>
      </c>
      <c r="L4748" s="10">
        <v>447453.571</v>
      </c>
    </row>
    <row r="4749" spans="1:12" x14ac:dyDescent="0.25">
      <c r="A4749">
        <v>4748</v>
      </c>
      <c r="B4749" s="3">
        <v>0.24500693396392281</v>
      </c>
      <c r="C4749" s="3">
        <v>6.8032971415565163E-2</v>
      </c>
      <c r="D4749" s="1">
        <v>68325.554727972602</v>
      </c>
      <c r="E4749" s="1">
        <v>2971374</v>
      </c>
      <c r="F4749" s="1">
        <v>14944803</v>
      </c>
      <c r="G4749" s="16">
        <v>13950.710535971537</v>
      </c>
      <c r="H4749">
        <v>149.94999999999999</v>
      </c>
      <c r="I4749" s="1">
        <v>476.39000000000004</v>
      </c>
      <c r="J4749" s="16">
        <v>82276.265263944137</v>
      </c>
      <c r="K4749" s="5">
        <v>0.13794615288076228</v>
      </c>
      <c r="L4749" s="10">
        <v>137523.98050000001</v>
      </c>
    </row>
    <row r="4750" spans="1:12" x14ac:dyDescent="0.25">
      <c r="A4750">
        <v>4749</v>
      </c>
      <c r="B4750" s="3">
        <v>0.220133603017897</v>
      </c>
      <c r="C4750" s="3">
        <v>6.0287879123006732E-2</v>
      </c>
      <c r="D4750" s="1">
        <v>71644.633620952649</v>
      </c>
      <c r="E4750" s="1">
        <v>3624981</v>
      </c>
      <c r="F4750" s="1">
        <v>27904097</v>
      </c>
      <c r="G4750" s="16">
        <v>46649.657398800417</v>
      </c>
      <c r="H4750">
        <v>512.73</v>
      </c>
      <c r="I4750" s="1">
        <v>1296.3699999999999</v>
      </c>
      <c r="J4750" s="16">
        <v>118294.29101975306</v>
      </c>
      <c r="K4750" s="5">
        <v>0.16885676127030527</v>
      </c>
      <c r="L4750" s="10">
        <v>264141.30599999998</v>
      </c>
    </row>
    <row r="4751" spans="1:12" x14ac:dyDescent="0.25">
      <c r="A4751">
        <v>4750</v>
      </c>
      <c r="B4751" s="3">
        <v>0.23831928544977274</v>
      </c>
      <c r="C4751" s="3">
        <v>3.8913628095722783E-2</v>
      </c>
      <c r="D4751" s="1">
        <v>152784.37840294233</v>
      </c>
      <c r="E4751" s="1">
        <v>8495522</v>
      </c>
      <c r="F4751" s="1">
        <v>40673826</v>
      </c>
      <c r="G4751" s="16">
        <v>14728.61422501183</v>
      </c>
      <c r="H4751">
        <v>148.91999999999999</v>
      </c>
      <c r="I4751" s="1">
        <v>390.72999999999996</v>
      </c>
      <c r="J4751" s="16">
        <v>167512.99262795417</v>
      </c>
      <c r="K4751" s="5">
        <v>0.35018063851156384</v>
      </c>
      <c r="L4751" s="10">
        <v>1230838.1051</v>
      </c>
    </row>
    <row r="4752" spans="1:12" x14ac:dyDescent="0.25">
      <c r="A4752">
        <v>4751</v>
      </c>
      <c r="B4752" s="3">
        <v>0.23830913886251523</v>
      </c>
      <c r="C4752" s="3">
        <v>3.248547395399852E-2</v>
      </c>
      <c r="D4752" s="1">
        <v>108941.47952039327</v>
      </c>
      <c r="E4752" s="1">
        <v>6057332</v>
      </c>
      <c r="F4752" s="1">
        <v>22808826</v>
      </c>
      <c r="G4752" s="16">
        <v>34790.344501433232</v>
      </c>
      <c r="H4752">
        <v>462.17</v>
      </c>
      <c r="I4752" s="1">
        <v>1195.99</v>
      </c>
      <c r="J4752" s="16">
        <v>143731.8240218265</v>
      </c>
      <c r="K4752" s="5">
        <v>5.5681629755573475E-2</v>
      </c>
      <c r="L4752" s="10">
        <v>207288.09289999999</v>
      </c>
    </row>
    <row r="4753" spans="1:12" x14ac:dyDescent="0.25">
      <c r="A4753">
        <v>4752</v>
      </c>
      <c r="B4753" s="3">
        <v>0.15046371716072426</v>
      </c>
      <c r="C4753" s="3">
        <v>6.8258066183516972E-2</v>
      </c>
      <c r="D4753" s="1">
        <v>274476.58999602281</v>
      </c>
      <c r="E4753" s="1">
        <v>11609092</v>
      </c>
      <c r="F4753" s="1">
        <v>52094359</v>
      </c>
      <c r="G4753" s="16">
        <v>40567.799361745972</v>
      </c>
      <c r="H4753">
        <v>191.33</v>
      </c>
      <c r="I4753" s="1">
        <v>529.39</v>
      </c>
      <c r="J4753" s="16">
        <v>315044.38935776881</v>
      </c>
      <c r="K4753" s="5">
        <v>1.0445418570013638E-2</v>
      </c>
      <c r="L4753" s="10">
        <v>68725.756999999998</v>
      </c>
    </row>
    <row r="4754" spans="1:12" x14ac:dyDescent="0.25">
      <c r="A4754">
        <v>4753</v>
      </c>
      <c r="B4754" s="3">
        <v>0.22480940616798895</v>
      </c>
      <c r="C4754" s="3">
        <v>4.2367433265109278E-2</v>
      </c>
      <c r="D4754" s="1">
        <v>143794.7978651108</v>
      </c>
      <c r="E4754" s="1">
        <v>7452664</v>
      </c>
      <c r="F4754" s="1">
        <v>24656291</v>
      </c>
      <c r="G4754" s="16">
        <v>24864.227490578698</v>
      </c>
      <c r="H4754">
        <v>222.26</v>
      </c>
      <c r="I4754" s="1">
        <v>529.81999999999994</v>
      </c>
      <c r="J4754" s="16">
        <v>168659.02535568949</v>
      </c>
      <c r="K4754" s="5">
        <v>0.22402284634109465</v>
      </c>
      <c r="L4754" s="10">
        <v>699007.15480000002</v>
      </c>
    </row>
    <row r="4755" spans="1:12" x14ac:dyDescent="0.25">
      <c r="A4755">
        <v>4754</v>
      </c>
      <c r="B4755" s="3">
        <v>0.15627697193646847</v>
      </c>
      <c r="C4755" s="3">
        <v>3.4521358059188059E-2</v>
      </c>
      <c r="D4755" s="1">
        <v>188153.95828214331</v>
      </c>
      <c r="E4755" s="1">
        <v>6948919</v>
      </c>
      <c r="F4755" s="1">
        <v>33836953</v>
      </c>
      <c r="G4755" s="16">
        <v>22345.239586851105</v>
      </c>
      <c r="H4755">
        <v>93.14</v>
      </c>
      <c r="I4755" s="1">
        <v>317.52</v>
      </c>
      <c r="J4755" s="16">
        <v>210499.19786899441</v>
      </c>
      <c r="K4755" s="5">
        <v>0.15283999617950678</v>
      </c>
      <c r="L4755" s="10">
        <v>794347.33459999994</v>
      </c>
    </row>
    <row r="4756" spans="1:12" x14ac:dyDescent="0.25">
      <c r="A4756">
        <v>4755</v>
      </c>
      <c r="B4756" s="3">
        <v>0.19305148390219856</v>
      </c>
      <c r="C4756" s="3">
        <v>7.3388754582540378E-2</v>
      </c>
      <c r="D4756" s="1">
        <v>48959.611427942946</v>
      </c>
      <c r="E4756" s="1">
        <v>1743827</v>
      </c>
      <c r="F4756" s="1">
        <v>12693217</v>
      </c>
      <c r="G4756" s="16">
        <v>54492.463894309876</v>
      </c>
      <c r="H4756">
        <v>456.24</v>
      </c>
      <c r="I4756" s="1">
        <v>1082.02</v>
      </c>
      <c r="J4756" s="16">
        <v>103452.07532225281</v>
      </c>
      <c r="K4756" s="5">
        <v>-5.2711551257903402E-2</v>
      </c>
      <c r="L4756" s="10">
        <v>-36641.636200000001</v>
      </c>
    </row>
    <row r="4757" spans="1:12" x14ac:dyDescent="0.25">
      <c r="A4757">
        <v>4756</v>
      </c>
      <c r="B4757" s="3">
        <v>0.14005412210765208</v>
      </c>
      <c r="C4757" s="3">
        <v>7.9309268746982145E-2</v>
      </c>
      <c r="D4757" s="1">
        <v>70891.300439593178</v>
      </c>
      <c r="E4757" s="1">
        <v>2086325</v>
      </c>
      <c r="F4757" s="1">
        <v>13631652</v>
      </c>
      <c r="G4757" s="16">
        <v>44637.573395002612</v>
      </c>
      <c r="H4757">
        <v>193.19</v>
      </c>
      <c r="I4757" s="1">
        <v>509.09</v>
      </c>
      <c r="J4757" s="16">
        <v>115528.87383459578</v>
      </c>
      <c r="K4757" s="5">
        <v>5.6347037659656214E-2</v>
      </c>
      <c r="L4757" s="10">
        <v>56427.615599999997</v>
      </c>
    </row>
    <row r="4758" spans="1:12" x14ac:dyDescent="0.25">
      <c r="A4758">
        <v>4757</v>
      </c>
      <c r="B4758" s="3">
        <v>0.22068328903208892</v>
      </c>
      <c r="C4758" s="3">
        <v>5.9734486682616342E-2</v>
      </c>
      <c r="D4758" s="1">
        <v>31568.457706912654</v>
      </c>
      <c r="E4758" s="1">
        <v>972812</v>
      </c>
      <c r="F4758" s="1">
        <v>9865478</v>
      </c>
      <c r="G4758" s="16">
        <v>11478.100940266233</v>
      </c>
      <c r="H4758">
        <v>99.11</v>
      </c>
      <c r="I4758" s="1">
        <v>392.59000000000003</v>
      </c>
      <c r="J4758" s="16">
        <v>43046.558647178885</v>
      </c>
      <c r="K4758" s="5">
        <v>0.13337715964497676</v>
      </c>
      <c r="L4758" s="10">
        <v>94515.6636</v>
      </c>
    </row>
    <row r="4759" spans="1:12" x14ac:dyDescent="0.25">
      <c r="A4759">
        <v>4758</v>
      </c>
      <c r="B4759" s="3">
        <v>0.244063524281385</v>
      </c>
      <c r="C4759" s="3">
        <v>4.4720605555492024E-2</v>
      </c>
      <c r="D4759" s="1">
        <v>73612.208782009169</v>
      </c>
      <c r="E4759" s="1">
        <v>3189308</v>
      </c>
      <c r="F4759" s="1">
        <v>16196642</v>
      </c>
      <c r="G4759" s="16">
        <v>9538.0558637388585</v>
      </c>
      <c r="H4759">
        <v>76.900000000000006</v>
      </c>
      <c r="I4759" s="1">
        <v>231.96</v>
      </c>
      <c r="J4759" s="16">
        <v>83150.26464574803</v>
      </c>
      <c r="K4759" s="5">
        <v>0.14340467046977132</v>
      </c>
      <c r="L4759" s="10">
        <v>203658.16310000001</v>
      </c>
    </row>
    <row r="4760" spans="1:12" x14ac:dyDescent="0.25">
      <c r="A4760">
        <v>4759</v>
      </c>
      <c r="B4760" s="3">
        <v>0.21750719074668168</v>
      </c>
      <c r="C4760" s="3">
        <v>6.9266305062568534E-2</v>
      </c>
      <c r="D4760" s="1">
        <v>100209.5364371473</v>
      </c>
      <c r="E4760" s="1">
        <v>3914451</v>
      </c>
      <c r="F4760" s="1">
        <v>18014811</v>
      </c>
      <c r="G4760" s="16">
        <v>7123.05523536073</v>
      </c>
      <c r="H4760">
        <v>36.57</v>
      </c>
      <c r="I4760" s="1">
        <v>130.16</v>
      </c>
      <c r="J4760" s="16">
        <v>107332.59167250803</v>
      </c>
      <c r="K4760" s="5">
        <v>0.30298931994601586</v>
      </c>
      <c r="L4760" s="10">
        <v>308932.96970000002</v>
      </c>
    </row>
    <row r="4761" spans="1:12" x14ac:dyDescent="0.25">
      <c r="A4761">
        <v>4760</v>
      </c>
      <c r="B4761" s="3">
        <v>0.17802924111315604</v>
      </c>
      <c r="C4761" s="3">
        <v>7.3975262275121703E-2</v>
      </c>
      <c r="D4761" s="1">
        <v>162403.20275330104</v>
      </c>
      <c r="E4761" s="1">
        <v>5473043</v>
      </c>
      <c r="F4761" s="1">
        <v>19903524</v>
      </c>
      <c r="G4761" s="16">
        <v>15990.414399654164</v>
      </c>
      <c r="H4761">
        <v>94.98</v>
      </c>
      <c r="I4761" s="1">
        <v>404.42</v>
      </c>
      <c r="J4761" s="16">
        <v>178393.61715295521</v>
      </c>
      <c r="K4761" s="5">
        <v>2.5016266266001928E-2</v>
      </c>
      <c r="L4761" s="10">
        <v>45892.999000000003</v>
      </c>
    </row>
    <row r="4762" spans="1:12" x14ac:dyDescent="0.25">
      <c r="A4762">
        <v>4761</v>
      </c>
      <c r="B4762" s="3">
        <v>0.12251041091289835</v>
      </c>
      <c r="C4762" s="3">
        <v>5.759470406853516E-2</v>
      </c>
      <c r="D4762" s="1">
        <v>299305.08835370291</v>
      </c>
      <c r="E4762" s="1">
        <v>9448203</v>
      </c>
      <c r="F4762" s="1">
        <v>28301500</v>
      </c>
      <c r="G4762" s="16">
        <v>35035.573947471319</v>
      </c>
      <c r="H4762">
        <v>131.47</v>
      </c>
      <c r="I4762" s="1">
        <v>436.56000000000006</v>
      </c>
      <c r="J4762" s="16">
        <v>334340.66230117425</v>
      </c>
      <c r="K4762" s="5">
        <v>0.12933172599590775</v>
      </c>
      <c r="L4762" s="10">
        <v>501018.8431</v>
      </c>
    </row>
    <row r="4763" spans="1:12" x14ac:dyDescent="0.25">
      <c r="A4763">
        <v>4762</v>
      </c>
      <c r="B4763" s="3">
        <v>0.16366467340383334</v>
      </c>
      <c r="C4763" s="3">
        <v>6.5652408271457893E-2</v>
      </c>
      <c r="D4763" s="1">
        <v>192478.19282846162</v>
      </c>
      <c r="E4763" s="1">
        <v>7363137</v>
      </c>
      <c r="F4763" s="1">
        <v>31611566</v>
      </c>
      <c r="G4763" s="16">
        <v>28917.665129333345</v>
      </c>
      <c r="H4763">
        <v>127.3</v>
      </c>
      <c r="I4763" s="1">
        <v>360.66</v>
      </c>
      <c r="J4763" s="16">
        <v>221395.85795779497</v>
      </c>
      <c r="K4763" s="5">
        <v>1.4360055539916018E-2</v>
      </c>
      <c r="L4763" s="10">
        <v>49879.647299999997</v>
      </c>
    </row>
    <row r="4764" spans="1:12" x14ac:dyDescent="0.25">
      <c r="A4764">
        <v>4763</v>
      </c>
      <c r="B4764" s="3">
        <v>0.16673724666374201</v>
      </c>
      <c r="C4764" s="3">
        <v>2.0173953459960394E-2</v>
      </c>
      <c r="D4764" s="1">
        <v>283071.84063878196</v>
      </c>
      <c r="E4764" s="1">
        <v>10989334</v>
      </c>
      <c r="F4764" s="1">
        <v>36730636</v>
      </c>
      <c r="G4764" s="16">
        <v>45916.731221995658</v>
      </c>
      <c r="H4764">
        <v>297.23</v>
      </c>
      <c r="I4764" s="1">
        <v>888.15</v>
      </c>
      <c r="J4764" s="16">
        <v>328988.57186077762</v>
      </c>
      <c r="K4764" s="5">
        <v>0.17912932431265224</v>
      </c>
      <c r="L4764" s="10">
        <v>2554166.0210000002</v>
      </c>
    </row>
    <row r="4765" spans="1:12" x14ac:dyDescent="0.25">
      <c r="A4765">
        <v>4764</v>
      </c>
      <c r="B4765" s="3">
        <v>0.18087070567966201</v>
      </c>
      <c r="C4765" s="3">
        <v>4.0427669036190161E-2</v>
      </c>
      <c r="D4765" s="1">
        <v>108963.41899723753</v>
      </c>
      <c r="E4765" s="1">
        <v>4529743</v>
      </c>
      <c r="F4765" s="1">
        <v>25214378</v>
      </c>
      <c r="G4765" s="16">
        <v>16340.862546478176</v>
      </c>
      <c r="H4765">
        <v>99.34</v>
      </c>
      <c r="I4765" s="1">
        <v>455.61</v>
      </c>
      <c r="J4765" s="16">
        <v>125304.28154371571</v>
      </c>
      <c r="K4765" s="5">
        <v>0.20722771564447645</v>
      </c>
      <c r="L4765" s="10">
        <v>555055.07039999997</v>
      </c>
    </row>
    <row r="4766" spans="1:12" x14ac:dyDescent="0.25">
      <c r="A4766">
        <v>4765</v>
      </c>
      <c r="B4766" s="3">
        <v>0.1473310105860432</v>
      </c>
      <c r="C4766" s="3">
        <v>4.9799886389236089E-2</v>
      </c>
      <c r="D4766" s="1">
        <v>120408.59311799183</v>
      </c>
      <c r="E4766" s="1">
        <v>3635121</v>
      </c>
      <c r="F4766" s="1">
        <v>20189345</v>
      </c>
      <c r="G4766" s="16">
        <v>37657.095733291535</v>
      </c>
      <c r="H4766">
        <v>172.92</v>
      </c>
      <c r="I4766" s="1">
        <v>451.69999999999993</v>
      </c>
      <c r="J4766" s="16">
        <v>158065.68885128337</v>
      </c>
      <c r="K4766" s="5">
        <v>5.7089042625199454E-2</v>
      </c>
      <c r="L4766" s="10">
        <v>157693.4363</v>
      </c>
    </row>
    <row r="4767" spans="1:12" x14ac:dyDescent="0.25">
      <c r="A4767">
        <v>4766</v>
      </c>
      <c r="B4767" s="3">
        <v>0.15252822257088189</v>
      </c>
      <c r="C4767" s="3">
        <v>3.6339605076356293E-2</v>
      </c>
      <c r="D4767" s="1">
        <v>208496.72740897862</v>
      </c>
      <c r="E4767" s="1">
        <v>7564868</v>
      </c>
      <c r="F4767" s="1">
        <v>35678431</v>
      </c>
      <c r="G4767" s="16">
        <v>58076.569779439145</v>
      </c>
      <c r="H4767">
        <v>278.13</v>
      </c>
      <c r="I4767" s="1">
        <v>749.47</v>
      </c>
      <c r="J4767" s="16">
        <v>266573.29718841775</v>
      </c>
      <c r="K4767" s="5">
        <v>0.20712198812885421</v>
      </c>
      <c r="L4767" s="10">
        <v>1259356.2231000001</v>
      </c>
    </row>
    <row r="4768" spans="1:12" x14ac:dyDescent="0.25">
      <c r="A4768">
        <v>4767</v>
      </c>
      <c r="B4768" s="3">
        <v>0.14176611544651616</v>
      </c>
      <c r="C4768" s="3">
        <v>5.4131059542296245E-2</v>
      </c>
      <c r="D4768" s="1">
        <v>66203.126772465883</v>
      </c>
      <c r="E4768" s="1">
        <v>1960039</v>
      </c>
      <c r="F4768" s="1">
        <v>15086711</v>
      </c>
      <c r="G4768" s="16">
        <v>35427.932742120662</v>
      </c>
      <c r="H4768">
        <v>155.4</v>
      </c>
      <c r="I4768" s="1">
        <v>537.21</v>
      </c>
      <c r="J4768" s="16">
        <v>101631.05951458655</v>
      </c>
      <c r="K4768" s="5">
        <v>0.10547500283274366</v>
      </c>
      <c r="L4768" s="10">
        <v>162146.2917</v>
      </c>
    </row>
    <row r="4769" spans="1:12" x14ac:dyDescent="0.25">
      <c r="A4769">
        <v>4768</v>
      </c>
      <c r="B4769" s="3">
        <v>0.13191254375670647</v>
      </c>
      <c r="C4769" s="3">
        <v>7.693016022999502E-2</v>
      </c>
      <c r="D4769" s="1">
        <v>239006.39065500381</v>
      </c>
      <c r="E4769" s="1">
        <v>7876955</v>
      </c>
      <c r="F4769" s="1">
        <v>30911054</v>
      </c>
      <c r="G4769" s="16">
        <v>22069.782375809558</v>
      </c>
      <c r="H4769">
        <v>77.599999999999994</v>
      </c>
      <c r="I4769" s="1">
        <v>307.72000000000003</v>
      </c>
      <c r="J4769" s="16">
        <v>261076.17303081337</v>
      </c>
      <c r="K4769" s="5">
        <v>-1.8172960590265023E-2</v>
      </c>
      <c r="L4769" s="10">
        <v>-19407.4627</v>
      </c>
    </row>
    <row r="4770" spans="1:12" x14ac:dyDescent="0.25">
      <c r="A4770">
        <v>4769</v>
      </c>
      <c r="B4770" s="3">
        <v>0.16251056627138477</v>
      </c>
      <c r="C4770" s="3">
        <v>5.0053602111955184E-2</v>
      </c>
      <c r="D4770" s="1">
        <v>118451.86870575583</v>
      </c>
      <c r="E4770" s="1">
        <v>4506373</v>
      </c>
      <c r="F4770" s="1">
        <v>21499656</v>
      </c>
      <c r="G4770" s="16">
        <v>35634.731917425066</v>
      </c>
      <c r="H4770">
        <v>185.75</v>
      </c>
      <c r="I4770" s="1">
        <v>592.57999999999993</v>
      </c>
      <c r="J4770" s="16">
        <v>154086.60062318089</v>
      </c>
      <c r="K4770" s="5">
        <v>0.1609626950721712</v>
      </c>
      <c r="L4770" s="10">
        <v>389396.8063</v>
      </c>
    </row>
    <row r="4771" spans="1:12" x14ac:dyDescent="0.25">
      <c r="A4771">
        <v>4770</v>
      </c>
      <c r="B4771" s="3">
        <v>0.12005568148888759</v>
      </c>
      <c r="C4771" s="3">
        <v>5.3132169938244156E-2</v>
      </c>
      <c r="D4771" s="1">
        <v>103954.45884238034</v>
      </c>
      <c r="E4771" s="1">
        <v>2855482</v>
      </c>
      <c r="F4771" s="1">
        <v>17497974</v>
      </c>
      <c r="G4771" s="16">
        <v>119798.11562421519</v>
      </c>
      <c r="H4771">
        <v>501.36</v>
      </c>
      <c r="I4771" s="1">
        <v>1210.74</v>
      </c>
      <c r="J4771" s="16">
        <v>223752.57446659554</v>
      </c>
      <c r="K4771" s="5">
        <v>0.15653660292637508</v>
      </c>
      <c r="L4771" s="10">
        <v>469004.21549999999</v>
      </c>
    </row>
    <row r="4772" spans="1:12" x14ac:dyDescent="0.25">
      <c r="A4772">
        <v>4771</v>
      </c>
      <c r="B4772" s="3">
        <v>0.11348537997553415</v>
      </c>
      <c r="C4772" s="3">
        <v>6.7096164651357579E-2</v>
      </c>
      <c r="D4772" s="1">
        <v>465686.40535305563</v>
      </c>
      <c r="E4772" s="1">
        <v>15917197</v>
      </c>
      <c r="F4772" s="1">
        <v>64908584</v>
      </c>
      <c r="G4772" s="16">
        <v>28235.442662734818</v>
      </c>
      <c r="H4772">
        <v>87.43</v>
      </c>
      <c r="I4772" s="1">
        <v>298.51</v>
      </c>
      <c r="J4772" s="16">
        <v>493921.84801579046</v>
      </c>
      <c r="K4772" s="5">
        <v>0.23227454399735062</v>
      </c>
      <c r="L4772" s="10">
        <v>1136465.0967000001</v>
      </c>
    </row>
    <row r="4773" spans="1:12" x14ac:dyDescent="0.25">
      <c r="A4773">
        <v>4772</v>
      </c>
      <c r="B4773" s="3">
        <v>0.19098007629577654</v>
      </c>
      <c r="C4773" s="3">
        <v>7.3481706252838175E-2</v>
      </c>
      <c r="D4773" s="1">
        <v>244157.06321530926</v>
      </c>
      <c r="E4773" s="1">
        <v>13184890</v>
      </c>
      <c r="F4773" s="1">
        <v>50040107</v>
      </c>
      <c r="G4773" s="16">
        <v>44151.735405423475</v>
      </c>
      <c r="H4773">
        <v>362.01</v>
      </c>
      <c r="I4773" s="1">
        <v>939.05</v>
      </c>
      <c r="J4773" s="16">
        <v>288308.79862073273</v>
      </c>
      <c r="K4773" s="5">
        <v>5.0270712054987232E-2</v>
      </c>
      <c r="L4773" s="10">
        <v>176888.83410000001</v>
      </c>
    </row>
    <row r="4774" spans="1:12" x14ac:dyDescent="0.25">
      <c r="A4774">
        <v>4773</v>
      </c>
      <c r="B4774" s="3">
        <v>0.21158599990844096</v>
      </c>
      <c r="C4774" s="3">
        <v>6.7013332248130178E-2</v>
      </c>
      <c r="D4774" s="1">
        <v>185553.02186327559</v>
      </c>
      <c r="E4774" s="1">
        <v>8987797</v>
      </c>
      <c r="F4774" s="1">
        <v>33598701</v>
      </c>
      <c r="G4774" s="16">
        <v>16496.240236641414</v>
      </c>
      <c r="H4774">
        <v>103.14</v>
      </c>
      <c r="I4774" s="1">
        <v>319.40000000000003</v>
      </c>
      <c r="J4774" s="16">
        <v>202049.26209991699</v>
      </c>
      <c r="K4774" s="5">
        <v>0.13076002201156436</v>
      </c>
      <c r="L4774" s="10">
        <v>294716.73080000002</v>
      </c>
    </row>
    <row r="4775" spans="1:12" x14ac:dyDescent="0.25">
      <c r="A4775">
        <v>4774</v>
      </c>
      <c r="B4775" s="3">
        <v>0.17359405524834703</v>
      </c>
      <c r="C4775" s="3">
        <v>2.3086284056675344E-2</v>
      </c>
      <c r="D4775" s="1">
        <v>90314.121999847281</v>
      </c>
      <c r="E4775" s="1">
        <v>2994870</v>
      </c>
      <c r="F4775" s="1">
        <v>18149761</v>
      </c>
      <c r="G4775" s="16">
        <v>30517.932850801779</v>
      </c>
      <c r="H4775">
        <v>174.31</v>
      </c>
      <c r="I4775" s="1">
        <v>455.38000000000005</v>
      </c>
      <c r="J4775" s="16">
        <v>120832.05485064906</v>
      </c>
      <c r="K4775" s="5">
        <v>-7.158661681916495E-2</v>
      </c>
      <c r="L4775" s="10">
        <v>-301447.32929999998</v>
      </c>
    </row>
    <row r="4776" spans="1:12" x14ac:dyDescent="0.25">
      <c r="A4776">
        <v>4775</v>
      </c>
      <c r="B4776" s="3">
        <v>0.1561322951460597</v>
      </c>
      <c r="C4776" s="3">
        <v>7.0065029572878301E-2</v>
      </c>
      <c r="D4776" s="1">
        <v>81560.502381880127</v>
      </c>
      <c r="E4776" s="1">
        <v>2540151</v>
      </c>
      <c r="F4776" s="1">
        <v>14787233</v>
      </c>
      <c r="G4776" s="16">
        <v>23921.635708483202</v>
      </c>
      <c r="H4776">
        <v>99.74</v>
      </c>
      <c r="I4776" s="1">
        <v>376.8</v>
      </c>
      <c r="J4776" s="16">
        <v>105482.13809036333</v>
      </c>
      <c r="K4776" s="5">
        <v>0.19130270737047517</v>
      </c>
      <c r="L4776" s="10">
        <v>206425.8175</v>
      </c>
    </row>
    <row r="4777" spans="1:12" x14ac:dyDescent="0.25">
      <c r="A4777">
        <v>4776</v>
      </c>
      <c r="B4777" s="3">
        <v>0.10928156180382402</v>
      </c>
      <c r="C4777" s="3">
        <v>7.7707016042130775E-2</v>
      </c>
      <c r="D4777" s="1">
        <v>130936.95378856506</v>
      </c>
      <c r="E4777" s="1">
        <v>3467717</v>
      </c>
      <c r="F4777" s="1">
        <v>17157765</v>
      </c>
      <c r="G4777" s="16">
        <v>62206.248961424571</v>
      </c>
      <c r="H4777">
        <v>210.6</v>
      </c>
      <c r="I4777" s="1">
        <v>624.63</v>
      </c>
      <c r="J4777" s="16">
        <v>193143.20274998964</v>
      </c>
      <c r="K4777" s="5">
        <v>8.6890248726467709E-2</v>
      </c>
      <c r="L4777" s="10">
        <v>136051.1777</v>
      </c>
    </row>
    <row r="4778" spans="1:12" x14ac:dyDescent="0.25">
      <c r="A4778">
        <v>4777</v>
      </c>
      <c r="B4778" s="3">
        <v>0.12463930368024828</v>
      </c>
      <c r="C4778" s="3">
        <v>4.857393957152345E-2</v>
      </c>
      <c r="D4778" s="1">
        <v>86808.738363138953</v>
      </c>
      <c r="E4778" s="1">
        <v>2422176</v>
      </c>
      <c r="F4778" s="1">
        <v>18121303</v>
      </c>
      <c r="G4778" s="16">
        <v>42165.875096767479</v>
      </c>
      <c r="H4778">
        <v>160.96</v>
      </c>
      <c r="I4778" s="1">
        <v>479.56000000000006</v>
      </c>
      <c r="J4778" s="16">
        <v>128974.61345990642</v>
      </c>
      <c r="K4778" s="5">
        <v>-1.7646761528255006E-2</v>
      </c>
      <c r="L4778" s="10">
        <v>18413.785899999999</v>
      </c>
    </row>
    <row r="4779" spans="1:12" x14ac:dyDescent="0.25">
      <c r="A4779">
        <v>4778</v>
      </c>
      <c r="B4779" s="3">
        <v>0.19261737283015384</v>
      </c>
      <c r="C4779" s="3">
        <v>4.9107766626938942E-2</v>
      </c>
      <c r="D4779" s="1">
        <v>110951.95352811499</v>
      </c>
      <c r="E4779" s="1">
        <v>3945476</v>
      </c>
      <c r="F4779" s="1">
        <v>18726783</v>
      </c>
      <c r="G4779" s="16">
        <v>13104.642741753194</v>
      </c>
      <c r="H4779">
        <v>57.53</v>
      </c>
      <c r="I4779" s="1">
        <v>188.94</v>
      </c>
      <c r="J4779" s="16">
        <v>124056.59626986818</v>
      </c>
      <c r="K4779" s="5">
        <v>0.14935532937241047</v>
      </c>
      <c r="L4779" s="10">
        <v>299856.83990000002</v>
      </c>
    </row>
    <row r="4780" spans="1:12" x14ac:dyDescent="0.25">
      <c r="A4780">
        <v>4779</v>
      </c>
      <c r="B4780" s="3">
        <v>0.10207725730712358</v>
      </c>
      <c r="C4780" s="3">
        <v>7.5798393311389434E-2</v>
      </c>
      <c r="D4780" s="1">
        <v>97917.663964113221</v>
      </c>
      <c r="E4780" s="1">
        <v>2531321</v>
      </c>
      <c r="F4780" s="1">
        <v>17800127</v>
      </c>
      <c r="G4780" s="16">
        <v>18089.88592173898</v>
      </c>
      <c r="H4780">
        <v>51.88</v>
      </c>
      <c r="I4780" s="1">
        <v>268.77000000000004</v>
      </c>
      <c r="J4780" s="16">
        <v>116007.5498858522</v>
      </c>
      <c r="K4780" s="5">
        <v>0.148569607052849</v>
      </c>
      <c r="L4780" s="10">
        <v>177211.56099999999</v>
      </c>
    </row>
    <row r="4781" spans="1:12" x14ac:dyDescent="0.25">
      <c r="A4781">
        <v>4780</v>
      </c>
      <c r="B4781" s="3">
        <v>0.11133800815167767</v>
      </c>
      <c r="C4781" s="3">
        <v>7.8115316254726175E-2</v>
      </c>
      <c r="D4781" s="1">
        <v>252798.50766140589</v>
      </c>
      <c r="E4781" s="1">
        <v>7586316</v>
      </c>
      <c r="F4781" s="1">
        <v>26467787</v>
      </c>
      <c r="G4781" s="16">
        <v>52721.295249222349</v>
      </c>
      <c r="H4781">
        <v>181.21</v>
      </c>
      <c r="I4781" s="1">
        <v>637.80999999999995</v>
      </c>
      <c r="J4781" s="16">
        <v>305519.80291062826</v>
      </c>
      <c r="K4781" s="5">
        <v>0.15615042839618681</v>
      </c>
      <c r="L4781" s="10">
        <v>379519.94170000002</v>
      </c>
    </row>
    <row r="4782" spans="1:12" x14ac:dyDescent="0.25">
      <c r="A4782">
        <v>4781</v>
      </c>
      <c r="B4782" s="3">
        <v>0.20812114426709113</v>
      </c>
      <c r="C4782" s="3">
        <v>5.1333564482456392E-2</v>
      </c>
      <c r="D4782" s="1">
        <v>196544.30139964589</v>
      </c>
      <c r="E4782" s="1">
        <v>11813259</v>
      </c>
      <c r="F4782" s="1">
        <v>47366492</v>
      </c>
      <c r="G4782" s="16">
        <v>13578.85787955802</v>
      </c>
      <c r="H4782">
        <v>82.81</v>
      </c>
      <c r="I4782" s="1">
        <v>302.08999999999997</v>
      </c>
      <c r="J4782" s="16">
        <v>210123.15927920392</v>
      </c>
      <c r="K4782" s="5">
        <v>0.11053674412868644</v>
      </c>
      <c r="L4782" s="10">
        <v>348172.65749999997</v>
      </c>
    </row>
    <row r="4783" spans="1:12" x14ac:dyDescent="0.25">
      <c r="A4783">
        <v>4782</v>
      </c>
      <c r="B4783" s="3">
        <v>0.18101519702403207</v>
      </c>
      <c r="C4783" s="3">
        <v>6.9376631664739688E-2</v>
      </c>
      <c r="D4783" s="1">
        <v>232337.85477901882</v>
      </c>
      <c r="E4783" s="1">
        <v>9665394</v>
      </c>
      <c r="F4783" s="1">
        <v>32429727</v>
      </c>
      <c r="G4783" s="16">
        <v>21308.543033276663</v>
      </c>
      <c r="H4783">
        <v>129.69</v>
      </c>
      <c r="I4783" s="1">
        <v>498.22999999999996</v>
      </c>
      <c r="J4783" s="16">
        <v>253646.39781229547</v>
      </c>
      <c r="K4783" s="5">
        <v>9.6281218808509886E-2</v>
      </c>
      <c r="L4783" s="10">
        <v>219986.86619999999</v>
      </c>
    </row>
    <row r="4784" spans="1:12" x14ac:dyDescent="0.25">
      <c r="A4784">
        <v>4783</v>
      </c>
      <c r="B4784" s="3">
        <v>0.24725811361555772</v>
      </c>
      <c r="C4784" s="3">
        <v>2.4100458543809711E-2</v>
      </c>
      <c r="D4784" s="1">
        <v>56234.891831935842</v>
      </c>
      <c r="E4784" s="1">
        <v>2467577</v>
      </c>
      <c r="F4784" s="1">
        <v>16912992</v>
      </c>
      <c r="G4784" s="16">
        <v>30458.483692146772</v>
      </c>
      <c r="H4784">
        <v>444.7</v>
      </c>
      <c r="I4784" s="1">
        <v>1039.07</v>
      </c>
      <c r="J4784" s="16">
        <v>86693.375524082614</v>
      </c>
      <c r="K4784" s="5">
        <v>0.12722905535657031</v>
      </c>
      <c r="L4784" s="10">
        <v>428855.75530000002</v>
      </c>
    </row>
    <row r="4785" spans="1:12" x14ac:dyDescent="0.25">
      <c r="A4785">
        <v>4784</v>
      </c>
      <c r="B4785" s="3">
        <v>0.19870511103031141</v>
      </c>
      <c r="C4785" s="3">
        <v>4.353379432347855E-2</v>
      </c>
      <c r="D4785" s="1">
        <v>86298.434888958349</v>
      </c>
      <c r="E4785" s="1">
        <v>3139272</v>
      </c>
      <c r="F4785" s="1">
        <v>15272951</v>
      </c>
      <c r="G4785" s="16">
        <v>14055.338155287383</v>
      </c>
      <c r="H4785">
        <v>80.010000000000005</v>
      </c>
      <c r="I4785" s="1">
        <v>267.89</v>
      </c>
      <c r="J4785" s="16">
        <v>100353.77304424573</v>
      </c>
      <c r="K4785" s="5">
        <v>2.7427515160420229E-2</v>
      </c>
      <c r="L4785" s="10">
        <v>69076.296900000001</v>
      </c>
    </row>
    <row r="4786" spans="1:12" x14ac:dyDescent="0.25">
      <c r="A4786">
        <v>4785</v>
      </c>
      <c r="B4786" s="3">
        <v>0.12323297336808207</v>
      </c>
      <c r="C4786" s="3">
        <v>6.8061731141302581E-2</v>
      </c>
      <c r="D4786" s="1">
        <v>129150.55856435941</v>
      </c>
      <c r="E4786" s="1">
        <v>4090363</v>
      </c>
      <c r="F4786" s="1">
        <v>22205424</v>
      </c>
      <c r="G4786" s="16">
        <v>35818.901126742589</v>
      </c>
      <c r="H4786">
        <v>118.45</v>
      </c>
      <c r="I4786" s="1">
        <v>319.52</v>
      </c>
      <c r="J4786" s="16">
        <v>164969.45969110201</v>
      </c>
      <c r="K4786" s="5">
        <v>7.6757438655550125E-2</v>
      </c>
      <c r="L4786" s="10">
        <v>124402.4281</v>
      </c>
    </row>
    <row r="4787" spans="1:12" x14ac:dyDescent="0.25">
      <c r="A4787">
        <v>4786</v>
      </c>
      <c r="B4787" s="3">
        <v>0.23918888816281253</v>
      </c>
      <c r="C4787" s="3">
        <v>3.9872349145037837E-2</v>
      </c>
      <c r="D4787" s="1">
        <v>36729.344979075184</v>
      </c>
      <c r="E4787" s="1">
        <v>1560937</v>
      </c>
      <c r="F4787" s="1">
        <v>12022779</v>
      </c>
      <c r="G4787" s="16">
        <v>10223.960454466043</v>
      </c>
      <c r="H4787">
        <v>79.400000000000006</v>
      </c>
      <c r="I4787" s="1">
        <v>313.89999999999998</v>
      </c>
      <c r="J4787" s="16">
        <v>46953.305433541231</v>
      </c>
      <c r="K4787" s="5">
        <v>5.2819979014009547E-2</v>
      </c>
      <c r="L4787" s="10">
        <v>65599.153600000005</v>
      </c>
    </row>
    <row r="4788" spans="1:12" x14ac:dyDescent="0.25">
      <c r="A4788">
        <v>4787</v>
      </c>
      <c r="B4788" s="3">
        <v>0.12676146717839679</v>
      </c>
      <c r="C4788" s="3">
        <v>7.7784688089679324E-2</v>
      </c>
      <c r="D4788" s="1">
        <v>169619.30691698304</v>
      </c>
      <c r="E4788" s="1">
        <v>5459419</v>
      </c>
      <c r="F4788" s="1">
        <v>27157490</v>
      </c>
      <c r="G4788" s="16">
        <v>9602.2703601806952</v>
      </c>
      <c r="H4788">
        <v>24.94</v>
      </c>
      <c r="I4788" s="1">
        <v>95.669999999999987</v>
      </c>
      <c r="J4788" s="16">
        <v>179221.57727716374</v>
      </c>
      <c r="K4788" s="5">
        <v>0.1412039931152857</v>
      </c>
      <c r="L4788" s="10">
        <v>239702.97070000001</v>
      </c>
    </row>
    <row r="4789" spans="1:12" x14ac:dyDescent="0.25">
      <c r="A4789">
        <v>4788</v>
      </c>
      <c r="B4789" s="3">
        <v>0.11953913122385101</v>
      </c>
      <c r="C4789" s="3">
        <v>4.9361701514365294E-2</v>
      </c>
      <c r="D4789" s="1">
        <v>33369.491794180656</v>
      </c>
      <c r="E4789" s="1">
        <v>915003</v>
      </c>
      <c r="F4789" s="1">
        <v>14237317</v>
      </c>
      <c r="G4789" s="16">
        <v>30601.751791126859</v>
      </c>
      <c r="H4789">
        <v>98.8</v>
      </c>
      <c r="I4789" s="1">
        <v>382.14000000000004</v>
      </c>
      <c r="J4789" s="16">
        <v>63971.243585307515</v>
      </c>
      <c r="K4789" s="5">
        <v>7.4531027268286726E-2</v>
      </c>
      <c r="L4789" s="10">
        <v>104028.6345</v>
      </c>
    </row>
    <row r="4790" spans="1:12" x14ac:dyDescent="0.25">
      <c r="A4790">
        <v>4789</v>
      </c>
      <c r="B4790" s="3">
        <v>0.16935370620713341</v>
      </c>
      <c r="C4790" s="3">
        <v>6.4268336833568376E-2</v>
      </c>
      <c r="D4790" s="1">
        <v>115666.1997596392</v>
      </c>
      <c r="E4790" s="1">
        <v>4547210</v>
      </c>
      <c r="F4790" s="1">
        <v>24767604</v>
      </c>
      <c r="G4790" s="16">
        <v>12471.479934789939</v>
      </c>
      <c r="H4790">
        <v>57.16</v>
      </c>
      <c r="I4790" s="1">
        <v>234.58999999999997</v>
      </c>
      <c r="J4790" s="16">
        <v>128137.67969442914</v>
      </c>
      <c r="K4790" s="5">
        <v>0.1109715907686917</v>
      </c>
      <c r="L4790" s="10">
        <v>178886.53829999999</v>
      </c>
    </row>
    <row r="4791" spans="1:12" x14ac:dyDescent="0.25">
      <c r="A4791">
        <v>4790</v>
      </c>
      <c r="B4791" s="3">
        <v>0.14102211385658389</v>
      </c>
      <c r="C4791" s="3">
        <v>6.6612225969851571E-2</v>
      </c>
      <c r="D4791" s="1">
        <v>242534.4165905143</v>
      </c>
      <c r="E4791" s="1">
        <v>8337743</v>
      </c>
      <c r="F4791" s="1">
        <v>32170146</v>
      </c>
      <c r="G4791" s="16">
        <v>81750.305188588929</v>
      </c>
      <c r="H4791">
        <v>414.69</v>
      </c>
      <c r="I4791" s="1">
        <v>1204.31</v>
      </c>
      <c r="J4791" s="16">
        <v>324284.72177910322</v>
      </c>
      <c r="K4791" s="5">
        <v>9.7796486077073544E-2</v>
      </c>
      <c r="L4791" s="10">
        <v>323950.17050000001</v>
      </c>
    </row>
    <row r="4792" spans="1:12" x14ac:dyDescent="0.25">
      <c r="A4792">
        <v>4791</v>
      </c>
      <c r="B4792" s="3">
        <v>0.17806095455118282</v>
      </c>
      <c r="C4792" s="3">
        <v>5.8288667488590018E-2</v>
      </c>
      <c r="D4792" s="1">
        <v>225569.47037859441</v>
      </c>
      <c r="E4792" s="1">
        <v>9249638</v>
      </c>
      <c r="F4792" s="1">
        <v>30334244</v>
      </c>
      <c r="G4792" s="16">
        <v>54041.539929590726</v>
      </c>
      <c r="H4792">
        <v>389.81</v>
      </c>
      <c r="I4792" s="1">
        <v>1220.1499999999999</v>
      </c>
      <c r="J4792" s="16">
        <v>279611.01030818513</v>
      </c>
      <c r="K4792" s="5">
        <v>1.2611740988630327E-3</v>
      </c>
      <c r="L4792" s="10">
        <v>32159.376799999998</v>
      </c>
    </row>
    <row r="4793" spans="1:12" x14ac:dyDescent="0.25">
      <c r="A4793">
        <v>4792</v>
      </c>
      <c r="B4793" s="3">
        <v>0.16590229419145514</v>
      </c>
      <c r="C4793" s="3">
        <v>7.9642848132941563E-2</v>
      </c>
      <c r="D4793" s="1">
        <v>127429.64412813309</v>
      </c>
      <c r="E4793" s="1">
        <v>4927259</v>
      </c>
      <c r="F4793" s="1">
        <v>28714835</v>
      </c>
      <c r="G4793" s="16">
        <v>16359.473937405577</v>
      </c>
      <c r="H4793">
        <v>60.93</v>
      </c>
      <c r="I4793" s="1">
        <v>174.43</v>
      </c>
      <c r="J4793" s="16">
        <v>143789.11806553867</v>
      </c>
      <c r="K4793" s="5">
        <v>0.16843841193571829</v>
      </c>
      <c r="L4793" s="10">
        <v>206826.5048</v>
      </c>
    </row>
    <row r="4794" spans="1:12" x14ac:dyDescent="0.25">
      <c r="A4794">
        <v>4793</v>
      </c>
      <c r="B4794" s="3">
        <v>0.19049545722362216</v>
      </c>
      <c r="C4794" s="3">
        <v>6.9313827096676064E-2</v>
      </c>
      <c r="D4794" s="1">
        <v>65432.222640878143</v>
      </c>
      <c r="E4794" s="1">
        <v>2851785</v>
      </c>
      <c r="F4794" s="1">
        <v>22094794</v>
      </c>
      <c r="G4794" s="16">
        <v>21807.798219327906</v>
      </c>
      <c r="H4794">
        <v>116.47</v>
      </c>
      <c r="I4794" s="1">
        <v>330.86</v>
      </c>
      <c r="J4794" s="16">
        <v>87240.020860206045</v>
      </c>
      <c r="K4794" s="5">
        <v>-1.259446345962632E-2</v>
      </c>
      <c r="L4794" s="10">
        <v>-5755.4108999999999</v>
      </c>
    </row>
    <row r="4795" spans="1:12" x14ac:dyDescent="0.25">
      <c r="A4795">
        <v>4794</v>
      </c>
      <c r="B4795" s="3">
        <v>0.24167122585272943</v>
      </c>
      <c r="C4795" s="3">
        <v>6.9290811674815544E-2</v>
      </c>
      <c r="D4795" s="1">
        <v>69932.454161748421</v>
      </c>
      <c r="E4795" s="1">
        <v>3001296</v>
      </c>
      <c r="F4795" s="1">
        <v>20380519</v>
      </c>
      <c r="G4795" s="16">
        <v>35019.823661506045</v>
      </c>
      <c r="H4795">
        <v>635.45000000000005</v>
      </c>
      <c r="I4795" s="1">
        <v>1878.0800000000002</v>
      </c>
      <c r="J4795" s="16">
        <v>104952.27782325447</v>
      </c>
      <c r="K4795" s="5">
        <v>3.134462183049487E-2</v>
      </c>
      <c r="L4795" s="10">
        <v>41699.926800000001</v>
      </c>
    </row>
    <row r="4796" spans="1:12" x14ac:dyDescent="0.25">
      <c r="A4796">
        <v>4795</v>
      </c>
      <c r="B4796" s="3">
        <v>0.16602649847963052</v>
      </c>
      <c r="C4796" s="3">
        <v>3.189074335728332E-2</v>
      </c>
      <c r="D4796" s="1">
        <v>83301.627929089707</v>
      </c>
      <c r="E4796" s="1">
        <v>2687815</v>
      </c>
      <c r="F4796" s="1">
        <v>13319489</v>
      </c>
      <c r="G4796" s="16">
        <v>56489.368323809067</v>
      </c>
      <c r="H4796">
        <v>363.33</v>
      </c>
      <c r="I4796" s="1">
        <v>1272.04</v>
      </c>
      <c r="J4796" s="16">
        <v>139790.99625289877</v>
      </c>
      <c r="K4796" s="5">
        <v>0.17122403461622349</v>
      </c>
      <c r="L4796" s="10">
        <v>639446.20140000002</v>
      </c>
    </row>
    <row r="4797" spans="1:12" x14ac:dyDescent="0.25">
      <c r="A4797">
        <v>4796</v>
      </c>
      <c r="B4797" s="3">
        <v>0.23866134077841616</v>
      </c>
      <c r="C4797" s="3">
        <v>2.0876961556121589E-2</v>
      </c>
      <c r="D4797" s="1">
        <v>113866.65835926784</v>
      </c>
      <c r="E4797" s="1">
        <v>6342903</v>
      </c>
      <c r="F4797" s="1">
        <v>28339975</v>
      </c>
      <c r="G4797" s="16">
        <v>18555.099722744057</v>
      </c>
      <c r="H4797">
        <v>188.4</v>
      </c>
      <c r="I4797" s="1">
        <v>494.03999999999996</v>
      </c>
      <c r="J4797" s="16">
        <v>132421.75808201189</v>
      </c>
      <c r="K4797" s="5">
        <v>7.6078650229358516E-2</v>
      </c>
      <c r="L4797" s="10">
        <v>455931.01899999997</v>
      </c>
    </row>
    <row r="4798" spans="1:12" x14ac:dyDescent="0.25">
      <c r="A4798">
        <v>4797</v>
      </c>
      <c r="B4798" s="3">
        <v>0.20111784867376664</v>
      </c>
      <c r="C4798" s="3">
        <v>4.6761811048878832E-2</v>
      </c>
      <c r="D4798" s="1">
        <v>64316.515593479169</v>
      </c>
      <c r="E4798" s="1">
        <v>2360898</v>
      </c>
      <c r="F4798" s="1">
        <v>15143723</v>
      </c>
      <c r="G4798" s="16">
        <v>11419.373957648573</v>
      </c>
      <c r="H4798">
        <v>66.14</v>
      </c>
      <c r="I4798" s="1">
        <v>295.13</v>
      </c>
      <c r="J4798" s="16">
        <v>75735.889551127737</v>
      </c>
      <c r="K4798" s="5">
        <v>5.1068065837911916E-2</v>
      </c>
      <c r="L4798" s="10">
        <v>87859.538499999995</v>
      </c>
    </row>
    <row r="4799" spans="1:12" x14ac:dyDescent="0.25">
      <c r="A4799">
        <v>4798</v>
      </c>
      <c r="B4799" s="3">
        <v>0.12422766591183794</v>
      </c>
      <c r="C4799" s="3">
        <v>7.2366068670099384E-2</v>
      </c>
      <c r="D4799" s="1">
        <v>307124.14787071705</v>
      </c>
      <c r="E4799" s="1">
        <v>9771290</v>
      </c>
      <c r="F4799" s="1">
        <v>39835317</v>
      </c>
      <c r="G4799" s="16">
        <v>20398.175000275427</v>
      </c>
      <c r="H4799">
        <v>68.040000000000006</v>
      </c>
      <c r="I4799" s="1">
        <v>316.98</v>
      </c>
      <c r="J4799" s="16">
        <v>327522.32287099247</v>
      </c>
      <c r="K4799" s="5">
        <v>0.22340819638108561</v>
      </c>
      <c r="L4799" s="10">
        <v>699520.16480000003</v>
      </c>
    </row>
    <row r="4800" spans="1:12" x14ac:dyDescent="0.25">
      <c r="A4800">
        <v>4799</v>
      </c>
      <c r="B4800" s="3">
        <v>0.1199377576037394</v>
      </c>
      <c r="C4800" s="3">
        <v>4.749843080941752E-2</v>
      </c>
      <c r="D4800" s="1">
        <v>85628.224380480024</v>
      </c>
      <c r="E4800" s="1">
        <v>2671567</v>
      </c>
      <c r="F4800" s="1">
        <v>22175503</v>
      </c>
      <c r="G4800" s="16">
        <v>25696.448978017666</v>
      </c>
      <c r="H4800">
        <v>83.12</v>
      </c>
      <c r="I4800" s="1">
        <v>365.08</v>
      </c>
      <c r="J4800" s="16">
        <v>111324.67335849769</v>
      </c>
      <c r="K4800" s="5">
        <v>-6.2157832294683531E-3</v>
      </c>
      <c r="L4800" s="10">
        <v>11528.9262</v>
      </c>
    </row>
    <row r="4801" spans="1:12" x14ac:dyDescent="0.25">
      <c r="A4801">
        <v>4800</v>
      </c>
      <c r="B4801" s="3">
        <v>0.19520059910144533</v>
      </c>
      <c r="C4801" s="3">
        <v>3.7906803654928836E-2</v>
      </c>
      <c r="D4801" s="1">
        <v>133648.06761192565</v>
      </c>
      <c r="E4801" s="1">
        <v>5962312</v>
      </c>
      <c r="F4801" s="1">
        <v>28734658</v>
      </c>
      <c r="G4801" s="16">
        <v>34414.958448371843</v>
      </c>
      <c r="H4801">
        <v>236.91</v>
      </c>
      <c r="I4801" s="1">
        <v>765.34</v>
      </c>
      <c r="J4801" s="16">
        <v>168063.0260602975</v>
      </c>
      <c r="K4801" s="5">
        <v>-4.8737602869754024E-2</v>
      </c>
      <c r="L4801" s="10">
        <v>-136374.4032</v>
      </c>
    </row>
    <row r="4802" spans="1:12" x14ac:dyDescent="0.25">
      <c r="A4802">
        <v>4801</v>
      </c>
      <c r="B4802" s="3">
        <v>0.10468035579730041</v>
      </c>
      <c r="C4802" s="3">
        <v>3.3935460007770923E-2</v>
      </c>
      <c r="D4802" s="1">
        <v>366746.04662812874</v>
      </c>
      <c r="E4802" s="1">
        <v>11931014</v>
      </c>
      <c r="F4802" s="1">
        <v>44601681</v>
      </c>
      <c r="G4802" s="16">
        <v>48142.330667825074</v>
      </c>
      <c r="H4802">
        <v>140.71</v>
      </c>
      <c r="I4802" s="1">
        <v>362.44</v>
      </c>
      <c r="J4802" s="16">
        <v>414888.3772959538</v>
      </c>
      <c r="K4802" s="5">
        <v>-4.4409271646181775E-2</v>
      </c>
      <c r="L4802" s="10">
        <v>-412808.26309999998</v>
      </c>
    </row>
    <row r="4803" spans="1:12" x14ac:dyDescent="0.25">
      <c r="A4803">
        <v>4802</v>
      </c>
      <c r="B4803" s="3">
        <v>0.11524095601555828</v>
      </c>
      <c r="C4803" s="3">
        <v>5.2079573597170942E-2</v>
      </c>
      <c r="D4803" s="1">
        <v>161599.41026903261</v>
      </c>
      <c r="E4803" s="1">
        <v>4935630</v>
      </c>
      <c r="F4803" s="1">
        <v>22488834</v>
      </c>
      <c r="G4803" s="16">
        <v>47055.533365352589</v>
      </c>
      <c r="H4803">
        <v>167.13</v>
      </c>
      <c r="I4803" s="1">
        <v>560.26</v>
      </c>
      <c r="J4803" s="16">
        <v>208654.94363438518</v>
      </c>
      <c r="K4803" s="5">
        <v>0.14086395639199614</v>
      </c>
      <c r="L4803" s="10">
        <v>424547.55209999997</v>
      </c>
    </row>
    <row r="4804" spans="1:12" x14ac:dyDescent="0.25">
      <c r="A4804">
        <v>4803</v>
      </c>
      <c r="B4804" s="3">
        <v>0.10801516673085003</v>
      </c>
      <c r="C4804" s="3">
        <v>4.6817350511694673E-2</v>
      </c>
      <c r="D4804" s="1">
        <v>164578.71055173539</v>
      </c>
      <c r="E4804" s="1">
        <v>4340138</v>
      </c>
      <c r="F4804" s="1">
        <v>16283271</v>
      </c>
      <c r="G4804" s="16">
        <v>66100.536378933932</v>
      </c>
      <c r="H4804">
        <v>248.11</v>
      </c>
      <c r="I4804" s="1">
        <v>850.16</v>
      </c>
      <c r="J4804" s="16">
        <v>230679.24693066932</v>
      </c>
      <c r="K4804" s="5">
        <v>3.2411114694723367E-2</v>
      </c>
      <c r="L4804" s="10">
        <v>146341.41329999999</v>
      </c>
    </row>
    <row r="4805" spans="1:12" x14ac:dyDescent="0.25">
      <c r="A4805">
        <v>4804</v>
      </c>
      <c r="B4805" s="3">
        <v>0.23715310429793809</v>
      </c>
      <c r="C4805" s="3">
        <v>6.4766856687728205E-2</v>
      </c>
      <c r="D4805" s="1">
        <v>49910.908476551951</v>
      </c>
      <c r="E4805" s="1">
        <v>2104197</v>
      </c>
      <c r="F4805" s="1">
        <v>14830664</v>
      </c>
      <c r="G4805" s="16">
        <v>22959.352592065243</v>
      </c>
      <c r="H4805">
        <v>301.38</v>
      </c>
      <c r="I4805" s="1">
        <v>784.89</v>
      </c>
      <c r="J4805" s="16">
        <v>72870.261068617197</v>
      </c>
      <c r="K4805" s="5">
        <v>0.12161338654930795</v>
      </c>
      <c r="L4805" s="10">
        <v>114187.0713</v>
      </c>
    </row>
    <row r="4806" spans="1:12" x14ac:dyDescent="0.25">
      <c r="A4806">
        <v>4805</v>
      </c>
      <c r="B4806" s="3">
        <v>0.10608358931406278</v>
      </c>
      <c r="C4806" s="3">
        <v>2.6284298991465595E-2</v>
      </c>
      <c r="D4806" s="1">
        <v>232807.46304134189</v>
      </c>
      <c r="E4806" s="1">
        <v>6823585</v>
      </c>
      <c r="F4806" s="1">
        <v>24834235</v>
      </c>
      <c r="G4806" s="16">
        <v>35353.482394063838</v>
      </c>
      <c r="H4806">
        <v>104.36</v>
      </c>
      <c r="I4806" s="1">
        <v>343.7</v>
      </c>
      <c r="J4806" s="16">
        <v>268160.94543540571</v>
      </c>
      <c r="K4806" s="5">
        <v>0.11639540065727441</v>
      </c>
      <c r="L4806" s="10">
        <v>1048554.4149</v>
      </c>
    </row>
    <row r="4807" spans="1:12" x14ac:dyDescent="0.25">
      <c r="A4807">
        <v>4806</v>
      </c>
      <c r="B4807" s="3">
        <v>0.1526542649781204</v>
      </c>
      <c r="C4807" s="3">
        <v>4.7715772925849331E-2</v>
      </c>
      <c r="D4807" s="1">
        <v>86549.443461583433</v>
      </c>
      <c r="E4807" s="1">
        <v>2662474</v>
      </c>
      <c r="F4807" s="1">
        <v>13909585</v>
      </c>
      <c r="G4807" s="16">
        <v>58302.07934641531</v>
      </c>
      <c r="H4807">
        <v>330.05</v>
      </c>
      <c r="I4807" s="1">
        <v>907.27</v>
      </c>
      <c r="J4807" s="16">
        <v>144851.52280799876</v>
      </c>
      <c r="K4807" s="5">
        <v>-1.8714222771296456E-2</v>
      </c>
      <c r="L4807" s="10">
        <v>-25104.789100000002</v>
      </c>
    </row>
    <row r="4808" spans="1:12" x14ac:dyDescent="0.25">
      <c r="A4808">
        <v>4807</v>
      </c>
      <c r="B4808" s="3">
        <v>0.170173492831866</v>
      </c>
      <c r="C4808" s="3">
        <v>4.0483913029050342E-2</v>
      </c>
      <c r="D4808" s="1">
        <v>102299.31021403574</v>
      </c>
      <c r="E4808" s="1">
        <v>3350529</v>
      </c>
      <c r="F4808" s="1">
        <v>20773548</v>
      </c>
      <c r="G4808" s="16">
        <v>25950.660483602678</v>
      </c>
      <c r="H4808">
        <v>119.6</v>
      </c>
      <c r="I4808" s="1">
        <v>361.89</v>
      </c>
      <c r="J4808" s="16">
        <v>128249.97069763842</v>
      </c>
      <c r="K4808" s="5">
        <v>5.9171480859272214E-2</v>
      </c>
      <c r="L4808" s="10">
        <v>175349.02189999999</v>
      </c>
    </row>
    <row r="4809" spans="1:12" x14ac:dyDescent="0.25">
      <c r="A4809">
        <v>4808</v>
      </c>
      <c r="B4809" s="3">
        <v>0.19935838328556121</v>
      </c>
      <c r="C4809" s="3">
        <v>7.6115350983457897E-2</v>
      </c>
      <c r="D4809" s="1">
        <v>114403.35320632429</v>
      </c>
      <c r="E4809" s="1">
        <v>4171838</v>
      </c>
      <c r="F4809" s="1">
        <v>20036982</v>
      </c>
      <c r="G4809" s="16">
        <v>39792.615770775068</v>
      </c>
      <c r="H4809">
        <v>283.69</v>
      </c>
      <c r="I4809" s="1">
        <v>738.41000000000008</v>
      </c>
      <c r="J4809" s="16">
        <v>154195.96897709934</v>
      </c>
      <c r="K4809" s="5">
        <v>1.3349684224695547E-3</v>
      </c>
      <c r="L4809" s="10">
        <v>12226.5538</v>
      </c>
    </row>
    <row r="4810" spans="1:12" x14ac:dyDescent="0.25">
      <c r="A4810">
        <v>4809</v>
      </c>
      <c r="B4810" s="3">
        <v>0.18038901126230261</v>
      </c>
      <c r="C4810" s="3">
        <v>4.4576275208204251E-2</v>
      </c>
      <c r="D4810" s="1">
        <v>205173.03520507735</v>
      </c>
      <c r="E4810" s="1">
        <v>8509270</v>
      </c>
      <c r="F4810" s="1">
        <v>37901076</v>
      </c>
      <c r="G4810" s="16">
        <v>37606.439110427498</v>
      </c>
      <c r="H4810">
        <v>227.66</v>
      </c>
      <c r="I4810" s="1">
        <v>608.41999999999996</v>
      </c>
      <c r="J4810" s="16">
        <v>242779.47431550483</v>
      </c>
      <c r="K4810" s="5">
        <v>0.22272832267721421</v>
      </c>
      <c r="L4810" s="10">
        <v>942465.09100000001</v>
      </c>
    </row>
    <row r="4811" spans="1:12" x14ac:dyDescent="0.25">
      <c r="A4811">
        <v>4810</v>
      </c>
      <c r="B4811" s="3">
        <v>0.21454066699781912</v>
      </c>
      <c r="C4811" s="3">
        <v>3.7302542067054495E-2</v>
      </c>
      <c r="D4811" s="1">
        <v>315344.70229677379</v>
      </c>
      <c r="E4811" s="1">
        <v>19741009</v>
      </c>
      <c r="F4811" s="1">
        <v>76291029</v>
      </c>
      <c r="G4811" s="16">
        <v>16098.034256558805</v>
      </c>
      <c r="H4811">
        <v>131.28</v>
      </c>
      <c r="I4811" s="1">
        <v>410.36</v>
      </c>
      <c r="J4811" s="16">
        <v>331442.73655333259</v>
      </c>
      <c r="K4811" s="5">
        <v>5.502852209225155E-2</v>
      </c>
      <c r="L4811" s="10">
        <v>397613.65789999999</v>
      </c>
    </row>
    <row r="4812" spans="1:12" x14ac:dyDescent="0.25">
      <c r="A4812">
        <v>4811</v>
      </c>
      <c r="B4812" s="3">
        <v>0.24645189246318466</v>
      </c>
      <c r="C4812" s="3">
        <v>6.8016458490501211E-2</v>
      </c>
      <c r="D4812" s="1">
        <v>97293.006060206506</v>
      </c>
      <c r="E4812" s="1">
        <v>4255518</v>
      </c>
      <c r="F4812" s="1">
        <v>17466096</v>
      </c>
      <c r="G4812" s="16">
        <v>12431.011544739396</v>
      </c>
      <c r="H4812">
        <v>135.59</v>
      </c>
      <c r="I4812" s="1">
        <v>434.54999999999995</v>
      </c>
      <c r="J4812" s="16">
        <v>109724.0176049459</v>
      </c>
      <c r="K4812" s="5">
        <v>3.9268423396291795E-2</v>
      </c>
      <c r="L4812" s="10">
        <v>59957.956200000001</v>
      </c>
    </row>
    <row r="4813" spans="1:12" x14ac:dyDescent="0.25">
      <c r="A4813">
        <v>4812</v>
      </c>
      <c r="B4813" s="3">
        <v>0.19037521566432677</v>
      </c>
      <c r="C4813" s="3">
        <v>7.4573225559529693E-2</v>
      </c>
      <c r="D4813" s="1">
        <v>91910.768344674201</v>
      </c>
      <c r="E4813" s="1">
        <v>4003443</v>
      </c>
      <c r="F4813" s="1">
        <v>27842114</v>
      </c>
      <c r="G4813" s="16">
        <v>44987.624020634365</v>
      </c>
      <c r="H4813">
        <v>366.69</v>
      </c>
      <c r="I4813" s="1">
        <v>1075.55</v>
      </c>
      <c r="J4813" s="16">
        <v>136898.39236530857</v>
      </c>
      <c r="K4813" s="5">
        <v>0.2133219059406071</v>
      </c>
      <c r="L4813" s="10">
        <v>288505.36099999998</v>
      </c>
    </row>
    <row r="4814" spans="1:12" x14ac:dyDescent="0.25">
      <c r="A4814">
        <v>4813</v>
      </c>
      <c r="B4814" s="3">
        <v>0.17612002299972623</v>
      </c>
      <c r="C4814" s="3">
        <v>3.7736078264410479E-2</v>
      </c>
      <c r="D4814" s="1">
        <v>268484.10275130859</v>
      </c>
      <c r="E4814" s="1">
        <v>13237373</v>
      </c>
      <c r="F4814" s="1">
        <v>43231808</v>
      </c>
      <c r="G4814" s="16">
        <v>20573.73370245369</v>
      </c>
      <c r="H4814">
        <v>98.96</v>
      </c>
      <c r="I4814" s="1">
        <v>315.83</v>
      </c>
      <c r="J4814" s="16">
        <v>289057.83645376225</v>
      </c>
      <c r="K4814" s="5">
        <v>6.6313468907124362E-2</v>
      </c>
      <c r="L4814" s="10">
        <v>408602.39199999999</v>
      </c>
    </row>
    <row r="4815" spans="1:12" x14ac:dyDescent="0.25">
      <c r="A4815">
        <v>4814</v>
      </c>
      <c r="B4815" s="3">
        <v>0.10802908105828551</v>
      </c>
      <c r="C4815" s="3">
        <v>7.3995726326540764E-2</v>
      </c>
      <c r="D4815" s="1">
        <v>151758.68677353102</v>
      </c>
      <c r="E4815" s="1">
        <v>4486974</v>
      </c>
      <c r="F4815" s="1">
        <v>24202581</v>
      </c>
      <c r="G4815" s="16">
        <v>19765.212171837618</v>
      </c>
      <c r="H4815">
        <v>59.11</v>
      </c>
      <c r="I4815" s="1">
        <v>199.18</v>
      </c>
      <c r="J4815" s="16">
        <v>171523.89894536865</v>
      </c>
      <c r="K4815" s="5">
        <v>0.18169399988167415</v>
      </c>
      <c r="L4815" s="10">
        <v>283186.33029999997</v>
      </c>
    </row>
    <row r="4816" spans="1:12" x14ac:dyDescent="0.25">
      <c r="A4816">
        <v>4815</v>
      </c>
      <c r="B4816" s="3">
        <v>0.12076057117604283</v>
      </c>
      <c r="C4816" s="3">
        <v>2.5485174851379164E-2</v>
      </c>
      <c r="D4816" s="1">
        <v>91326.451802112249</v>
      </c>
      <c r="E4816" s="1">
        <v>2514652</v>
      </c>
      <c r="F4816" s="1">
        <v>14254950</v>
      </c>
      <c r="G4816" s="16">
        <v>62952.668588196109</v>
      </c>
      <c r="H4816">
        <v>233.1</v>
      </c>
      <c r="I4816" s="1">
        <v>631.19999999999993</v>
      </c>
      <c r="J4816" s="16">
        <v>154279.12039030835</v>
      </c>
      <c r="K4816" s="5">
        <v>8.8306629560643751E-2</v>
      </c>
      <c r="L4816" s="10">
        <v>457107.56719999999</v>
      </c>
    </row>
    <row r="4817" spans="1:12" x14ac:dyDescent="0.25">
      <c r="A4817">
        <v>4816</v>
      </c>
      <c r="B4817" s="3">
        <v>0.24616974680810699</v>
      </c>
      <c r="C4817" s="3">
        <v>2.2314431455939882E-2</v>
      </c>
      <c r="D4817" s="1">
        <v>67152.40781078281</v>
      </c>
      <c r="E4817" s="1">
        <v>2933889</v>
      </c>
      <c r="F4817" s="1">
        <v>15454178</v>
      </c>
      <c r="G4817" s="16">
        <v>16653.464247496737</v>
      </c>
      <c r="H4817">
        <v>180.98</v>
      </c>
      <c r="I4817" s="1">
        <v>568.08000000000004</v>
      </c>
      <c r="J4817" s="16">
        <v>83805.87205827955</v>
      </c>
      <c r="K4817" s="5">
        <v>-6.963101552486628E-2</v>
      </c>
      <c r="L4817" s="10">
        <v>-211253.315</v>
      </c>
    </row>
    <row r="4818" spans="1:12" x14ac:dyDescent="0.25">
      <c r="A4818">
        <v>4817</v>
      </c>
      <c r="B4818" s="3">
        <v>0.24793083521067141</v>
      </c>
      <c r="C4818" s="3">
        <v>4.0544918551288778E-2</v>
      </c>
      <c r="D4818" s="1">
        <v>208404.29718836441</v>
      </c>
      <c r="E4818" s="1">
        <v>12192100</v>
      </c>
      <c r="F4818" s="1">
        <v>39142931</v>
      </c>
      <c r="G4818" s="16">
        <v>6518.3879887978883</v>
      </c>
      <c r="H4818">
        <v>54.27</v>
      </c>
      <c r="I4818" s="1">
        <v>209.57000000000002</v>
      </c>
      <c r="J4818" s="16">
        <v>214922.68517716229</v>
      </c>
      <c r="K4818" s="5">
        <v>0.17743722253598421</v>
      </c>
      <c r="L4818" s="10">
        <v>728692.31499999994</v>
      </c>
    </row>
    <row r="4819" spans="1:12" x14ac:dyDescent="0.25">
      <c r="A4819">
        <v>4818</v>
      </c>
      <c r="B4819" s="3">
        <v>0.14472028104374651</v>
      </c>
      <c r="C4819" s="3">
        <v>6.2647288300253595E-2</v>
      </c>
      <c r="D4819" s="1">
        <v>368636.34747838823</v>
      </c>
      <c r="E4819" s="1">
        <v>15075102</v>
      </c>
      <c r="F4819" s="1">
        <v>57733171</v>
      </c>
      <c r="G4819" s="16">
        <v>30706.43873493385</v>
      </c>
      <c r="H4819">
        <v>138.1</v>
      </c>
      <c r="I4819" s="1">
        <v>422.5</v>
      </c>
      <c r="J4819" s="16">
        <v>399342.78621332208</v>
      </c>
      <c r="K4819" s="5">
        <v>-9.4150690784919833E-2</v>
      </c>
      <c r="L4819" s="10">
        <v>-357779.82390000002</v>
      </c>
    </row>
    <row r="4820" spans="1:12" x14ac:dyDescent="0.25">
      <c r="A4820">
        <v>4819</v>
      </c>
      <c r="B4820" s="3">
        <v>0.17995061734201129</v>
      </c>
      <c r="C4820" s="3">
        <v>4.0637204319071904E-2</v>
      </c>
      <c r="D4820" s="1">
        <v>156126.17904531461</v>
      </c>
      <c r="E4820" s="1">
        <v>6461287</v>
      </c>
      <c r="F4820" s="1">
        <v>25348125</v>
      </c>
      <c r="G4820" s="16">
        <v>42480.406387382202</v>
      </c>
      <c r="H4820">
        <v>312.11</v>
      </c>
      <c r="I4820" s="1">
        <v>820.4</v>
      </c>
      <c r="J4820" s="16">
        <v>198606.5854326968</v>
      </c>
      <c r="K4820" s="5">
        <v>0.10590848620532961</v>
      </c>
      <c r="L4820" s="10">
        <v>438508.18430000002</v>
      </c>
    </row>
    <row r="4821" spans="1:12" x14ac:dyDescent="0.25">
      <c r="A4821">
        <v>4820</v>
      </c>
      <c r="B4821" s="3">
        <v>0.2357115832711964</v>
      </c>
      <c r="C4821" s="3">
        <v>3.5578204066153932E-2</v>
      </c>
      <c r="D4821" s="1">
        <v>100348.13720837033</v>
      </c>
      <c r="E4821" s="1">
        <v>4206684</v>
      </c>
      <c r="F4821" s="1">
        <v>18910087</v>
      </c>
      <c r="G4821" s="16">
        <v>16569.910576838312</v>
      </c>
      <c r="H4821">
        <v>163.49</v>
      </c>
      <c r="I4821" s="1">
        <v>474.25</v>
      </c>
      <c r="J4821" s="16">
        <v>116918.04778520865</v>
      </c>
      <c r="K4821" s="5">
        <v>3.4994721553807971E-2</v>
      </c>
      <c r="L4821" s="10">
        <v>105022.4523</v>
      </c>
    </row>
    <row r="4822" spans="1:12" x14ac:dyDescent="0.25">
      <c r="A4822">
        <v>4821</v>
      </c>
      <c r="B4822" s="3">
        <v>0.18405446425868116</v>
      </c>
      <c r="C4822" s="3">
        <v>3.4630227062728711E-2</v>
      </c>
      <c r="D4822" s="1">
        <v>270651.87950743403</v>
      </c>
      <c r="E4822" s="1">
        <v>11427980</v>
      </c>
      <c r="F4822" s="1">
        <v>39205886</v>
      </c>
      <c r="G4822" s="16">
        <v>54239.815836065063</v>
      </c>
      <c r="H4822">
        <v>415.46</v>
      </c>
      <c r="I4822" s="1">
        <v>1154.97</v>
      </c>
      <c r="J4822" s="16">
        <v>324891.69534349907</v>
      </c>
      <c r="K4822" s="5">
        <v>0.19320244006574511</v>
      </c>
      <c r="L4822" s="10">
        <v>1450718.946</v>
      </c>
    </row>
    <row r="4823" spans="1:12" x14ac:dyDescent="0.25">
      <c r="A4823">
        <v>4822</v>
      </c>
      <c r="B4823" s="3">
        <v>0.24398431274451202</v>
      </c>
      <c r="C4823" s="3">
        <v>5.9669936415701938E-2</v>
      </c>
      <c r="D4823" s="1">
        <v>61133.396225197372</v>
      </c>
      <c r="E4823" s="1">
        <v>3502338</v>
      </c>
      <c r="F4823" s="1">
        <v>24358666</v>
      </c>
      <c r="G4823" s="16">
        <v>13747.466271125157</v>
      </c>
      <c r="H4823">
        <v>146.58000000000001</v>
      </c>
      <c r="I4823" s="1">
        <v>396.75</v>
      </c>
      <c r="J4823" s="16">
        <v>74880.86249632253</v>
      </c>
      <c r="K4823" s="5">
        <v>3.7884627396366097E-2</v>
      </c>
      <c r="L4823" s="10">
        <v>65683.938999999998</v>
      </c>
    </row>
    <row r="4824" spans="1:12" x14ac:dyDescent="0.25">
      <c r="A4824">
        <v>4823</v>
      </c>
      <c r="B4824" s="3">
        <v>0.10329584726690592</v>
      </c>
      <c r="C4824" s="3">
        <v>2.9382756476255628E-2</v>
      </c>
      <c r="D4824" s="1">
        <v>274505.48007546423</v>
      </c>
      <c r="E4824" s="1">
        <v>7946147</v>
      </c>
      <c r="F4824" s="1">
        <v>29599427</v>
      </c>
      <c r="G4824" s="16">
        <v>33653.362095417629</v>
      </c>
      <c r="H4824">
        <v>97.19</v>
      </c>
      <c r="I4824" s="1">
        <v>308.46999999999997</v>
      </c>
      <c r="J4824" s="16">
        <v>308158.84217088186</v>
      </c>
      <c r="K4824" s="5">
        <v>0.26303943480904041</v>
      </c>
      <c r="L4824" s="10">
        <v>2273950.6401999998</v>
      </c>
    </row>
    <row r="4825" spans="1:12" x14ac:dyDescent="0.25">
      <c r="A4825">
        <v>4824</v>
      </c>
      <c r="B4825" s="3">
        <v>0.18455647055150357</v>
      </c>
      <c r="C4825" s="3">
        <v>2.7699414258690429E-2</v>
      </c>
      <c r="D4825" s="1">
        <v>48327.312519841435</v>
      </c>
      <c r="E4825" s="1">
        <v>1668066</v>
      </c>
      <c r="F4825" s="1">
        <v>11211179</v>
      </c>
      <c r="G4825" s="16">
        <v>22324.470410936086</v>
      </c>
      <c r="H4825">
        <v>140.46</v>
      </c>
      <c r="I4825" s="1">
        <v>398.36</v>
      </c>
      <c r="J4825" s="16">
        <v>70651.782930777525</v>
      </c>
      <c r="K4825" s="5">
        <v>9.84286442677023E-2</v>
      </c>
      <c r="L4825" s="10">
        <v>216441.17559999999</v>
      </c>
    </row>
    <row r="4826" spans="1:12" x14ac:dyDescent="0.25">
      <c r="A4826">
        <v>4825</v>
      </c>
      <c r="B4826" s="3">
        <v>0.24842464869223757</v>
      </c>
      <c r="C4826" s="3">
        <v>7.4339030148918156E-2</v>
      </c>
      <c r="D4826" s="1">
        <v>62007.883702469451</v>
      </c>
      <c r="E4826" s="1">
        <v>2733582</v>
      </c>
      <c r="F4826" s="1">
        <v>18228944</v>
      </c>
      <c r="G4826" s="16">
        <v>16159.720903227939</v>
      </c>
      <c r="H4826">
        <v>134.81</v>
      </c>
      <c r="I4826" s="1">
        <v>363.82</v>
      </c>
      <c r="J4826" s="16">
        <v>78167.604605697386</v>
      </c>
      <c r="K4826" s="5">
        <v>8.2690182724723033E-2</v>
      </c>
      <c r="L4826" s="10">
        <v>84427.870200000005</v>
      </c>
    </row>
    <row r="4827" spans="1:12" x14ac:dyDescent="0.25">
      <c r="A4827">
        <v>4826</v>
      </c>
      <c r="B4827" s="3">
        <v>0.23811495696384077</v>
      </c>
      <c r="C4827" s="3">
        <v>3.5017141359050902E-2</v>
      </c>
      <c r="D4827" s="1">
        <v>39538.606245213152</v>
      </c>
      <c r="E4827" s="1">
        <v>1274809</v>
      </c>
      <c r="F4827" s="1">
        <v>9790327</v>
      </c>
      <c r="G4827" s="16">
        <v>9715.9497947060445</v>
      </c>
      <c r="H4827">
        <v>74.84</v>
      </c>
      <c r="I4827" s="1">
        <v>260.75</v>
      </c>
      <c r="J4827" s="16">
        <v>49254.556039919196</v>
      </c>
      <c r="K4827" s="5">
        <v>0.12467384125811096</v>
      </c>
      <c r="L4827" s="10">
        <v>169155.82829999999</v>
      </c>
    </row>
    <row r="4828" spans="1:12" x14ac:dyDescent="0.25">
      <c r="A4828">
        <v>4827</v>
      </c>
      <c r="B4828" s="3">
        <v>0.22495651912365425</v>
      </c>
      <c r="C4828" s="3">
        <v>3.2484043041847876E-2</v>
      </c>
      <c r="D4828" s="1">
        <v>182008.11502336824</v>
      </c>
      <c r="E4828" s="1">
        <v>9440368</v>
      </c>
      <c r="F4828" s="1">
        <v>30564211</v>
      </c>
      <c r="G4828" s="16">
        <v>27626.54467186542</v>
      </c>
      <c r="H4828">
        <v>247.51</v>
      </c>
      <c r="I4828" s="1">
        <v>731.62</v>
      </c>
      <c r="J4828" s="16">
        <v>209634.65969523365</v>
      </c>
      <c r="K4828" s="5">
        <v>0.16567842994930768</v>
      </c>
      <c r="L4828" s="10">
        <v>865330.91720000003</v>
      </c>
    </row>
    <row r="4829" spans="1:12" x14ac:dyDescent="0.25">
      <c r="A4829">
        <v>4828</v>
      </c>
      <c r="B4829" s="3">
        <v>0.18179037961141808</v>
      </c>
      <c r="C4829" s="3">
        <v>5.3661685865458275E-2</v>
      </c>
      <c r="D4829" s="1">
        <v>163912.82289397102</v>
      </c>
      <c r="E4829" s="1">
        <v>6844748</v>
      </c>
      <c r="F4829" s="1">
        <v>24879915</v>
      </c>
      <c r="G4829" s="16">
        <v>29060.50492555559</v>
      </c>
      <c r="H4829">
        <v>178.23</v>
      </c>
      <c r="I4829" s="1">
        <v>578.48</v>
      </c>
      <c r="J4829" s="16">
        <v>192973.3278195266</v>
      </c>
      <c r="K4829" s="5">
        <v>0.22272483356192188</v>
      </c>
      <c r="L4829" s="10">
        <v>546208.65590000001</v>
      </c>
    </row>
    <row r="4830" spans="1:12" x14ac:dyDescent="0.25">
      <c r="A4830">
        <v>4829</v>
      </c>
      <c r="B4830" s="3">
        <v>0.21275481278063171</v>
      </c>
      <c r="C4830" s="3">
        <v>3.7976843139215677E-2</v>
      </c>
      <c r="D4830" s="1">
        <v>47473.609597923358</v>
      </c>
      <c r="E4830" s="1">
        <v>1821063</v>
      </c>
      <c r="F4830" s="1">
        <v>14321491</v>
      </c>
      <c r="G4830" s="16">
        <v>17478.001465748159</v>
      </c>
      <c r="H4830">
        <v>110.4</v>
      </c>
      <c r="I4830" s="1">
        <v>336.37</v>
      </c>
      <c r="J4830" s="16">
        <v>64951.611063671517</v>
      </c>
      <c r="K4830" s="5">
        <v>7.6098485928374246E-2</v>
      </c>
      <c r="L4830" s="10">
        <v>143667.23850000001</v>
      </c>
    </row>
    <row r="4831" spans="1:12" x14ac:dyDescent="0.25">
      <c r="A4831">
        <v>4830</v>
      </c>
      <c r="B4831" s="3">
        <v>0.16534574145469669</v>
      </c>
      <c r="C4831" s="3">
        <v>5.2186180044744845E-2</v>
      </c>
      <c r="D4831" s="1">
        <v>125072.63811730027</v>
      </c>
      <c r="E4831" s="1">
        <v>4823236</v>
      </c>
      <c r="F4831" s="1">
        <v>28275250</v>
      </c>
      <c r="G4831" s="16">
        <v>14056.978185969521</v>
      </c>
      <c r="H4831">
        <v>52.17</v>
      </c>
      <c r="I4831" s="1">
        <v>190.76</v>
      </c>
      <c r="J4831" s="16">
        <v>139129.61630326981</v>
      </c>
      <c r="K4831" s="5">
        <v>0.11051379356084924</v>
      </c>
      <c r="L4831" s="10">
        <v>252315.77309999999</v>
      </c>
    </row>
    <row r="4832" spans="1:12" x14ac:dyDescent="0.25">
      <c r="A4832">
        <v>4831</v>
      </c>
      <c r="B4832" s="3">
        <v>0.18331544066423497</v>
      </c>
      <c r="C4832" s="3">
        <v>7.5320782171696216E-2</v>
      </c>
      <c r="D4832" s="1">
        <v>65942.64081396861</v>
      </c>
      <c r="E4832" s="1">
        <v>2265715</v>
      </c>
      <c r="F4832" s="1">
        <v>12733307</v>
      </c>
      <c r="G4832" s="16">
        <v>42107.766796206859</v>
      </c>
      <c r="H4832">
        <v>261.52999999999997</v>
      </c>
      <c r="I4832" s="1">
        <v>652.8599999999999</v>
      </c>
      <c r="J4832" s="16">
        <v>108050.40761017546</v>
      </c>
      <c r="K4832" s="5">
        <v>-0.1356495283100369</v>
      </c>
      <c r="L4832" s="10">
        <v>-127836.7218</v>
      </c>
    </row>
    <row r="4833" spans="1:12" x14ac:dyDescent="0.25">
      <c r="A4833">
        <v>4832</v>
      </c>
      <c r="B4833" s="3">
        <v>0.11301752790225053</v>
      </c>
      <c r="C4833" s="3">
        <v>2.2750118623692198E-2</v>
      </c>
      <c r="D4833" s="1">
        <v>278289.241096085</v>
      </c>
      <c r="E4833" s="1">
        <v>8414712</v>
      </c>
      <c r="F4833" s="1">
        <v>36963229</v>
      </c>
      <c r="G4833" s="16">
        <v>23065.042139682755</v>
      </c>
      <c r="H4833">
        <v>71.319999999999993</v>
      </c>
      <c r="I4833" s="1">
        <v>312.12</v>
      </c>
      <c r="J4833" s="16">
        <v>301354.28323576774</v>
      </c>
      <c r="K4833" s="5">
        <v>-4.5988896016760032E-2</v>
      </c>
      <c r="L4833" s="10">
        <v>-444842.40179999999</v>
      </c>
    </row>
    <row r="4834" spans="1:12" x14ac:dyDescent="0.25">
      <c r="A4834">
        <v>4833</v>
      </c>
      <c r="B4834" s="3">
        <v>0.10542736257988675</v>
      </c>
      <c r="C4834" s="3">
        <v>5.8629257591929301E-2</v>
      </c>
      <c r="D4834" s="1">
        <v>183025.1161262136</v>
      </c>
      <c r="E4834" s="1">
        <v>5348734</v>
      </c>
      <c r="F4834" s="1">
        <v>24121678</v>
      </c>
      <c r="G4834" s="16">
        <v>35414.055729182845</v>
      </c>
      <c r="H4834">
        <v>103.87</v>
      </c>
      <c r="I4834" s="1">
        <v>288.11</v>
      </c>
      <c r="J4834" s="16">
        <v>218439.17185539645</v>
      </c>
      <c r="K4834" s="5">
        <v>0.22789743116149178</v>
      </c>
      <c r="L4834" s="10">
        <v>606797.05220000003</v>
      </c>
    </row>
    <row r="4835" spans="1:12" x14ac:dyDescent="0.25">
      <c r="A4835">
        <v>4834</v>
      </c>
      <c r="B4835" s="3">
        <v>0.15982421181342096</v>
      </c>
      <c r="C4835" s="3">
        <v>5.0832445576211922E-2</v>
      </c>
      <c r="D4835" s="1">
        <v>217143.79225034316</v>
      </c>
      <c r="E4835" s="1">
        <v>8155852</v>
      </c>
      <c r="F4835" s="1">
        <v>29732829</v>
      </c>
      <c r="G4835" s="16">
        <v>28914.008217484559</v>
      </c>
      <c r="H4835">
        <v>147.12</v>
      </c>
      <c r="I4835" s="1">
        <v>436.1</v>
      </c>
      <c r="J4835" s="16">
        <v>246057.80046782771</v>
      </c>
      <c r="K4835" s="5">
        <v>8.640118552628917E-2</v>
      </c>
      <c r="L4835" s="10">
        <v>319714.7635</v>
      </c>
    </row>
    <row r="4836" spans="1:12" x14ac:dyDescent="0.25">
      <c r="A4836">
        <v>4835</v>
      </c>
      <c r="B4836" s="3">
        <v>0.15437917540001878</v>
      </c>
      <c r="C4836" s="3">
        <v>5.3580681422087759E-2</v>
      </c>
      <c r="D4836" s="1">
        <v>229837.75729770923</v>
      </c>
      <c r="E4836" s="1">
        <v>8412433</v>
      </c>
      <c r="F4836" s="1">
        <v>30598773</v>
      </c>
      <c r="G4836" s="16">
        <v>34558.342546599488</v>
      </c>
      <c r="H4836">
        <v>168.04</v>
      </c>
      <c r="I4836" s="1">
        <v>529.12</v>
      </c>
      <c r="J4836" s="16">
        <v>264396.09984430874</v>
      </c>
      <c r="K4836" s="5">
        <v>0.10978417608948304</v>
      </c>
      <c r="L4836" s="10">
        <v>401865.88290000003</v>
      </c>
    </row>
    <row r="4837" spans="1:12" x14ac:dyDescent="0.25">
      <c r="A4837">
        <v>4836</v>
      </c>
      <c r="B4837" s="3">
        <v>0.21720996182877111</v>
      </c>
      <c r="C4837" s="3">
        <v>6.7654149646120501E-2</v>
      </c>
      <c r="D4837" s="1">
        <v>79880.426062601327</v>
      </c>
      <c r="E4837" s="1">
        <v>3981642</v>
      </c>
      <c r="F4837" s="1">
        <v>22218285</v>
      </c>
      <c r="G4837" s="16">
        <v>14928.81380140741</v>
      </c>
      <c r="H4837">
        <v>124.64</v>
      </c>
      <c r="I4837" s="1">
        <v>551.27</v>
      </c>
      <c r="J4837" s="16">
        <v>94809.239864008734</v>
      </c>
      <c r="K4837" s="5">
        <v>9.0146402612451132E-3</v>
      </c>
      <c r="L4837" s="10">
        <v>49898.189599999998</v>
      </c>
    </row>
    <row r="4838" spans="1:12" x14ac:dyDescent="0.25">
      <c r="A4838">
        <v>4837</v>
      </c>
      <c r="B4838" s="3">
        <v>0.12693625613729714</v>
      </c>
      <c r="C4838" s="3">
        <v>3.4822495434741106E-2</v>
      </c>
      <c r="D4838" s="1">
        <v>70264.304475399811</v>
      </c>
      <c r="E4838" s="1">
        <v>1976061</v>
      </c>
      <c r="F4838" s="1">
        <v>14351258</v>
      </c>
      <c r="G4838" s="16">
        <v>46808.647633963548</v>
      </c>
      <c r="H4838">
        <v>182.08</v>
      </c>
      <c r="I4838" s="1">
        <v>714.28000000000009</v>
      </c>
      <c r="J4838" s="16">
        <v>117072.95210936337</v>
      </c>
      <c r="K4838" s="5">
        <v>0.14313983893099305</v>
      </c>
      <c r="L4838" s="10">
        <v>403106.39179999998</v>
      </c>
    </row>
    <row r="4839" spans="1:12" x14ac:dyDescent="0.25">
      <c r="A4839">
        <v>4838</v>
      </c>
      <c r="B4839" s="3">
        <v>0.1911565620544686</v>
      </c>
      <c r="C4839" s="3">
        <v>3.331618596610543E-2</v>
      </c>
      <c r="D4839" s="1">
        <v>247707.38679144508</v>
      </c>
      <c r="E4839" s="1">
        <v>13391206</v>
      </c>
      <c r="F4839" s="1">
        <v>49915197</v>
      </c>
      <c r="G4839" s="16">
        <v>12944.459973222722</v>
      </c>
      <c r="H4839">
        <v>69.61</v>
      </c>
      <c r="I4839" s="1">
        <v>255.34000000000003</v>
      </c>
      <c r="J4839" s="16">
        <v>260651.8467646678</v>
      </c>
      <c r="K4839" s="5">
        <v>0.27917599876523375</v>
      </c>
      <c r="L4839" s="10">
        <v>1832277.4262999999</v>
      </c>
    </row>
    <row r="4840" spans="1:12" x14ac:dyDescent="0.25">
      <c r="A4840">
        <v>4839</v>
      </c>
      <c r="B4840" s="3">
        <v>0.1686153000528946</v>
      </c>
      <c r="C4840" s="3">
        <v>3.8909562411772639E-2</v>
      </c>
      <c r="D4840" s="1">
        <v>115786.99817472906</v>
      </c>
      <c r="E4840" s="1">
        <v>4535804</v>
      </c>
      <c r="F4840" s="1">
        <v>23270147</v>
      </c>
      <c r="G4840" s="16">
        <v>37118.0129723028</v>
      </c>
      <c r="H4840">
        <v>203.49</v>
      </c>
      <c r="I4840" s="1">
        <v>677.13</v>
      </c>
      <c r="J4840" s="16">
        <v>152905.01114703185</v>
      </c>
      <c r="K4840" s="5">
        <v>0.12113914342490172</v>
      </c>
      <c r="L4840" s="10">
        <v>392502.48599999998</v>
      </c>
    </row>
    <row r="4841" spans="1:12" x14ac:dyDescent="0.25">
      <c r="A4841">
        <v>4840</v>
      </c>
      <c r="B4841" s="3">
        <v>0.19847017852638227</v>
      </c>
      <c r="C4841" s="3">
        <v>2.2831327917432365E-2</v>
      </c>
      <c r="D4841" s="1">
        <v>75690.931507257555</v>
      </c>
      <c r="E4841" s="1">
        <v>2750979</v>
      </c>
      <c r="F4841" s="1">
        <v>20214197</v>
      </c>
      <c r="G4841" s="16">
        <v>17580.511602824528</v>
      </c>
      <c r="H4841">
        <v>99.67</v>
      </c>
      <c r="I4841" s="1">
        <v>294.12</v>
      </c>
      <c r="J4841" s="16">
        <v>93271.44311008208</v>
      </c>
      <c r="K4841" s="5">
        <v>6.066984375438271E-2</v>
      </c>
      <c r="L4841" s="10">
        <v>270875.84499999997</v>
      </c>
    </row>
    <row r="4842" spans="1:12" x14ac:dyDescent="0.25">
      <c r="A4842">
        <v>4841</v>
      </c>
      <c r="B4842" s="3">
        <v>0.10734372372005492</v>
      </c>
      <c r="C4842" s="3">
        <v>4.2501401871384806E-2</v>
      </c>
      <c r="D4842" s="1">
        <v>89446.671306056058</v>
      </c>
      <c r="E4842" s="1">
        <v>2353501</v>
      </c>
      <c r="F4842" s="1">
        <v>10980494</v>
      </c>
      <c r="G4842" s="16">
        <v>20260.889432486001</v>
      </c>
      <c r="H4842">
        <v>60.24</v>
      </c>
      <c r="I4842" s="1">
        <v>252.85000000000002</v>
      </c>
      <c r="J4842" s="16">
        <v>109707.56073854206</v>
      </c>
      <c r="K4842" s="5">
        <v>0.31051990600049723</v>
      </c>
      <c r="L4842" s="10">
        <v>623049.84360000002</v>
      </c>
    </row>
    <row r="4843" spans="1:12" x14ac:dyDescent="0.25">
      <c r="A4843">
        <v>4842</v>
      </c>
      <c r="B4843" s="3">
        <v>0.20927055606393014</v>
      </c>
      <c r="C4843" s="3">
        <v>7.9805067265725366E-2</v>
      </c>
      <c r="D4843" s="1">
        <v>331333.86721922772</v>
      </c>
      <c r="E4843" s="1">
        <v>20059905</v>
      </c>
      <c r="F4843" s="1">
        <v>63932317</v>
      </c>
      <c r="G4843" s="16">
        <v>10948.58803485426</v>
      </c>
      <c r="H4843">
        <v>67.39</v>
      </c>
      <c r="I4843" s="1">
        <v>294.09000000000003</v>
      </c>
      <c r="J4843" s="16">
        <v>342282.45525408199</v>
      </c>
      <c r="K4843" s="5">
        <v>-9.1466884510842339E-2</v>
      </c>
      <c r="L4843" s="10">
        <v>-206020.53829999999</v>
      </c>
    </row>
    <row r="4844" spans="1:12" x14ac:dyDescent="0.25">
      <c r="A4844">
        <v>4843</v>
      </c>
      <c r="B4844" s="3">
        <v>0.24321573059012794</v>
      </c>
      <c r="C4844" s="3">
        <v>3.1139170699805631E-2</v>
      </c>
      <c r="D4844" s="1">
        <v>69706.485200472394</v>
      </c>
      <c r="E4844" s="1">
        <v>3009953</v>
      </c>
      <c r="F4844" s="1">
        <v>21172253</v>
      </c>
      <c r="G4844" s="16">
        <v>29343.579432105547</v>
      </c>
      <c r="H4844">
        <v>410.25</v>
      </c>
      <c r="I4844" s="1">
        <v>938.56</v>
      </c>
      <c r="J4844" s="16">
        <v>99050.064632577938</v>
      </c>
      <c r="K4844" s="5">
        <v>0.15497237937573705</v>
      </c>
      <c r="L4844" s="10">
        <v>426985.94020000001</v>
      </c>
    </row>
    <row r="4845" spans="1:12" x14ac:dyDescent="0.25">
      <c r="A4845">
        <v>4844</v>
      </c>
      <c r="B4845" s="3">
        <v>0.21280303667843181</v>
      </c>
      <c r="C4845" s="3">
        <v>6.4738125849138239E-2</v>
      </c>
      <c r="D4845" s="1">
        <v>113127.42602457537</v>
      </c>
      <c r="E4845" s="1">
        <v>5513625</v>
      </c>
      <c r="F4845" s="1">
        <v>26043445</v>
      </c>
      <c r="G4845" s="16">
        <v>7220.0708871740635</v>
      </c>
      <c r="H4845">
        <v>35.950000000000003</v>
      </c>
      <c r="I4845" s="1">
        <v>132.16000000000003</v>
      </c>
      <c r="J4845" s="16">
        <v>120347.49691174943</v>
      </c>
      <c r="K4845" s="5">
        <v>0.12485102905262749</v>
      </c>
      <c r="L4845" s="10">
        <v>180754.84710000001</v>
      </c>
    </row>
    <row r="4846" spans="1:12" x14ac:dyDescent="0.25">
      <c r="A4846">
        <v>4845</v>
      </c>
      <c r="B4846" s="3">
        <v>0.15146081702838113</v>
      </c>
      <c r="C4846" s="3">
        <v>3.6624470650964039E-2</v>
      </c>
      <c r="D4846" s="1">
        <v>175112.51865499449</v>
      </c>
      <c r="E4846" s="1">
        <v>6321685</v>
      </c>
      <c r="F4846" s="1">
        <v>40638913</v>
      </c>
      <c r="G4846" s="16">
        <v>19594.867666410253</v>
      </c>
      <c r="H4846">
        <v>78.88</v>
      </c>
      <c r="I4846" s="1">
        <v>254.88</v>
      </c>
      <c r="J4846" s="16">
        <v>194707.38632140475</v>
      </c>
      <c r="K4846" s="5">
        <v>8.7581294036702284E-2</v>
      </c>
      <c r="L4846" s="10">
        <v>412775.74300000002</v>
      </c>
    </row>
    <row r="4847" spans="1:12" x14ac:dyDescent="0.25">
      <c r="A4847">
        <v>4846</v>
      </c>
      <c r="B4847" s="3">
        <v>0.24879820705862049</v>
      </c>
      <c r="C4847" s="3">
        <v>2.6064091824575433E-2</v>
      </c>
      <c r="D4847" s="1">
        <v>241965.92611908645</v>
      </c>
      <c r="E4847" s="1">
        <v>18931033</v>
      </c>
      <c r="F4847" s="1">
        <v>56924762</v>
      </c>
      <c r="G4847" s="16">
        <v>13305.667093464046</v>
      </c>
      <c r="H4847">
        <v>111.61</v>
      </c>
      <c r="I4847" s="1">
        <v>294.94</v>
      </c>
      <c r="J4847" s="16">
        <v>255271.59321255051</v>
      </c>
      <c r="K4847" s="5">
        <v>4.496277086560703E-2</v>
      </c>
      <c r="L4847" s="10">
        <v>417638.44329999998</v>
      </c>
    </row>
    <row r="4848" spans="1:12" x14ac:dyDescent="0.25">
      <c r="A4848">
        <v>4847</v>
      </c>
      <c r="B4848" s="3">
        <v>0.1374938275068664</v>
      </c>
      <c r="C4848" s="3">
        <v>3.5107853727930023E-2</v>
      </c>
      <c r="D4848" s="1">
        <v>177555.97987662442</v>
      </c>
      <c r="E4848" s="1">
        <v>6004663</v>
      </c>
      <c r="F4848" s="1">
        <v>27081697</v>
      </c>
      <c r="G4848" s="16">
        <v>21841.98687316525</v>
      </c>
      <c r="H4848">
        <v>92.58</v>
      </c>
      <c r="I4848" s="1">
        <v>429.7</v>
      </c>
      <c r="J4848" s="16">
        <v>199397.96674978966</v>
      </c>
      <c r="K4848" s="5">
        <v>0.15963891084772294</v>
      </c>
      <c r="L4848" s="10">
        <v>760457.55870000005</v>
      </c>
    </row>
    <row r="4849" spans="1:12" x14ac:dyDescent="0.25">
      <c r="A4849">
        <v>4848</v>
      </c>
      <c r="B4849" s="3">
        <v>0.19128671475673328</v>
      </c>
      <c r="C4849" s="3">
        <v>6.6565286971564469E-2</v>
      </c>
      <c r="D4849" s="1">
        <v>102346.74508714821</v>
      </c>
      <c r="E4849" s="1">
        <v>3621536</v>
      </c>
      <c r="F4849" s="1">
        <v>16979219</v>
      </c>
      <c r="G4849" s="16">
        <v>18801.691295002114</v>
      </c>
      <c r="H4849">
        <v>101</v>
      </c>
      <c r="I4849" s="1">
        <v>321.68</v>
      </c>
      <c r="J4849" s="16">
        <v>121148.43638215034</v>
      </c>
      <c r="K4849" s="5">
        <v>0.10411880108977264</v>
      </c>
      <c r="L4849" s="10">
        <v>137601.40100000001</v>
      </c>
    </row>
    <row r="4850" spans="1:12" x14ac:dyDescent="0.25">
      <c r="A4850">
        <v>4849</v>
      </c>
      <c r="B4850" s="3">
        <v>0.22804577194754</v>
      </c>
      <c r="C4850" s="3">
        <v>4.5290079586698749E-2</v>
      </c>
      <c r="D4850" s="1">
        <v>148554.44545269641</v>
      </c>
      <c r="E4850" s="1">
        <v>10142153</v>
      </c>
      <c r="F4850" s="1">
        <v>46605424</v>
      </c>
      <c r="G4850" s="16">
        <v>17206.649446277705</v>
      </c>
      <c r="H4850">
        <v>122.44</v>
      </c>
      <c r="I4850" s="1">
        <v>339.45</v>
      </c>
      <c r="J4850" s="16">
        <v>165761.09489897412</v>
      </c>
      <c r="K4850" s="5">
        <v>0.13289747284664</v>
      </c>
      <c r="L4850" s="10">
        <v>364423.02189999999</v>
      </c>
    </row>
    <row r="4851" spans="1:12" x14ac:dyDescent="0.25">
      <c r="A4851">
        <v>4850</v>
      </c>
      <c r="B4851" s="3">
        <v>0.22776394013980933</v>
      </c>
      <c r="C4851" s="3">
        <v>6.9404811822172716E-2</v>
      </c>
      <c r="D4851" s="1">
        <v>44373.475033460367</v>
      </c>
      <c r="E4851" s="1">
        <v>1803334</v>
      </c>
      <c r="F4851" s="1">
        <v>15112647</v>
      </c>
      <c r="G4851" s="16">
        <v>9740.8933051447802</v>
      </c>
      <c r="H4851">
        <v>69.08</v>
      </c>
      <c r="I4851" s="1">
        <v>236.42000000000002</v>
      </c>
      <c r="J4851" s="16">
        <v>54114.368338605149</v>
      </c>
      <c r="K4851" s="5">
        <v>2.7268129684378528E-2</v>
      </c>
      <c r="L4851" s="10">
        <v>34228.591699999997</v>
      </c>
    </row>
    <row r="4852" spans="1:12" x14ac:dyDescent="0.25">
      <c r="A4852">
        <v>4851</v>
      </c>
      <c r="B4852" s="3">
        <v>0.20709217943985875</v>
      </c>
      <c r="C4852" s="3">
        <v>5.2444920337824399E-2</v>
      </c>
      <c r="D4852" s="1">
        <v>376697.13191666268</v>
      </c>
      <c r="E4852" s="1">
        <v>22494788</v>
      </c>
      <c r="F4852" s="1">
        <v>60569913</v>
      </c>
      <c r="G4852" s="16">
        <v>25379.089526630127</v>
      </c>
      <c r="H4852">
        <v>193.64</v>
      </c>
      <c r="I4852" s="1">
        <v>481.03</v>
      </c>
      <c r="J4852" s="16">
        <v>402076.2214432928</v>
      </c>
      <c r="K4852" s="5">
        <v>0.21781992212905099</v>
      </c>
      <c r="L4852" s="10">
        <v>1158308.0996000001</v>
      </c>
    </row>
    <row r="4853" spans="1:12" x14ac:dyDescent="0.25">
      <c r="A4853">
        <v>4852</v>
      </c>
      <c r="B4853" s="3">
        <v>0.13503058509581456</v>
      </c>
      <c r="C4853" s="3">
        <v>5.127938591243919E-2</v>
      </c>
      <c r="D4853" s="1">
        <v>326412.28479754773</v>
      </c>
      <c r="E4853" s="1">
        <v>10913553</v>
      </c>
      <c r="F4853" s="1">
        <v>39497290</v>
      </c>
      <c r="G4853" s="16">
        <v>54313.681058159615</v>
      </c>
      <c r="H4853">
        <v>261.08999999999997</v>
      </c>
      <c r="I4853" s="1">
        <v>779.5</v>
      </c>
      <c r="J4853" s="16">
        <v>380725.96585570736</v>
      </c>
      <c r="K4853" s="5">
        <v>5.434391717713806E-2</v>
      </c>
      <c r="L4853" s="10">
        <v>295882.98359999998</v>
      </c>
    </row>
    <row r="4854" spans="1:12" x14ac:dyDescent="0.25">
      <c r="A4854">
        <v>4853</v>
      </c>
      <c r="B4854" s="3">
        <v>0.1250604933638374</v>
      </c>
      <c r="C4854" s="3">
        <v>5.7807606090357899E-2</v>
      </c>
      <c r="D4854" s="1">
        <v>159058.20661251521</v>
      </c>
      <c r="E4854" s="1">
        <v>5079798</v>
      </c>
      <c r="F4854" s="1">
        <v>24556194</v>
      </c>
      <c r="G4854" s="16">
        <v>30798.010065022892</v>
      </c>
      <c r="H4854">
        <v>103.43</v>
      </c>
      <c r="I4854" s="1">
        <v>322.88</v>
      </c>
      <c r="J4854" s="16">
        <v>189856.21667753809</v>
      </c>
      <c r="K4854" s="5">
        <v>-1.6837230078695621E-2</v>
      </c>
      <c r="L4854" s="10">
        <v>-13243.983200000001</v>
      </c>
    </row>
    <row r="4855" spans="1:12" x14ac:dyDescent="0.25">
      <c r="A4855">
        <v>4854</v>
      </c>
      <c r="B4855" s="3">
        <v>0.13436962624128729</v>
      </c>
      <c r="C4855" s="3">
        <v>5.5295575803249994E-2</v>
      </c>
      <c r="D4855" s="1">
        <v>161609.76770191931</v>
      </c>
      <c r="E4855" s="1">
        <v>5386918</v>
      </c>
      <c r="F4855" s="1">
        <v>34508395</v>
      </c>
      <c r="G4855" s="16">
        <v>23230.020612474647</v>
      </c>
      <c r="H4855">
        <v>83.08</v>
      </c>
      <c r="I4855" s="1">
        <v>299.70999999999998</v>
      </c>
      <c r="J4855" s="16">
        <v>184839.78831439395</v>
      </c>
      <c r="K4855" s="5">
        <v>-1.1215168783019907E-2</v>
      </c>
      <c r="L4855" s="10">
        <v>-45445.543700000002</v>
      </c>
    </row>
    <row r="4856" spans="1:12" x14ac:dyDescent="0.25">
      <c r="A4856">
        <v>4855</v>
      </c>
      <c r="B4856" s="3">
        <v>0.11594865940467239</v>
      </c>
      <c r="C4856" s="3">
        <v>4.3921193952117542E-2</v>
      </c>
      <c r="D4856" s="1">
        <v>83223.356755370594</v>
      </c>
      <c r="E4856" s="1">
        <v>1992934</v>
      </c>
      <c r="F4856" s="1">
        <v>8959079</v>
      </c>
      <c r="G4856" s="16">
        <v>36128.111757904226</v>
      </c>
      <c r="H4856">
        <v>113.83</v>
      </c>
      <c r="I4856" s="1">
        <v>325.37</v>
      </c>
      <c r="J4856" s="16">
        <v>119351.46851327483</v>
      </c>
      <c r="K4856" s="5">
        <v>5.4500774000334103E-2</v>
      </c>
      <c r="L4856" s="10">
        <v>120928.1755</v>
      </c>
    </row>
    <row r="4857" spans="1:12" x14ac:dyDescent="0.25">
      <c r="A4857">
        <v>4856</v>
      </c>
      <c r="B4857" s="3">
        <v>0.10593873549918854</v>
      </c>
      <c r="C4857" s="3">
        <v>4.3877758772792978E-2</v>
      </c>
      <c r="D4857" s="1">
        <v>156084.24326452755</v>
      </c>
      <c r="E4857" s="1">
        <v>4087520</v>
      </c>
      <c r="F4857" s="1">
        <v>20600166</v>
      </c>
      <c r="G4857" s="16">
        <v>49922.998941759659</v>
      </c>
      <c r="H4857">
        <v>164.54</v>
      </c>
      <c r="I4857" s="1">
        <v>425.59000000000003</v>
      </c>
      <c r="J4857" s="16">
        <v>206007.24220628722</v>
      </c>
      <c r="K4857" s="5">
        <v>5.6087955763173193E-2</v>
      </c>
      <c r="L4857" s="10">
        <v>193415.82670000001</v>
      </c>
    </row>
    <row r="4858" spans="1:12" x14ac:dyDescent="0.25">
      <c r="A4858">
        <v>4857</v>
      </c>
      <c r="B4858" s="3">
        <v>0.19255703142685773</v>
      </c>
      <c r="C4858" s="3">
        <v>2.8563992103689657E-2</v>
      </c>
      <c r="D4858" s="1">
        <v>232033.28183922128</v>
      </c>
      <c r="E4858" s="1">
        <v>12653004</v>
      </c>
      <c r="F4858" s="1">
        <v>43898108</v>
      </c>
      <c r="G4858" s="16">
        <v>29468.34491518249</v>
      </c>
      <c r="H4858">
        <v>198.38</v>
      </c>
      <c r="I4858" s="1">
        <v>718.13</v>
      </c>
      <c r="J4858" s="16">
        <v>261501.62675440375</v>
      </c>
      <c r="K4858" s="5">
        <v>5.3808925973927765E-2</v>
      </c>
      <c r="L4858" s="10">
        <v>464347.34730000002</v>
      </c>
    </row>
    <row r="4859" spans="1:12" x14ac:dyDescent="0.25">
      <c r="A4859">
        <v>4858</v>
      </c>
      <c r="B4859" s="3">
        <v>0.14765113545440786</v>
      </c>
      <c r="C4859" s="3">
        <v>7.5714830551943751E-2</v>
      </c>
      <c r="D4859" s="1">
        <v>85548.346910816021</v>
      </c>
      <c r="E4859" s="1">
        <v>2585609</v>
      </c>
      <c r="F4859" s="1">
        <v>14513444</v>
      </c>
      <c r="G4859" s="16">
        <v>30052.563983308537</v>
      </c>
      <c r="H4859">
        <v>138.02000000000001</v>
      </c>
      <c r="I4859" s="1">
        <v>514.43999999999994</v>
      </c>
      <c r="J4859" s="16">
        <v>115600.91089412456</v>
      </c>
      <c r="K4859" s="5">
        <v>3.6074273976331436E-2</v>
      </c>
      <c r="L4859" s="10">
        <v>60774.6037</v>
      </c>
    </row>
    <row r="4860" spans="1:12" x14ac:dyDescent="0.25">
      <c r="A4860">
        <v>4859</v>
      </c>
      <c r="B4860" s="3">
        <v>0.12512790729039508</v>
      </c>
      <c r="C4860" s="3">
        <v>4.9621940394073208E-2</v>
      </c>
      <c r="D4860" s="1">
        <v>312997.22350764013</v>
      </c>
      <c r="E4860" s="1">
        <v>11429330</v>
      </c>
      <c r="F4860" s="1">
        <v>51231399</v>
      </c>
      <c r="G4860" s="16">
        <v>23108.047718585058</v>
      </c>
      <c r="H4860">
        <v>77.56</v>
      </c>
      <c r="I4860" s="1">
        <v>348.31</v>
      </c>
      <c r="J4860" s="16">
        <v>336105.27122622519</v>
      </c>
      <c r="K4860" s="5">
        <v>-8.823990223659213E-3</v>
      </c>
      <c r="L4860" s="10">
        <v>-57938.513899999998</v>
      </c>
    </row>
    <row r="4861" spans="1:12" x14ac:dyDescent="0.25">
      <c r="A4861">
        <v>4860</v>
      </c>
      <c r="B4861" s="3">
        <v>0.20164776732088835</v>
      </c>
      <c r="C4861" s="3">
        <v>2.7417903003633046E-2</v>
      </c>
      <c r="D4861" s="1">
        <v>87308.067529481763</v>
      </c>
      <c r="E4861" s="1">
        <v>3211244</v>
      </c>
      <c r="F4861" s="1">
        <v>16363226</v>
      </c>
      <c r="G4861" s="16">
        <v>57968.048563285287</v>
      </c>
      <c r="H4861">
        <v>528.36</v>
      </c>
      <c r="I4861" s="1">
        <v>1191.4000000000001</v>
      </c>
      <c r="J4861" s="16">
        <v>145276.11609276704</v>
      </c>
      <c r="K4861" s="5">
        <v>2.6379605590425743E-2</v>
      </c>
      <c r="L4861" s="10">
        <v>146390.6317</v>
      </c>
    </row>
    <row r="4862" spans="1:12" x14ac:dyDescent="0.25">
      <c r="A4862">
        <v>4861</v>
      </c>
      <c r="B4862" s="3">
        <v>0.19826349036457275</v>
      </c>
      <c r="C4862" s="3">
        <v>5.6978691049546323E-2</v>
      </c>
      <c r="D4862" s="1">
        <v>92060.088126409188</v>
      </c>
      <c r="E4862" s="1">
        <v>3343324</v>
      </c>
      <c r="F4862" s="1">
        <v>19621234</v>
      </c>
      <c r="G4862" s="16">
        <v>15249.257774194861</v>
      </c>
      <c r="H4862">
        <v>86.25</v>
      </c>
      <c r="I4862" s="1">
        <v>300.2</v>
      </c>
      <c r="J4862" s="16">
        <v>107309.34590060405</v>
      </c>
      <c r="K4862" s="5">
        <v>0.12625011842131273</v>
      </c>
      <c r="L4862" s="10">
        <v>189109.1703</v>
      </c>
    </row>
    <row r="4863" spans="1:12" x14ac:dyDescent="0.25">
      <c r="A4863">
        <v>4862</v>
      </c>
      <c r="B4863" s="3">
        <v>0.15758974748914559</v>
      </c>
      <c r="C4863" s="3">
        <v>4.9190152778030918E-2</v>
      </c>
      <c r="D4863" s="1">
        <v>314562.4864778216</v>
      </c>
      <c r="E4863" s="1">
        <v>11690012</v>
      </c>
      <c r="F4863" s="1">
        <v>40873288</v>
      </c>
      <c r="G4863" s="16">
        <v>11004.256274576483</v>
      </c>
      <c r="H4863">
        <v>46.39</v>
      </c>
      <c r="I4863" s="1">
        <v>241.26</v>
      </c>
      <c r="J4863" s="16">
        <v>325566.74275239807</v>
      </c>
      <c r="K4863" s="5">
        <v>-1.6737584211422608E-2</v>
      </c>
      <c r="L4863" s="10">
        <v>-39520.490599999997</v>
      </c>
    </row>
    <row r="4864" spans="1:12" x14ac:dyDescent="0.25">
      <c r="A4864">
        <v>4863</v>
      </c>
      <c r="B4864" s="3">
        <v>0.12240144773794814</v>
      </c>
      <c r="C4864" s="3">
        <v>7.3179297109431246E-2</v>
      </c>
      <c r="D4864" s="1">
        <v>334851.69318768417</v>
      </c>
      <c r="E4864" s="1">
        <v>12038589</v>
      </c>
      <c r="F4864" s="1">
        <v>47816787</v>
      </c>
      <c r="G4864" s="16">
        <v>30029.401878080476</v>
      </c>
      <c r="H4864">
        <v>99.06</v>
      </c>
      <c r="I4864" s="1">
        <v>320.78999999999996</v>
      </c>
      <c r="J4864" s="16">
        <v>364881.09506576462</v>
      </c>
      <c r="K4864" s="5">
        <v>5.1716411222685887E-3</v>
      </c>
      <c r="L4864" s="10">
        <v>20508.142800000001</v>
      </c>
    </row>
    <row r="4865" spans="1:12" x14ac:dyDescent="0.25">
      <c r="A4865">
        <v>4864</v>
      </c>
      <c r="B4865" s="3">
        <v>0.12255828107657038</v>
      </c>
      <c r="C4865" s="3">
        <v>6.5373845019325444E-2</v>
      </c>
      <c r="D4865" s="1">
        <v>293717.11701785855</v>
      </c>
      <c r="E4865" s="1">
        <v>9273830</v>
      </c>
      <c r="F4865" s="1">
        <v>29268928</v>
      </c>
      <c r="G4865" s="16">
        <v>52873.935356029397</v>
      </c>
      <c r="H4865">
        <v>198.46</v>
      </c>
      <c r="I4865" s="1">
        <v>639.35</v>
      </c>
      <c r="J4865" s="16">
        <v>346591.05237388797</v>
      </c>
      <c r="K4865" s="5">
        <v>-7.1533953403016021E-2</v>
      </c>
      <c r="L4865" s="10">
        <v>-227096.73190000001</v>
      </c>
    </row>
    <row r="4866" spans="1:12" x14ac:dyDescent="0.25">
      <c r="A4866">
        <v>4865</v>
      </c>
      <c r="B4866" s="3">
        <v>0.16244000178526558</v>
      </c>
      <c r="C4866" s="3">
        <v>3.5682631691355514E-2</v>
      </c>
      <c r="D4866" s="1">
        <v>234571.27280137042</v>
      </c>
      <c r="E4866" s="1">
        <v>8921012</v>
      </c>
      <c r="F4866" s="1">
        <v>37115224</v>
      </c>
      <c r="G4866" s="16">
        <v>22057.566669936557</v>
      </c>
      <c r="H4866">
        <v>114.91</v>
      </c>
      <c r="I4866" s="1">
        <v>390.4</v>
      </c>
      <c r="J4866" s="16">
        <v>256628.83947130697</v>
      </c>
      <c r="K4866" s="5">
        <v>0.16193854032848798</v>
      </c>
      <c r="L4866" s="10">
        <v>955082.29539999994</v>
      </c>
    </row>
    <row r="4867" spans="1:12" x14ac:dyDescent="0.25">
      <c r="A4867">
        <v>4866</v>
      </c>
      <c r="B4867" s="3">
        <v>0.15314514416242647</v>
      </c>
      <c r="C4867" s="3">
        <v>4.4603187728419771E-2</v>
      </c>
      <c r="D4867" s="1">
        <v>63629.831793594647</v>
      </c>
      <c r="E4867" s="1">
        <v>1960815</v>
      </c>
      <c r="F4867" s="1">
        <v>17686805</v>
      </c>
      <c r="G4867" s="16">
        <v>19357.82729826733</v>
      </c>
      <c r="H4867">
        <v>78.900000000000006</v>
      </c>
      <c r="I4867" s="1">
        <v>273.68</v>
      </c>
      <c r="J4867" s="16">
        <v>82987.659091861977</v>
      </c>
      <c r="K4867" s="5">
        <v>9.6622624966806681E-2</v>
      </c>
      <c r="L4867" s="10">
        <v>168055.61410000001</v>
      </c>
    </row>
    <row r="4868" spans="1:12" x14ac:dyDescent="0.25">
      <c r="A4868">
        <v>4867</v>
      </c>
      <c r="B4868" s="3">
        <v>0.2470182290045696</v>
      </c>
      <c r="C4868" s="3">
        <v>6.0424721403114764E-2</v>
      </c>
      <c r="D4868" s="1">
        <v>118384.47559637818</v>
      </c>
      <c r="E4868" s="1">
        <v>6892229</v>
      </c>
      <c r="F4868" s="1">
        <v>28013321</v>
      </c>
      <c r="G4868" s="16">
        <v>13889.254142083017</v>
      </c>
      <c r="H4868">
        <v>152.22999999999999</v>
      </c>
      <c r="I4868" s="1">
        <v>418.11</v>
      </c>
      <c r="J4868" s="16">
        <v>132273.7297384612</v>
      </c>
      <c r="K4868" s="5">
        <v>8.7705775346169815E-2</v>
      </c>
      <c r="L4868" s="10">
        <v>151996.7083</v>
      </c>
    </row>
    <row r="4869" spans="1:12" x14ac:dyDescent="0.25">
      <c r="A4869">
        <v>4868</v>
      </c>
      <c r="B4869" s="3">
        <v>0.10550420510984437</v>
      </c>
      <c r="C4869" s="3">
        <v>6.6194910830833911E-2</v>
      </c>
      <c r="D4869" s="1">
        <v>142325.72518606501</v>
      </c>
      <c r="E4869" s="1">
        <v>4160767</v>
      </c>
      <c r="F4869" s="1">
        <v>25389947</v>
      </c>
      <c r="G4869" s="16">
        <v>94308.120507548287</v>
      </c>
      <c r="H4869">
        <v>345.99</v>
      </c>
      <c r="I4869" s="1">
        <v>924.01</v>
      </c>
      <c r="J4869" s="16">
        <v>236633.84569361329</v>
      </c>
      <c r="K4869" s="5">
        <v>0.18143412883039212</v>
      </c>
      <c r="L4869" s="10">
        <v>488607.86339999997</v>
      </c>
    </row>
    <row r="4870" spans="1:12" x14ac:dyDescent="0.25">
      <c r="A4870">
        <v>4869</v>
      </c>
      <c r="B4870" s="3">
        <v>0.11767151495849398</v>
      </c>
      <c r="C4870" s="3">
        <v>4.2924970267045594E-2</v>
      </c>
      <c r="D4870" s="1">
        <v>195605.36830786444</v>
      </c>
      <c r="E4870" s="1">
        <v>6040353</v>
      </c>
      <c r="F4870" s="1">
        <v>26195465</v>
      </c>
      <c r="G4870" s="16">
        <v>34496.796208925596</v>
      </c>
      <c r="H4870">
        <v>109.89</v>
      </c>
      <c r="I4870" s="1">
        <v>300.58</v>
      </c>
      <c r="J4870" s="16">
        <v>230102.16451679004</v>
      </c>
      <c r="K4870" s="5">
        <v>9.1448457730446173E-2</v>
      </c>
      <c r="L4870" s="10">
        <v>419224.62660000002</v>
      </c>
    </row>
    <row r="4871" spans="1:12" x14ac:dyDescent="0.25">
      <c r="A4871">
        <v>4870</v>
      </c>
      <c r="B4871" s="3">
        <v>0.18762660709645987</v>
      </c>
      <c r="C4871" s="3">
        <v>6.0150469489875971E-2</v>
      </c>
      <c r="D4871" s="1">
        <v>99599.400899824308</v>
      </c>
      <c r="E4871" s="1">
        <v>4279928</v>
      </c>
      <c r="F4871" s="1">
        <v>22688483</v>
      </c>
      <c r="G4871" s="16">
        <v>21338.446235174128</v>
      </c>
      <c r="H4871">
        <v>111.64</v>
      </c>
      <c r="I4871" s="1">
        <v>331.85999999999996</v>
      </c>
      <c r="J4871" s="16">
        <v>120937.84713499843</v>
      </c>
      <c r="K4871" s="5">
        <v>8.5876613026661386E-2</v>
      </c>
      <c r="L4871" s="10">
        <v>167274.02280000001</v>
      </c>
    </row>
    <row r="4872" spans="1:12" x14ac:dyDescent="0.25">
      <c r="A4872">
        <v>4871</v>
      </c>
      <c r="B4872" s="3">
        <v>0.22008004801422262</v>
      </c>
      <c r="C4872" s="3">
        <v>5.1373239266931547E-2</v>
      </c>
      <c r="D4872" s="1">
        <v>108110.34544039922</v>
      </c>
      <c r="E4872" s="1">
        <v>5468521</v>
      </c>
      <c r="F4872" s="1">
        <v>26402878</v>
      </c>
      <c r="G4872" s="16">
        <v>5284.4908297714483</v>
      </c>
      <c r="H4872">
        <v>27.54</v>
      </c>
      <c r="I4872" s="1">
        <v>123.78</v>
      </c>
      <c r="J4872" s="16">
        <v>113394.83627017066</v>
      </c>
      <c r="K4872" s="5">
        <v>-2.748907214651982E-2</v>
      </c>
      <c r="L4872" s="10">
        <v>-26690</v>
      </c>
    </row>
    <row r="4873" spans="1:12" x14ac:dyDescent="0.25">
      <c r="A4873">
        <v>4872</v>
      </c>
      <c r="B4873" s="3">
        <v>0.15660135423335297</v>
      </c>
      <c r="C4873" s="3">
        <v>4.0265720766285693E-2</v>
      </c>
      <c r="D4873" s="1">
        <v>166659.63379044339</v>
      </c>
      <c r="E4873" s="1">
        <v>6164552</v>
      </c>
      <c r="F4873" s="1">
        <v>24135146</v>
      </c>
      <c r="G4873" s="16">
        <v>37955.560607185587</v>
      </c>
      <c r="H4873">
        <v>188.35</v>
      </c>
      <c r="I4873" s="1">
        <v>581.35</v>
      </c>
      <c r="J4873" s="16">
        <v>204615.19439762898</v>
      </c>
      <c r="K4873" s="5">
        <v>0.10635843692530798</v>
      </c>
      <c r="L4873" s="10">
        <v>451148.04619999998</v>
      </c>
    </row>
    <row r="4874" spans="1:12" x14ac:dyDescent="0.25">
      <c r="A4874">
        <v>4873</v>
      </c>
      <c r="B4874" s="3">
        <v>0.22646607462563678</v>
      </c>
      <c r="C4874" s="3">
        <v>5.5365755891308335E-2</v>
      </c>
      <c r="D4874" s="1">
        <v>108278.78879603704</v>
      </c>
      <c r="E4874" s="1">
        <v>5660163</v>
      </c>
      <c r="F4874" s="1">
        <v>22734787</v>
      </c>
      <c r="G4874" s="16">
        <v>9294.8564144328739</v>
      </c>
      <c r="H4874">
        <v>65.290000000000006</v>
      </c>
      <c r="I4874" s="1">
        <v>196.13</v>
      </c>
      <c r="J4874" s="16">
        <v>117573.64521046991</v>
      </c>
      <c r="K4874" s="5">
        <v>4.4944987404885617E-2</v>
      </c>
      <c r="L4874" s="10">
        <v>91846.307000000001</v>
      </c>
    </row>
    <row r="4875" spans="1:12" x14ac:dyDescent="0.25">
      <c r="A4875">
        <v>4874</v>
      </c>
      <c r="B4875" s="3">
        <v>0.11259867921005781</v>
      </c>
      <c r="C4875" s="3">
        <v>6.4383285721182598E-2</v>
      </c>
      <c r="D4875" s="1">
        <v>75299.42158237769</v>
      </c>
      <c r="E4875" s="1">
        <v>2016665</v>
      </c>
      <c r="F4875" s="1">
        <v>12639033</v>
      </c>
      <c r="G4875" s="16">
        <v>16466.184464012113</v>
      </c>
      <c r="H4875">
        <v>44.95</v>
      </c>
      <c r="I4875" s="1">
        <v>173.42000000000002</v>
      </c>
      <c r="J4875" s="16">
        <v>91765.606046389803</v>
      </c>
      <c r="K4875" s="5">
        <v>4.4108713415540277E-2</v>
      </c>
      <c r="L4875" s="10">
        <v>61891.776899999997</v>
      </c>
    </row>
    <row r="4876" spans="1:12" x14ac:dyDescent="0.25">
      <c r="A4876">
        <v>4875</v>
      </c>
      <c r="B4876" s="3">
        <v>0.2404787980075748</v>
      </c>
      <c r="C4876" s="3">
        <v>3.0067766545472739E-2</v>
      </c>
      <c r="D4876" s="1">
        <v>327688.17278898624</v>
      </c>
      <c r="E4876" s="1">
        <v>24264102</v>
      </c>
      <c r="F4876" s="1">
        <v>73069055</v>
      </c>
      <c r="G4876" s="16">
        <v>31227.177947040731</v>
      </c>
      <c r="H4876">
        <v>322.54000000000002</v>
      </c>
      <c r="I4876" s="1">
        <v>739.17000000000007</v>
      </c>
      <c r="J4876" s="16">
        <v>358915.35073602694</v>
      </c>
      <c r="K4876" s="5">
        <v>3.1764009699346105E-2</v>
      </c>
      <c r="L4876" s="10">
        <v>327992.0686</v>
      </c>
    </row>
    <row r="4877" spans="1:12" x14ac:dyDescent="0.25">
      <c r="A4877">
        <v>4876</v>
      </c>
      <c r="B4877" s="3">
        <v>0.14576675167188641</v>
      </c>
      <c r="C4877" s="3">
        <v>3.1147312902082537E-2</v>
      </c>
      <c r="D4877" s="1">
        <v>190405.08002440768</v>
      </c>
      <c r="E4877" s="1">
        <v>6692316</v>
      </c>
      <c r="F4877" s="1">
        <v>23934628</v>
      </c>
      <c r="G4877" s="16">
        <v>32603.29970623687</v>
      </c>
      <c r="H4877">
        <v>147.91</v>
      </c>
      <c r="I4877" s="1">
        <v>532.64</v>
      </c>
      <c r="J4877" s="16">
        <v>223008.37973064455</v>
      </c>
      <c r="K4877" s="5">
        <v>0.13197905475987229</v>
      </c>
      <c r="L4877" s="10">
        <v>788690.01370000001</v>
      </c>
    </row>
    <row r="4878" spans="1:12" x14ac:dyDescent="0.25">
      <c r="A4878">
        <v>4877</v>
      </c>
      <c r="B4878" s="3">
        <v>0.24374554916569333</v>
      </c>
      <c r="C4878" s="3">
        <v>4.9176770045330873E-2</v>
      </c>
      <c r="D4878" s="1">
        <v>27334.447330566119</v>
      </c>
      <c r="E4878" s="1">
        <v>894495</v>
      </c>
      <c r="F4878" s="1">
        <v>9314519</v>
      </c>
      <c r="G4878" s="16">
        <v>13320.640538518152</v>
      </c>
      <c r="H4878">
        <v>141.58000000000001</v>
      </c>
      <c r="I4878" s="1">
        <v>448.19000000000005</v>
      </c>
      <c r="J4878" s="16">
        <v>40655.087869084273</v>
      </c>
      <c r="K4878" s="5">
        <v>0.26732028689152343</v>
      </c>
      <c r="L4878" s="10">
        <v>187803.95929999999</v>
      </c>
    </row>
    <row r="4879" spans="1:12" x14ac:dyDescent="0.25">
      <c r="A4879">
        <v>4878</v>
      </c>
      <c r="B4879" s="3">
        <v>0.23407911891330796</v>
      </c>
      <c r="C4879" s="3">
        <v>3.1437243375949726E-2</v>
      </c>
      <c r="D4879" s="1">
        <v>113793.98749099232</v>
      </c>
      <c r="E4879" s="1">
        <v>6188521</v>
      </c>
      <c r="F4879" s="1">
        <v>35111574</v>
      </c>
      <c r="G4879" s="16">
        <v>16000.871448124781</v>
      </c>
      <c r="H4879">
        <v>155.51</v>
      </c>
      <c r="I4879" s="1">
        <v>595.99</v>
      </c>
      <c r="J4879" s="16">
        <v>129794.85893911711</v>
      </c>
      <c r="K4879" s="5">
        <v>0.15319314875493825</v>
      </c>
      <c r="L4879" s="10">
        <v>572059.03980000003</v>
      </c>
    </row>
    <row r="4880" spans="1:12" x14ac:dyDescent="0.25">
      <c r="A4880">
        <v>4879</v>
      </c>
      <c r="B4880" s="3">
        <v>0.12611640501275137</v>
      </c>
      <c r="C4880" s="3">
        <v>2.8708206455912759E-2</v>
      </c>
      <c r="D4880" s="1">
        <v>126512.07930282732</v>
      </c>
      <c r="E4880" s="1">
        <v>4059947</v>
      </c>
      <c r="F4880" s="1">
        <v>21582357</v>
      </c>
      <c r="G4880" s="16">
        <v>38844.766961369176</v>
      </c>
      <c r="H4880">
        <v>149.94</v>
      </c>
      <c r="I4880" s="1">
        <v>471.45</v>
      </c>
      <c r="J4880" s="16">
        <v>165356.8462641965</v>
      </c>
      <c r="K4880" s="5">
        <v>0.17826497765643962</v>
      </c>
      <c r="L4880" s="10">
        <v>901177.90839999996</v>
      </c>
    </row>
    <row r="4881" spans="1:12" x14ac:dyDescent="0.25">
      <c r="A4881">
        <v>4880</v>
      </c>
      <c r="B4881" s="3">
        <v>0.10671516065648037</v>
      </c>
      <c r="C4881" s="3">
        <v>3.6183991582911745E-2</v>
      </c>
      <c r="D4881" s="1">
        <v>238388.568883692</v>
      </c>
      <c r="E4881" s="1">
        <v>7006948</v>
      </c>
      <c r="F4881" s="1">
        <v>34350383</v>
      </c>
      <c r="G4881" s="16">
        <v>78634.805553211816</v>
      </c>
      <c r="H4881">
        <v>291.45999999999998</v>
      </c>
      <c r="I4881" s="1">
        <v>919.67000000000007</v>
      </c>
      <c r="J4881" s="16">
        <v>317023.3744369038</v>
      </c>
      <c r="K4881" s="5">
        <v>5.1756204082930773E-2</v>
      </c>
      <c r="L4881" s="10">
        <v>388471.27710000001</v>
      </c>
    </row>
    <row r="4882" spans="1:12" x14ac:dyDescent="0.25">
      <c r="A4882">
        <v>4881</v>
      </c>
      <c r="B4882" s="3">
        <v>0.22558707097096664</v>
      </c>
      <c r="C4882" s="3">
        <v>7.5869699064104915E-2</v>
      </c>
      <c r="D4882" s="1">
        <v>134311.94571384561</v>
      </c>
      <c r="E4882" s="1">
        <v>9025150</v>
      </c>
      <c r="F4882" s="1">
        <v>50085118</v>
      </c>
      <c r="G4882" s="16">
        <v>27796.350206721378</v>
      </c>
      <c r="H4882">
        <v>250.3</v>
      </c>
      <c r="I4882" s="1">
        <v>743.56</v>
      </c>
      <c r="J4882" s="16">
        <v>162108.29592056698</v>
      </c>
      <c r="K4882" s="5">
        <v>-2.0963436062305559E-3</v>
      </c>
      <c r="L4882" s="10">
        <v>-8696.9840000000004</v>
      </c>
    </row>
    <row r="4883" spans="1:12" x14ac:dyDescent="0.25">
      <c r="A4883">
        <v>4882</v>
      </c>
      <c r="B4883" s="3">
        <v>0.10636156415300441</v>
      </c>
      <c r="C4883" s="3">
        <v>7.828383185472447E-2</v>
      </c>
      <c r="D4883" s="1">
        <v>330635.34457827924</v>
      </c>
      <c r="E4883" s="1">
        <v>10857830</v>
      </c>
      <c r="F4883" s="1">
        <v>43689432</v>
      </c>
      <c r="G4883" s="16">
        <v>41933.680262804308</v>
      </c>
      <c r="H4883">
        <v>123.77</v>
      </c>
      <c r="I4883" s="1">
        <v>357.59999999999997</v>
      </c>
      <c r="J4883" s="16">
        <v>372569.02484108356</v>
      </c>
      <c r="K4883" s="5">
        <v>0.15539321530695019</v>
      </c>
      <c r="L4883" s="10">
        <v>477984.8198</v>
      </c>
    </row>
    <row r="4884" spans="1:12" x14ac:dyDescent="0.25">
      <c r="A4884">
        <v>4883</v>
      </c>
      <c r="B4884" s="3">
        <v>0.15407210817172273</v>
      </c>
      <c r="C4884" s="3">
        <v>7.0500125296106705E-2</v>
      </c>
      <c r="D4884" s="1">
        <v>95269.06407030292</v>
      </c>
      <c r="E4884" s="1">
        <v>2945467</v>
      </c>
      <c r="F4884" s="1">
        <v>18865313</v>
      </c>
      <c r="G4884" s="16">
        <v>88636.640262667992</v>
      </c>
      <c r="H4884">
        <v>508.16</v>
      </c>
      <c r="I4884" s="1">
        <v>1173.95</v>
      </c>
      <c r="J4884" s="16">
        <v>183905.7043329709</v>
      </c>
      <c r="K4884" s="5">
        <v>-4.1385531032572184E-3</v>
      </c>
      <c r="L4884" s="10">
        <v>19178.638200000001</v>
      </c>
    </row>
    <row r="4885" spans="1:12" x14ac:dyDescent="0.25">
      <c r="A4885">
        <v>4884</v>
      </c>
      <c r="B4885" s="3">
        <v>0.24965717068049695</v>
      </c>
      <c r="C4885" s="3">
        <v>7.7239103453356356E-2</v>
      </c>
      <c r="D4885" s="1">
        <v>87204.699867545467</v>
      </c>
      <c r="E4885" s="1">
        <v>3863342</v>
      </c>
      <c r="F4885" s="1">
        <v>19181099</v>
      </c>
      <c r="G4885" s="16">
        <v>11074.752329971157</v>
      </c>
      <c r="H4885">
        <v>124.35</v>
      </c>
      <c r="I4885" s="1">
        <v>544.65</v>
      </c>
      <c r="J4885" s="16">
        <v>98279.452197516628</v>
      </c>
      <c r="K4885" s="5">
        <v>0.1503768591342422</v>
      </c>
      <c r="L4885" s="10">
        <v>143247.9319</v>
      </c>
    </row>
    <row r="4886" spans="1:12" x14ac:dyDescent="0.25">
      <c r="A4886">
        <v>4885</v>
      </c>
      <c r="B4886" s="3">
        <v>0.13977389881406757</v>
      </c>
      <c r="C4886" s="3">
        <v>3.4635027580899522E-2</v>
      </c>
      <c r="D4886" s="1">
        <v>274627.08904808777</v>
      </c>
      <c r="E4886" s="1">
        <v>9386331</v>
      </c>
      <c r="F4886" s="1">
        <v>40400277</v>
      </c>
      <c r="G4886" s="16">
        <v>29540.577089883162</v>
      </c>
      <c r="H4886">
        <v>109.61</v>
      </c>
      <c r="I4886" s="1">
        <v>313.88</v>
      </c>
      <c r="J4886" s="16">
        <v>304167.66613797093</v>
      </c>
      <c r="K4886" s="5">
        <v>0.1088947487840177</v>
      </c>
      <c r="L4886" s="10">
        <v>823587.19110000005</v>
      </c>
    </row>
    <row r="4887" spans="1:12" x14ac:dyDescent="0.25">
      <c r="A4887">
        <v>4886</v>
      </c>
      <c r="B4887" s="3">
        <v>0.21390836346173281</v>
      </c>
      <c r="C4887" s="3">
        <v>4.8727063959703214E-2</v>
      </c>
      <c r="D4887" s="1">
        <v>81339.623969089822</v>
      </c>
      <c r="E4887" s="1">
        <v>3986694</v>
      </c>
      <c r="F4887" s="1">
        <v>23644914</v>
      </c>
      <c r="G4887" s="16">
        <v>27850.082511892393</v>
      </c>
      <c r="H4887">
        <v>226.19</v>
      </c>
      <c r="I4887" s="1">
        <v>568.18000000000006</v>
      </c>
      <c r="J4887" s="16">
        <v>109189.70648098222</v>
      </c>
      <c r="K4887" s="5">
        <v>0.1022162269953736</v>
      </c>
      <c r="L4887" s="10">
        <v>167982.01509999999</v>
      </c>
    </row>
    <row r="4888" spans="1:12" x14ac:dyDescent="0.25">
      <c r="A4888">
        <v>4887</v>
      </c>
      <c r="B4888" s="3">
        <v>0.14800678673642909</v>
      </c>
      <c r="C4888" s="3">
        <v>2.1683233738067836E-2</v>
      </c>
      <c r="D4888" s="1">
        <v>211999.00821646617</v>
      </c>
      <c r="E4888" s="1">
        <v>7529954</v>
      </c>
      <c r="F4888" s="1">
        <v>31314256</v>
      </c>
      <c r="G4888" s="16">
        <v>26237.522010042416</v>
      </c>
      <c r="H4888">
        <v>121.24</v>
      </c>
      <c r="I4888" s="1">
        <v>468.44</v>
      </c>
      <c r="J4888" s="16">
        <v>238236.53022650859</v>
      </c>
      <c r="K4888" s="5">
        <v>0.20925029296026487</v>
      </c>
      <c r="L4888" s="10">
        <v>2009541.8892000001</v>
      </c>
    </row>
    <row r="4889" spans="1:12" x14ac:dyDescent="0.25">
      <c r="A4889">
        <v>4888</v>
      </c>
      <c r="B4889" s="3">
        <v>0.10035575889798817</v>
      </c>
      <c r="C4889" s="3">
        <v>7.5019565248102979E-2</v>
      </c>
      <c r="D4889" s="1">
        <v>217111.61167728357</v>
      </c>
      <c r="E4889" s="1">
        <v>6203006</v>
      </c>
      <c r="F4889" s="1">
        <v>27069412</v>
      </c>
      <c r="G4889" s="16">
        <v>40389.003154957638</v>
      </c>
      <c r="H4889">
        <v>114.75</v>
      </c>
      <c r="I4889" s="1">
        <v>366.97</v>
      </c>
      <c r="J4889" s="16">
        <v>257500.6148322412</v>
      </c>
      <c r="K4889" s="5">
        <v>0.23441677202572084</v>
      </c>
      <c r="L4889" s="10">
        <v>521466.2132</v>
      </c>
    </row>
    <row r="4890" spans="1:12" x14ac:dyDescent="0.25">
      <c r="A4890">
        <v>4889</v>
      </c>
      <c r="B4890" s="3">
        <v>0.17748980058538166</v>
      </c>
      <c r="C4890" s="3">
        <v>7.4302043389421341E-2</v>
      </c>
      <c r="D4890" s="1">
        <v>53563.466744118952</v>
      </c>
      <c r="E4890" s="1">
        <v>1481798</v>
      </c>
      <c r="F4890" s="1">
        <v>8915374</v>
      </c>
      <c r="G4890" s="16">
        <v>40177.210609757742</v>
      </c>
      <c r="H4890">
        <v>288.72000000000003</v>
      </c>
      <c r="I4890" s="1">
        <v>1041.44</v>
      </c>
      <c r="J4890" s="16">
        <v>93740.677353876701</v>
      </c>
      <c r="K4890" s="5">
        <v>7.9262309144717324E-2</v>
      </c>
      <c r="L4890" s="10">
        <v>70276.145099999994</v>
      </c>
    </row>
    <row r="4891" spans="1:12" x14ac:dyDescent="0.25">
      <c r="A4891">
        <v>4890</v>
      </c>
      <c r="B4891" s="3">
        <v>0.22387273335576269</v>
      </c>
      <c r="C4891" s="3">
        <v>3.0356379819467448E-2</v>
      </c>
      <c r="D4891" s="1">
        <v>135651.18504768898</v>
      </c>
      <c r="E4891" s="1">
        <v>6996718</v>
      </c>
      <c r="F4891" s="1">
        <v>30395712</v>
      </c>
      <c r="G4891" s="16">
        <v>13106.233551889911</v>
      </c>
      <c r="H4891">
        <v>90.27</v>
      </c>
      <c r="I4891" s="1">
        <v>347.45</v>
      </c>
      <c r="J4891" s="16">
        <v>148757.4185995789</v>
      </c>
      <c r="K4891" s="5">
        <v>0.17784849715508497</v>
      </c>
      <c r="L4891" s="10">
        <v>763398.21160000004</v>
      </c>
    </row>
    <row r="4892" spans="1:12" x14ac:dyDescent="0.25">
      <c r="A4892">
        <v>4891</v>
      </c>
      <c r="B4892" s="3">
        <v>0.18987599285843543</v>
      </c>
      <c r="C4892" s="3">
        <v>5.3448417128072231E-2</v>
      </c>
      <c r="D4892" s="1">
        <v>205105.78188714929</v>
      </c>
      <c r="E4892" s="1">
        <v>11000763</v>
      </c>
      <c r="F4892" s="1">
        <v>46050643</v>
      </c>
      <c r="G4892" s="16">
        <v>26580.10895534153</v>
      </c>
      <c r="H4892">
        <v>174.48</v>
      </c>
      <c r="I4892" s="1">
        <v>564.89</v>
      </c>
      <c r="J4892" s="16">
        <v>231685.89084249083</v>
      </c>
      <c r="K4892" s="5">
        <v>6.2797644321057958E-2</v>
      </c>
      <c r="L4892" s="10">
        <v>190354.22450000001</v>
      </c>
    </row>
    <row r="4893" spans="1:12" x14ac:dyDescent="0.25">
      <c r="A4893">
        <v>4892</v>
      </c>
      <c r="B4893" s="3">
        <v>0.15437526191819576</v>
      </c>
      <c r="C4893" s="3">
        <v>5.8580977193272515E-2</v>
      </c>
      <c r="D4893" s="1">
        <v>206714.41024473394</v>
      </c>
      <c r="E4893" s="1">
        <v>7565943</v>
      </c>
      <c r="F4893" s="1">
        <v>32475507</v>
      </c>
      <c r="G4893" s="16">
        <v>23762.931886754817</v>
      </c>
      <c r="H4893">
        <v>97.8</v>
      </c>
      <c r="I4893" s="1">
        <v>320.95</v>
      </c>
      <c r="J4893" s="16">
        <v>230477.34213148875</v>
      </c>
      <c r="K4893" s="5">
        <v>0.17984977274907879</v>
      </c>
      <c r="L4893" s="10">
        <v>543341.1263</v>
      </c>
    </row>
    <row r="4894" spans="1:12" x14ac:dyDescent="0.25">
      <c r="A4894">
        <v>4893</v>
      </c>
      <c r="B4894" s="3">
        <v>0.23287823126722787</v>
      </c>
      <c r="C4894" s="3">
        <v>6.5613689646109627E-2</v>
      </c>
      <c r="D4894" s="1">
        <v>66870.382938366645</v>
      </c>
      <c r="E4894" s="1">
        <v>2772322</v>
      </c>
      <c r="F4894" s="1">
        <v>12852855</v>
      </c>
      <c r="G4894" s="16">
        <v>10134.015341160894</v>
      </c>
      <c r="H4894">
        <v>57.32</v>
      </c>
      <c r="I4894" s="1">
        <v>161.47</v>
      </c>
      <c r="J4894" s="16">
        <v>77004.398279527537</v>
      </c>
      <c r="K4894" s="5">
        <v>2.5035516647546607E-4</v>
      </c>
      <c r="L4894" s="10">
        <v>13779.5285</v>
      </c>
    </row>
    <row r="4895" spans="1:12" x14ac:dyDescent="0.25">
      <c r="A4895">
        <v>4894</v>
      </c>
      <c r="B4895" s="3">
        <v>0.12927272128866796</v>
      </c>
      <c r="C4895" s="3">
        <v>7.1383205809336894E-2</v>
      </c>
      <c r="D4895" s="1">
        <v>104815.39372474489</v>
      </c>
      <c r="E4895" s="1">
        <v>2971540</v>
      </c>
      <c r="F4895" s="1">
        <v>20112871</v>
      </c>
      <c r="G4895" s="16">
        <v>14534.383299514984</v>
      </c>
      <c r="H4895">
        <v>50.13</v>
      </c>
      <c r="I4895" s="1">
        <v>221.19</v>
      </c>
      <c r="J4895" s="16">
        <v>119349.77702425988</v>
      </c>
      <c r="K4895" s="5">
        <v>0.24636405860009397</v>
      </c>
      <c r="L4895" s="10">
        <v>322043.8248</v>
      </c>
    </row>
    <row r="4896" spans="1:12" x14ac:dyDescent="0.25">
      <c r="A4896">
        <v>4895</v>
      </c>
      <c r="B4896" s="3">
        <v>0.206144118664566</v>
      </c>
      <c r="C4896" s="3">
        <v>4.3762088967709147E-2</v>
      </c>
      <c r="D4896" s="1">
        <v>112329.73712716909</v>
      </c>
      <c r="E4896" s="1">
        <v>5293355</v>
      </c>
      <c r="F4896" s="1">
        <v>24133374</v>
      </c>
      <c r="G4896" s="16">
        <v>26156.900569221762</v>
      </c>
      <c r="H4896">
        <v>197.91</v>
      </c>
      <c r="I4896" s="1">
        <v>550.29999999999995</v>
      </c>
      <c r="J4896" s="16">
        <v>138486.63769639086</v>
      </c>
      <c r="K4896" s="5">
        <v>0.11505695127764973</v>
      </c>
      <c r="L4896" s="10">
        <v>292254.95520000003</v>
      </c>
    </row>
    <row r="4897" spans="1:12" x14ac:dyDescent="0.25">
      <c r="A4897">
        <v>4896</v>
      </c>
      <c r="B4897" s="3">
        <v>0.14472894194503266</v>
      </c>
      <c r="C4897" s="3">
        <v>7.5761901339302357E-2</v>
      </c>
      <c r="D4897" s="1">
        <v>405286.12581852957</v>
      </c>
      <c r="E4897" s="1">
        <v>16574697</v>
      </c>
      <c r="F4897" s="1">
        <v>80351894</v>
      </c>
      <c r="G4897" s="16">
        <v>65258.073791609182</v>
      </c>
      <c r="H4897">
        <v>343.1</v>
      </c>
      <c r="I4897" s="1">
        <v>875.06000000000006</v>
      </c>
      <c r="J4897" s="16">
        <v>470544.19961013878</v>
      </c>
      <c r="K4897" s="5">
        <v>4.2404503126076756E-3</v>
      </c>
      <c r="L4897" s="10">
        <v>43922.573499999999</v>
      </c>
    </row>
    <row r="4898" spans="1:12" x14ac:dyDescent="0.25">
      <c r="A4898">
        <v>4897</v>
      </c>
      <c r="B4898" s="3">
        <v>0.19282969454041693</v>
      </c>
      <c r="C4898" s="3">
        <v>7.0957782627957031E-2</v>
      </c>
      <c r="D4898" s="1">
        <v>111035.61427129684</v>
      </c>
      <c r="E4898" s="1">
        <v>4895582</v>
      </c>
      <c r="F4898" s="1">
        <v>21875368</v>
      </c>
      <c r="G4898" s="16">
        <v>30308.303754491113</v>
      </c>
      <c r="H4898">
        <v>204.16</v>
      </c>
      <c r="I4898" s="1">
        <v>650.33000000000004</v>
      </c>
      <c r="J4898" s="16">
        <v>141343.91802578795</v>
      </c>
      <c r="K4898" s="5">
        <v>0.21376367739580765</v>
      </c>
      <c r="L4898" s="10">
        <v>317925.46419999999</v>
      </c>
    </row>
    <row r="4899" spans="1:12" x14ac:dyDescent="0.25">
      <c r="A4899">
        <v>4898</v>
      </c>
      <c r="B4899" s="3">
        <v>0.17328567460054184</v>
      </c>
      <c r="C4899" s="3">
        <v>7.0770981156205781E-2</v>
      </c>
      <c r="D4899" s="1">
        <v>204682.26641255282</v>
      </c>
      <c r="E4899" s="1">
        <v>9919861</v>
      </c>
      <c r="F4899" s="1">
        <v>46530108</v>
      </c>
      <c r="G4899" s="16">
        <v>20722.142687008069</v>
      </c>
      <c r="H4899">
        <v>118.17</v>
      </c>
      <c r="I4899" s="1">
        <v>426.18</v>
      </c>
      <c r="J4899" s="16">
        <v>225404.4090995609</v>
      </c>
      <c r="K4899" s="5">
        <v>-6.808377668973159E-2</v>
      </c>
      <c r="L4899" s="10">
        <v>-149832.0662</v>
      </c>
    </row>
    <row r="4900" spans="1:12" x14ac:dyDescent="0.25">
      <c r="A4900">
        <v>4899</v>
      </c>
      <c r="B4900" s="3">
        <v>0.13658860909115392</v>
      </c>
      <c r="C4900" s="3">
        <v>4.6876808068601394E-2</v>
      </c>
      <c r="D4900" s="1">
        <v>148030.70032908619</v>
      </c>
      <c r="E4900" s="1">
        <v>4985211</v>
      </c>
      <c r="F4900" s="1">
        <v>33646534</v>
      </c>
      <c r="G4900" s="16">
        <v>24040.852209523069</v>
      </c>
      <c r="H4900">
        <v>87.19</v>
      </c>
      <c r="I4900" s="1">
        <v>362.55</v>
      </c>
      <c r="J4900" s="16">
        <v>172071.55253860925</v>
      </c>
      <c r="K4900" s="5">
        <v>0.18798510182140632</v>
      </c>
      <c r="L4900" s="10">
        <v>556130.86789999995</v>
      </c>
    </row>
    <row r="4901" spans="1:12" x14ac:dyDescent="0.25">
      <c r="A4901">
        <v>4900</v>
      </c>
      <c r="B4901" s="3">
        <v>0.13513572556238992</v>
      </c>
      <c r="C4901" s="3">
        <v>5.8113700742515359E-2</v>
      </c>
      <c r="D4901" s="1">
        <v>150465.64570670895</v>
      </c>
      <c r="E4901" s="1">
        <v>4353077</v>
      </c>
      <c r="F4901" s="1">
        <v>20177407</v>
      </c>
      <c r="G4901" s="16">
        <v>69168.070807160591</v>
      </c>
      <c r="H4901">
        <v>332.35</v>
      </c>
      <c r="I4901" s="1">
        <v>786.56000000000006</v>
      </c>
      <c r="J4901" s="16">
        <v>219633.71651386953</v>
      </c>
      <c r="K4901" s="5">
        <v>3.6688252536551995E-2</v>
      </c>
      <c r="L4901" s="10">
        <v>118693.5546</v>
      </c>
    </row>
    <row r="4902" spans="1:12" x14ac:dyDescent="0.25">
      <c r="A4902">
        <v>4901</v>
      </c>
      <c r="B4902" s="3">
        <v>0.13680311683394661</v>
      </c>
      <c r="C4902" s="3">
        <v>7.5471290677786088E-2</v>
      </c>
      <c r="D4902" s="1">
        <v>320860.74894298811</v>
      </c>
      <c r="E4902" s="1">
        <v>12530533</v>
      </c>
      <c r="F4902" s="1">
        <v>47729371</v>
      </c>
      <c r="G4902" s="16">
        <v>52322.872400946704</v>
      </c>
      <c r="H4902">
        <v>220.61</v>
      </c>
      <c r="I4902" s="1">
        <v>687.02</v>
      </c>
      <c r="J4902" s="16">
        <v>373183.62134393479</v>
      </c>
      <c r="K4902" s="5">
        <v>0.18648685121801242</v>
      </c>
      <c r="L4902" s="10">
        <v>578938.78489999997</v>
      </c>
    </row>
    <row r="4903" spans="1:12" x14ac:dyDescent="0.25">
      <c r="A4903">
        <v>4902</v>
      </c>
      <c r="B4903" s="3">
        <v>0.24781791697346134</v>
      </c>
      <c r="C4903" s="3">
        <v>3.6697266661667435E-2</v>
      </c>
      <c r="D4903" s="1">
        <v>97726.590729776784</v>
      </c>
      <c r="E4903" s="1">
        <v>5713777</v>
      </c>
      <c r="F4903" s="1">
        <v>28979319</v>
      </c>
      <c r="G4903" s="16">
        <v>20697.78596170016</v>
      </c>
      <c r="H4903">
        <v>228.43</v>
      </c>
      <c r="I4903" s="1">
        <v>541.45000000000005</v>
      </c>
      <c r="J4903" s="16">
        <v>118424.37669147694</v>
      </c>
      <c r="K4903" s="5">
        <v>0.13192568388613429</v>
      </c>
      <c r="L4903" s="10">
        <v>353708.92629999999</v>
      </c>
    </row>
    <row r="4904" spans="1:12" x14ac:dyDescent="0.25">
      <c r="A4904">
        <v>4903</v>
      </c>
      <c r="B4904" s="3">
        <v>0.21277013483099047</v>
      </c>
      <c r="C4904" s="3">
        <v>7.1247395983076625E-2</v>
      </c>
      <c r="D4904" s="1">
        <v>68303.014744777232</v>
      </c>
      <c r="E4904" s="1">
        <v>2620228</v>
      </c>
      <c r="F4904" s="1">
        <v>13148050</v>
      </c>
      <c r="G4904" s="16">
        <v>22640.043764428461</v>
      </c>
      <c r="H4904">
        <v>182.1</v>
      </c>
      <c r="I4904" s="1">
        <v>671.43999999999994</v>
      </c>
      <c r="J4904" s="16">
        <v>90943.058509205701</v>
      </c>
      <c r="K4904" s="5">
        <v>3.6154393065074092E-2</v>
      </c>
      <c r="L4904" s="10">
        <v>36334.159699999997</v>
      </c>
    </row>
    <row r="4905" spans="1:12" x14ac:dyDescent="0.25">
      <c r="A4905">
        <v>4904</v>
      </c>
      <c r="B4905" s="3">
        <v>0.17341398268560304</v>
      </c>
      <c r="C4905" s="3">
        <v>7.7231856620414888E-2</v>
      </c>
      <c r="D4905" s="1">
        <v>250548.90907285284</v>
      </c>
      <c r="E4905" s="1">
        <v>12152210</v>
      </c>
      <c r="F4905" s="1">
        <v>47469031</v>
      </c>
      <c r="G4905" s="16">
        <v>9840.3109768363138</v>
      </c>
      <c r="H4905">
        <v>46.4</v>
      </c>
      <c r="I4905" s="1">
        <v>227.33</v>
      </c>
      <c r="J4905" s="16">
        <v>260389.22004968915</v>
      </c>
      <c r="K4905" s="5">
        <v>0.13039745563279392</v>
      </c>
      <c r="L4905" s="10">
        <v>315573.29479999997</v>
      </c>
    </row>
    <row r="4906" spans="1:12" x14ac:dyDescent="0.25">
      <c r="A4906">
        <v>4905</v>
      </c>
      <c r="B4906" s="3">
        <v>0.21638166707281431</v>
      </c>
      <c r="C4906" s="3">
        <v>4.5955023248465184E-2</v>
      </c>
      <c r="D4906" s="1">
        <v>98161.103635382824</v>
      </c>
      <c r="E4906" s="1">
        <v>3817935</v>
      </c>
      <c r="F4906" s="1">
        <v>19432575</v>
      </c>
      <c r="G4906" s="16">
        <v>14899.00947100146</v>
      </c>
      <c r="H4906">
        <v>96.81</v>
      </c>
      <c r="I4906" s="1">
        <v>364.47999999999996</v>
      </c>
      <c r="J4906" s="16">
        <v>113060.11310638429</v>
      </c>
      <c r="K4906" s="5">
        <v>2.7385983132535662E-2</v>
      </c>
      <c r="L4906" s="10">
        <v>67283.270600000003</v>
      </c>
    </row>
    <row r="4907" spans="1:12" x14ac:dyDescent="0.25">
      <c r="A4907">
        <v>4906</v>
      </c>
      <c r="B4907" s="3">
        <v>0.11599690743424218</v>
      </c>
      <c r="C4907" s="3">
        <v>5.0258899545952182E-2</v>
      </c>
      <c r="D4907" s="1">
        <v>153813.5625526685</v>
      </c>
      <c r="E4907" s="1">
        <v>4713921</v>
      </c>
      <c r="F4907" s="1">
        <v>31234981</v>
      </c>
      <c r="G4907" s="16">
        <v>53811.331023102168</v>
      </c>
      <c r="H4907">
        <v>191.98</v>
      </c>
      <c r="I4907" s="1">
        <v>461.77</v>
      </c>
      <c r="J4907" s="16">
        <v>207624.89357577066</v>
      </c>
      <c r="K4907" s="5">
        <v>0.22244491007524536</v>
      </c>
      <c r="L4907" s="10">
        <v>715767.60860000004</v>
      </c>
    </row>
    <row r="4908" spans="1:12" x14ac:dyDescent="0.25">
      <c r="A4908">
        <v>4907</v>
      </c>
      <c r="B4908" s="3">
        <v>0.20200520486186535</v>
      </c>
      <c r="C4908" s="3">
        <v>5.6479978810363096E-2</v>
      </c>
      <c r="D4908" s="1">
        <v>212976.8419937281</v>
      </c>
      <c r="E4908" s="1">
        <v>9829598</v>
      </c>
      <c r="F4908" s="1">
        <v>35340275</v>
      </c>
      <c r="G4908" s="16">
        <v>24071.583477969798</v>
      </c>
      <c r="H4908">
        <v>175.68</v>
      </c>
      <c r="I4908" s="1">
        <v>550.33999999999992</v>
      </c>
      <c r="J4908" s="16">
        <v>237048.4254716979</v>
      </c>
      <c r="K4908" s="5">
        <v>0.21893335953938375</v>
      </c>
      <c r="L4908" s="10">
        <v>628645.62360000005</v>
      </c>
    </row>
    <row r="4909" spans="1:12" x14ac:dyDescent="0.25">
      <c r="A4909">
        <v>4908</v>
      </c>
      <c r="B4909" s="3">
        <v>0.19187761450887636</v>
      </c>
      <c r="C4909" s="3">
        <v>6.7035696192842206E-2</v>
      </c>
      <c r="D4909" s="1">
        <v>78241.4945365116</v>
      </c>
      <c r="E4909" s="1">
        <v>2774651</v>
      </c>
      <c r="F4909" s="1">
        <v>19076963</v>
      </c>
      <c r="G4909" s="16">
        <v>21005.138212725436</v>
      </c>
      <c r="H4909">
        <v>113.54</v>
      </c>
      <c r="I4909" s="1">
        <v>377.38</v>
      </c>
      <c r="J4909" s="16">
        <v>99246.632749237033</v>
      </c>
      <c r="K4909" s="5">
        <v>3.7840218891580256E-2</v>
      </c>
      <c r="L4909" s="10">
        <v>67779.905799999993</v>
      </c>
    </row>
    <row r="4910" spans="1:12" x14ac:dyDescent="0.25">
      <c r="A4910">
        <v>4909</v>
      </c>
      <c r="B4910" s="3">
        <v>0.10721142268703231</v>
      </c>
      <c r="C4910" s="3">
        <v>3.0963844403141753E-2</v>
      </c>
      <c r="D4910" s="1">
        <v>204892.21440830626</v>
      </c>
      <c r="E4910" s="1">
        <v>6035789</v>
      </c>
      <c r="F4910" s="1">
        <v>23509255</v>
      </c>
      <c r="G4910" s="16">
        <v>85240.428156801601</v>
      </c>
      <c r="H4910">
        <v>283.60000000000002</v>
      </c>
      <c r="I4910" s="1">
        <v>692.23</v>
      </c>
      <c r="J4910" s="16">
        <v>290132.64256510785</v>
      </c>
      <c r="K4910" s="5">
        <v>4.4583262501177723E-3</v>
      </c>
      <c r="L4910" s="10">
        <v>66415.763900000005</v>
      </c>
    </row>
    <row r="4911" spans="1:12" x14ac:dyDescent="0.25">
      <c r="A4911">
        <v>4910</v>
      </c>
      <c r="B4911" s="3">
        <v>0.1510424644276718</v>
      </c>
      <c r="C4911" s="3">
        <v>7.9105446686228043E-2</v>
      </c>
      <c r="D4911" s="1">
        <v>89920.007367767001</v>
      </c>
      <c r="E4911" s="1">
        <v>3239776</v>
      </c>
      <c r="F4911" s="1">
        <v>25228188</v>
      </c>
      <c r="G4911" s="16">
        <v>62878.214627983922</v>
      </c>
      <c r="H4911">
        <v>350.56</v>
      </c>
      <c r="I4911" s="1">
        <v>933.1400000000001</v>
      </c>
      <c r="J4911" s="16">
        <v>152798.22199575091</v>
      </c>
      <c r="K4911" s="5">
        <v>5.203316703168049E-2</v>
      </c>
      <c r="L4911" s="10">
        <v>91191.113100000002</v>
      </c>
    </row>
    <row r="4912" spans="1:12" x14ac:dyDescent="0.25">
      <c r="A4912">
        <v>4911</v>
      </c>
      <c r="B4912" s="3">
        <v>0.10401881921917591</v>
      </c>
      <c r="C4912" s="3">
        <v>5.7969806167182863E-2</v>
      </c>
      <c r="D4912" s="1">
        <v>175088.40832393858</v>
      </c>
      <c r="E4912" s="1">
        <v>5084700</v>
      </c>
      <c r="F4912" s="1">
        <v>26193827</v>
      </c>
      <c r="G4912" s="16">
        <v>54142.46512730376</v>
      </c>
      <c r="H4912">
        <v>176.04</v>
      </c>
      <c r="I4912" s="1">
        <v>518.66999999999996</v>
      </c>
      <c r="J4912" s="16">
        <v>229230.87345124234</v>
      </c>
      <c r="K4912" s="5">
        <v>-0.11576689140345291</v>
      </c>
      <c r="L4912" s="10">
        <v>-275006.20539999998</v>
      </c>
    </row>
    <row r="4913" spans="1:12" x14ac:dyDescent="0.25">
      <c r="A4913">
        <v>4912</v>
      </c>
      <c r="B4913" s="3">
        <v>0.19218083998660485</v>
      </c>
      <c r="C4913" s="3">
        <v>6.828499088389503E-2</v>
      </c>
      <c r="D4913" s="1">
        <v>95734.511198959997</v>
      </c>
      <c r="E4913" s="1">
        <v>4207410</v>
      </c>
      <c r="F4913" s="1">
        <v>22669021</v>
      </c>
      <c r="G4913" s="16">
        <v>17963.452384942186</v>
      </c>
      <c r="H4913">
        <v>120.38</v>
      </c>
      <c r="I4913" s="1">
        <v>488.91</v>
      </c>
      <c r="J4913" s="16">
        <v>113697.96358390218</v>
      </c>
      <c r="K4913" s="5">
        <v>8.914460037223032E-2</v>
      </c>
      <c r="L4913" s="10">
        <v>139867.83470000001</v>
      </c>
    </row>
    <row r="4914" spans="1:12" x14ac:dyDescent="0.25">
      <c r="A4914">
        <v>4913</v>
      </c>
      <c r="B4914" s="3">
        <v>0.19278211588721744</v>
      </c>
      <c r="C4914" s="3">
        <v>4.983975646261244E-2</v>
      </c>
      <c r="D4914" s="1">
        <v>45039.521234855893</v>
      </c>
      <c r="E4914" s="1">
        <v>1602596</v>
      </c>
      <c r="F4914" s="1">
        <v>12853411</v>
      </c>
      <c r="G4914" s="16">
        <v>20182.041835295444</v>
      </c>
      <c r="H4914">
        <v>109.79</v>
      </c>
      <c r="I4914" s="1">
        <v>361.15000000000003</v>
      </c>
      <c r="J4914" s="16">
        <v>65221.563070151336</v>
      </c>
      <c r="K4914" s="5">
        <v>0.15856252957494471</v>
      </c>
      <c r="L4914" s="10">
        <v>176030.59179999999</v>
      </c>
    </row>
    <row r="4915" spans="1:12" x14ac:dyDescent="0.25">
      <c r="A4915">
        <v>4914</v>
      </c>
      <c r="B4915" s="3">
        <v>0.2052866694988528</v>
      </c>
      <c r="C4915" s="3">
        <v>4.224665188363045E-2</v>
      </c>
      <c r="D4915" s="1">
        <v>42871.845238809867</v>
      </c>
      <c r="E4915" s="1">
        <v>1270439</v>
      </c>
      <c r="F4915" s="1">
        <v>8623944</v>
      </c>
      <c r="G4915" s="16">
        <v>67788.38021136474</v>
      </c>
      <c r="H4915">
        <v>640.51</v>
      </c>
      <c r="I4915" s="1">
        <v>1508.62</v>
      </c>
      <c r="J4915" s="16">
        <v>110660.22545017461</v>
      </c>
      <c r="K4915" s="5">
        <v>0.13549747647158691</v>
      </c>
      <c r="L4915" s="10">
        <v>294172.87560000003</v>
      </c>
    </row>
    <row r="4916" spans="1:12" x14ac:dyDescent="0.25">
      <c r="A4916">
        <v>4915</v>
      </c>
      <c r="B4916" s="3">
        <v>0.23676854175393425</v>
      </c>
      <c r="C4916" s="3">
        <v>6.7660894101457286E-2</v>
      </c>
      <c r="D4916" s="1">
        <v>103200.14484338704</v>
      </c>
      <c r="E4916" s="1">
        <v>5691909</v>
      </c>
      <c r="F4916" s="1">
        <v>23273227</v>
      </c>
      <c r="G4916" s="16">
        <v>15398.510869379188</v>
      </c>
      <c r="H4916">
        <v>153.44999999999999</v>
      </c>
      <c r="I4916" s="1">
        <v>555.71</v>
      </c>
      <c r="J4916" s="16">
        <v>118598.65571276622</v>
      </c>
      <c r="K4916" s="5">
        <v>0.13743345380946914</v>
      </c>
      <c r="L4916" s="10">
        <v>176055.6594</v>
      </c>
    </row>
    <row r="4917" spans="1:12" x14ac:dyDescent="0.25">
      <c r="A4917">
        <v>4916</v>
      </c>
      <c r="B4917" s="3">
        <v>0.15833886056696445</v>
      </c>
      <c r="C4917" s="3">
        <v>4.6353576050161778E-2</v>
      </c>
      <c r="D4917" s="1">
        <v>296738.99467989238</v>
      </c>
      <c r="E4917" s="1">
        <v>11066974</v>
      </c>
      <c r="F4917" s="1">
        <v>39072784</v>
      </c>
      <c r="G4917" s="16">
        <v>39678.2074226283</v>
      </c>
      <c r="H4917">
        <v>199.58</v>
      </c>
      <c r="I4917" s="1">
        <v>604.16999999999996</v>
      </c>
      <c r="J4917" s="16">
        <v>336417.20210252068</v>
      </c>
      <c r="K4917" s="5">
        <v>4.8196648352564417E-2</v>
      </c>
      <c r="L4917" s="10">
        <v>319236.25170000002</v>
      </c>
    </row>
    <row r="4918" spans="1:12" x14ac:dyDescent="0.25">
      <c r="A4918">
        <v>4917</v>
      </c>
      <c r="B4918" s="3">
        <v>0.17814486640282545</v>
      </c>
      <c r="C4918" s="3">
        <v>2.3717688990287547E-2</v>
      </c>
      <c r="D4918" s="1">
        <v>199562.42396946775</v>
      </c>
      <c r="E4918" s="1">
        <v>8186548</v>
      </c>
      <c r="F4918" s="1">
        <v>31746852</v>
      </c>
      <c r="G4918" s="16">
        <v>13546.819701138389</v>
      </c>
      <c r="H4918">
        <v>66.099999999999994</v>
      </c>
      <c r="I4918" s="1">
        <v>205.15</v>
      </c>
      <c r="J4918" s="16">
        <v>213109.24367060614</v>
      </c>
      <c r="K4918" s="5">
        <v>4.066548368262142E-2</v>
      </c>
      <c r="L4918" s="10">
        <v>347473.19170000002</v>
      </c>
    </row>
    <row r="4919" spans="1:12" x14ac:dyDescent="0.25">
      <c r="A4919">
        <v>4918</v>
      </c>
      <c r="B4919" s="3">
        <v>0.13206126397625395</v>
      </c>
      <c r="C4919" s="3">
        <v>2.7262102264621151E-2</v>
      </c>
      <c r="D4919" s="1">
        <v>159294.92748331404</v>
      </c>
      <c r="E4919" s="1">
        <v>5253498</v>
      </c>
      <c r="F4919" s="1">
        <v>35381063</v>
      </c>
      <c r="G4919" s="16">
        <v>29256.227129610499</v>
      </c>
      <c r="H4919">
        <v>118.74</v>
      </c>
      <c r="I4919" s="1">
        <v>420.67</v>
      </c>
      <c r="J4919" s="16">
        <v>188551.15461292453</v>
      </c>
      <c r="K4919" s="5">
        <v>0.10430971258403018</v>
      </c>
      <c r="L4919" s="10">
        <v>657109.15780000004</v>
      </c>
    </row>
    <row r="4920" spans="1:12" x14ac:dyDescent="0.25">
      <c r="A4920">
        <v>4919</v>
      </c>
      <c r="B4920" s="3">
        <v>0.2273601298669661</v>
      </c>
      <c r="C4920" s="3">
        <v>4.7245107788430579E-2</v>
      </c>
      <c r="D4920" s="1">
        <v>44452.174364702885</v>
      </c>
      <c r="E4920" s="1">
        <v>2334467</v>
      </c>
      <c r="F4920" s="1">
        <v>21819605</v>
      </c>
      <c r="G4920" s="16">
        <v>9404.5258745722786</v>
      </c>
      <c r="H4920">
        <v>66.45</v>
      </c>
      <c r="I4920" s="1">
        <v>212.87</v>
      </c>
      <c r="J4920" s="16">
        <v>53856.70023927516</v>
      </c>
      <c r="K4920" s="5">
        <v>6.9259604171682768E-2</v>
      </c>
      <c r="L4920" s="10">
        <v>95662.413700000005</v>
      </c>
    </row>
    <row r="4921" spans="1:12" x14ac:dyDescent="0.25">
      <c r="A4921">
        <v>4920</v>
      </c>
      <c r="B4921" s="3">
        <v>0.2141836103000288</v>
      </c>
      <c r="C4921" s="3">
        <v>7.4400348878150765E-2</v>
      </c>
      <c r="D4921" s="1">
        <v>110336.27443247171</v>
      </c>
      <c r="E4921" s="1">
        <v>5415473</v>
      </c>
      <c r="F4921" s="1">
        <v>32649114</v>
      </c>
      <c r="G4921" s="16">
        <v>18664.775127192559</v>
      </c>
      <c r="H4921">
        <v>119.19</v>
      </c>
      <c r="I4921" s="1">
        <v>360.61</v>
      </c>
      <c r="J4921" s="16">
        <v>129001.04955966427</v>
      </c>
      <c r="K4921" s="5">
        <v>7.3806150013194294E-2</v>
      </c>
      <c r="L4921" s="10">
        <v>121949.1915</v>
      </c>
    </row>
    <row r="4922" spans="1:12" x14ac:dyDescent="0.25">
      <c r="A4922">
        <v>4921</v>
      </c>
      <c r="B4922" s="3">
        <v>0.13853728600517362</v>
      </c>
      <c r="C4922" s="3">
        <v>3.5693254236832464E-2</v>
      </c>
      <c r="D4922" s="1">
        <v>205394.28849701906</v>
      </c>
      <c r="E4922" s="1">
        <v>6979841</v>
      </c>
      <c r="F4922" s="1">
        <v>36402470</v>
      </c>
      <c r="G4922" s="16">
        <v>25669.931082618041</v>
      </c>
      <c r="H4922">
        <v>94.46</v>
      </c>
      <c r="I4922" s="1">
        <v>318.2</v>
      </c>
      <c r="J4922" s="16">
        <v>231064.21957963711</v>
      </c>
      <c r="K4922" s="5">
        <v>-3.6075451353022626E-2</v>
      </c>
      <c r="L4922" s="10">
        <v>-180923.96679999999</v>
      </c>
    </row>
    <row r="4923" spans="1:12" x14ac:dyDescent="0.25">
      <c r="A4923">
        <v>4922</v>
      </c>
      <c r="B4923" s="3">
        <v>0.2484373492050668</v>
      </c>
      <c r="C4923" s="3">
        <v>3.3262558064111873E-2</v>
      </c>
      <c r="D4923" s="1">
        <v>83712.9196401019</v>
      </c>
      <c r="E4923" s="1">
        <v>3690621</v>
      </c>
      <c r="F4923" s="1">
        <v>20870646</v>
      </c>
      <c r="G4923" s="16">
        <v>19252.835790694044</v>
      </c>
      <c r="H4923">
        <v>213.43</v>
      </c>
      <c r="I4923" s="1">
        <v>486.25</v>
      </c>
      <c r="J4923" s="16">
        <v>102965.75543079595</v>
      </c>
      <c r="K4923" s="5">
        <v>-4.7712719231168474E-3</v>
      </c>
      <c r="L4923" s="10">
        <v>7598.1841000000004</v>
      </c>
    </row>
    <row r="4924" spans="1:12" x14ac:dyDescent="0.25">
      <c r="A4924">
        <v>4923</v>
      </c>
      <c r="B4924" s="3">
        <v>0.20498414236152901</v>
      </c>
      <c r="C4924" s="3">
        <v>7.8042000167842143E-2</v>
      </c>
      <c r="D4924" s="1">
        <v>81735.995968524003</v>
      </c>
      <c r="E4924" s="1">
        <v>3044309</v>
      </c>
      <c r="F4924" s="1">
        <v>19128540</v>
      </c>
      <c r="G4924" s="16">
        <v>33291.650337474093</v>
      </c>
      <c r="H4924">
        <v>249.43</v>
      </c>
      <c r="I4924" s="1">
        <v>690.44</v>
      </c>
      <c r="J4924" s="16">
        <v>115027.64630599809</v>
      </c>
      <c r="K4924" s="5">
        <v>0.16517794189652696</v>
      </c>
      <c r="L4924" s="10">
        <v>178994.75409999999</v>
      </c>
    </row>
    <row r="4925" spans="1:12" x14ac:dyDescent="0.25">
      <c r="A4925">
        <v>4924</v>
      </c>
      <c r="B4925" s="3">
        <v>0.19342387246186454</v>
      </c>
      <c r="C4925" s="3">
        <v>5.5648272465830262E-2</v>
      </c>
      <c r="D4925" s="1">
        <v>63019.690063167705</v>
      </c>
      <c r="E4925" s="1">
        <v>1812961</v>
      </c>
      <c r="F4925" s="1">
        <v>9676375</v>
      </c>
      <c r="G4925" s="16">
        <v>25223.463879645948</v>
      </c>
      <c r="H4925">
        <v>170.75</v>
      </c>
      <c r="I4925" s="1">
        <v>418.39</v>
      </c>
      <c r="J4925" s="16">
        <v>88243.15394281366</v>
      </c>
      <c r="K4925" s="5">
        <v>9.4172105903705949E-2</v>
      </c>
      <c r="L4925" s="10">
        <v>119587.35490000001</v>
      </c>
    </row>
    <row r="4926" spans="1:12" x14ac:dyDescent="0.25">
      <c r="A4926">
        <v>4925</v>
      </c>
      <c r="B4926" s="3">
        <v>0.15661624067110078</v>
      </c>
      <c r="C4926" s="3">
        <v>2.5969344332043728E-2</v>
      </c>
      <c r="D4926" s="1">
        <v>130944.35526362353</v>
      </c>
      <c r="E4926" s="1">
        <v>4843826</v>
      </c>
      <c r="F4926" s="1">
        <v>24458516</v>
      </c>
      <c r="G4926" s="16">
        <v>18519.549772173399</v>
      </c>
      <c r="H4926">
        <v>77.34</v>
      </c>
      <c r="I4926" s="1">
        <v>256.76</v>
      </c>
      <c r="J4926" s="16">
        <v>149463.90503579692</v>
      </c>
      <c r="K4926" s="5">
        <v>0.1123880902605599</v>
      </c>
      <c r="L4926" s="10">
        <v>584371.33510000003</v>
      </c>
    </row>
    <row r="4927" spans="1:12" x14ac:dyDescent="0.25">
      <c r="A4927">
        <v>4926</v>
      </c>
      <c r="B4927" s="3">
        <v>0.16405251149213879</v>
      </c>
      <c r="C4927" s="3">
        <v>3.4093704230489963E-2</v>
      </c>
      <c r="D4927" s="1">
        <v>51282.757365500089</v>
      </c>
      <c r="E4927" s="1">
        <v>1643001</v>
      </c>
      <c r="F4927" s="1">
        <v>12027757</v>
      </c>
      <c r="G4927" s="16">
        <v>36284.497496089425</v>
      </c>
      <c r="H4927">
        <v>191.49</v>
      </c>
      <c r="I4927" s="1">
        <v>581.1099999999999</v>
      </c>
      <c r="J4927" s="16">
        <v>87567.254861589521</v>
      </c>
      <c r="K4927" s="5">
        <v>0.18960209864428579</v>
      </c>
      <c r="L4927" s="10">
        <v>443383.67729999998</v>
      </c>
    </row>
    <row r="4928" spans="1:12" x14ac:dyDescent="0.25">
      <c r="A4928">
        <v>4927</v>
      </c>
      <c r="B4928" s="3">
        <v>0.1746945340878846</v>
      </c>
      <c r="C4928" s="3">
        <v>3.1456984680240579E-2</v>
      </c>
      <c r="D4928" s="1">
        <v>153301.71928410637</v>
      </c>
      <c r="E4928" s="1">
        <v>6184308</v>
      </c>
      <c r="F4928" s="1">
        <v>39380692</v>
      </c>
      <c r="G4928" s="16">
        <v>15175.235385964328</v>
      </c>
      <c r="H4928">
        <v>72.2</v>
      </c>
      <c r="I4928" s="1">
        <v>326.94</v>
      </c>
      <c r="J4928" s="16">
        <v>168476.9546700707</v>
      </c>
      <c r="K4928" s="5">
        <v>0.17341220320309536</v>
      </c>
      <c r="L4928" s="10">
        <v>873722.57929999998</v>
      </c>
    </row>
    <row r="4929" spans="1:12" x14ac:dyDescent="0.25">
      <c r="A4929">
        <v>4928</v>
      </c>
      <c r="B4929" s="3">
        <v>0.13735871491624657</v>
      </c>
      <c r="C4929" s="3">
        <v>7.0775696306100616E-2</v>
      </c>
      <c r="D4929" s="1">
        <v>86185.432882671943</v>
      </c>
      <c r="E4929" s="1">
        <v>2512730</v>
      </c>
      <c r="F4929" s="1">
        <v>15936074</v>
      </c>
      <c r="G4929" s="16">
        <v>60289.95129819517</v>
      </c>
      <c r="H4929">
        <v>255</v>
      </c>
      <c r="I4929" s="1">
        <v>590.69000000000005</v>
      </c>
      <c r="J4929" s="16">
        <v>146475.38418086711</v>
      </c>
      <c r="K4929" s="5">
        <v>-5.9254190390449879E-2</v>
      </c>
      <c r="L4929" s="10">
        <v>-56434.1702</v>
      </c>
    </row>
    <row r="4930" spans="1:12" x14ac:dyDescent="0.25">
      <c r="A4930">
        <v>4929</v>
      </c>
      <c r="B4930" s="3">
        <v>0.23101728078389533</v>
      </c>
      <c r="C4930" s="3">
        <v>6.9275881566185707E-2</v>
      </c>
      <c r="D4930" s="1">
        <v>81465.743742925173</v>
      </c>
      <c r="E4930" s="1">
        <v>3352958</v>
      </c>
      <c r="F4930" s="1">
        <v>16214003</v>
      </c>
      <c r="G4930" s="16">
        <v>14368.106403813601</v>
      </c>
      <c r="H4930">
        <v>135.83000000000001</v>
      </c>
      <c r="I4930" s="1">
        <v>553.38</v>
      </c>
      <c r="J4930" s="16">
        <v>95833.850146738769</v>
      </c>
      <c r="K4930" s="5">
        <v>0.25591639529020821</v>
      </c>
      <c r="L4930" s="10">
        <v>251987.06330000001</v>
      </c>
    </row>
    <row r="4931" spans="1:12" x14ac:dyDescent="0.25">
      <c r="A4931">
        <v>4930</v>
      </c>
      <c r="B4931" s="3">
        <v>0.12514232400050451</v>
      </c>
      <c r="C4931" s="3">
        <v>2.2977254867079095E-2</v>
      </c>
      <c r="D4931" s="1">
        <v>113585.88155026671</v>
      </c>
      <c r="E4931" s="1">
        <v>3174784</v>
      </c>
      <c r="F4931" s="1">
        <v>19873277</v>
      </c>
      <c r="G4931" s="16">
        <v>20086.918555222408</v>
      </c>
      <c r="H4931">
        <v>67.33</v>
      </c>
      <c r="I4931" s="1">
        <v>272.69</v>
      </c>
      <c r="J4931" s="16">
        <v>133672.80010548912</v>
      </c>
      <c r="K4931" s="5">
        <v>0.11166221717723145</v>
      </c>
      <c r="L4931" s="10">
        <v>568648.52040000004</v>
      </c>
    </row>
    <row r="4932" spans="1:12" x14ac:dyDescent="0.25">
      <c r="A4932">
        <v>4931</v>
      </c>
      <c r="B4932" s="3">
        <v>0.10620755296265968</v>
      </c>
      <c r="C4932" s="3">
        <v>7.4514412695847951E-2</v>
      </c>
      <c r="D4932" s="1">
        <v>170155.20370212669</v>
      </c>
      <c r="E4932" s="1">
        <v>4460033</v>
      </c>
      <c r="F4932" s="1">
        <v>17232263</v>
      </c>
      <c r="G4932" s="16">
        <v>94553.930230702899</v>
      </c>
      <c r="H4932">
        <v>349.24</v>
      </c>
      <c r="I4932" s="1">
        <v>967.21</v>
      </c>
      <c r="J4932" s="16">
        <v>264709.1339328296</v>
      </c>
      <c r="K4932" s="5">
        <v>0.1721916670647072</v>
      </c>
      <c r="L4932" s="10">
        <v>370351.0846</v>
      </c>
    </row>
    <row r="4933" spans="1:12" x14ac:dyDescent="0.25">
      <c r="A4933">
        <v>4932</v>
      </c>
      <c r="B4933" s="3">
        <v>0.22883758672265914</v>
      </c>
      <c r="C4933" s="3">
        <v>3.1739375893165486E-2</v>
      </c>
      <c r="D4933" s="1">
        <v>47732.621279474501</v>
      </c>
      <c r="E4933" s="1">
        <v>1502193</v>
      </c>
      <c r="F4933" s="1">
        <v>8535115</v>
      </c>
      <c r="G4933" s="16">
        <v>17613.351343179675</v>
      </c>
      <c r="H4933">
        <v>163.56</v>
      </c>
      <c r="I4933" s="1">
        <v>512.16000000000008</v>
      </c>
      <c r="J4933" s="16">
        <v>65345.972622654175</v>
      </c>
      <c r="K4933" s="5">
        <v>1.1166251041916989E-2</v>
      </c>
      <c r="L4933" s="10">
        <v>39867.885000000002</v>
      </c>
    </row>
    <row r="4934" spans="1:12" x14ac:dyDescent="0.25">
      <c r="A4934">
        <v>4933</v>
      </c>
      <c r="B4934" s="3">
        <v>0.18721418312493315</v>
      </c>
      <c r="C4934" s="3">
        <v>2.5415265582999596E-2</v>
      </c>
      <c r="D4934" s="1">
        <v>195840.2947326143</v>
      </c>
      <c r="E4934" s="1">
        <v>8398488</v>
      </c>
      <c r="F4934" s="1">
        <v>25850430</v>
      </c>
      <c r="G4934" s="16">
        <v>17528.399843672905</v>
      </c>
      <c r="H4934">
        <v>91.62</v>
      </c>
      <c r="I4934" s="1">
        <v>251.38</v>
      </c>
      <c r="J4934" s="16">
        <v>213368.69457628721</v>
      </c>
      <c r="K4934" s="5">
        <v>2.3847209643900837E-2</v>
      </c>
      <c r="L4934" s="10">
        <v>189613.17569999999</v>
      </c>
    </row>
    <row r="4935" spans="1:12" x14ac:dyDescent="0.25">
      <c r="A4935">
        <v>4934</v>
      </c>
      <c r="B4935" s="3">
        <v>0.16622158361845157</v>
      </c>
      <c r="C4935" s="3">
        <v>2.2610354556685096E-2</v>
      </c>
      <c r="D4935" s="1">
        <v>307176.95405414957</v>
      </c>
      <c r="E4935" s="1">
        <v>14267170</v>
      </c>
      <c r="F4935" s="1">
        <v>52702762</v>
      </c>
      <c r="G4935" s="16">
        <v>31660.124976459356</v>
      </c>
      <c r="H4935">
        <v>170.1</v>
      </c>
      <c r="I4935" s="1">
        <v>525.22</v>
      </c>
      <c r="J4935" s="16">
        <v>338837.07903060893</v>
      </c>
      <c r="K4935" s="5">
        <v>0.15573950745447709</v>
      </c>
      <c r="L4935" s="10">
        <v>2050340.0832</v>
      </c>
    </row>
    <row r="4936" spans="1:12" x14ac:dyDescent="0.25">
      <c r="A4936">
        <v>4935</v>
      </c>
      <c r="B4936" s="3">
        <v>0.1323277000627795</v>
      </c>
      <c r="C4936" s="3">
        <v>3.2816196414531831E-2</v>
      </c>
      <c r="D4936" s="1">
        <v>233051.01106409723</v>
      </c>
      <c r="E4936" s="1">
        <v>7695391</v>
      </c>
      <c r="F4936" s="1">
        <v>37592683</v>
      </c>
      <c r="G4936" s="16">
        <v>35472.922166542099</v>
      </c>
      <c r="H4936">
        <v>143.83000000000001</v>
      </c>
      <c r="I4936" s="1">
        <v>445.09000000000003</v>
      </c>
      <c r="J4936" s="16">
        <v>268523.93323063932</v>
      </c>
      <c r="K4936" s="5">
        <v>4.7111252832903197E-2</v>
      </c>
      <c r="L4936" s="10">
        <v>340311.40669999999</v>
      </c>
    </row>
    <row r="4937" spans="1:12" x14ac:dyDescent="0.25">
      <c r="A4937">
        <v>4936</v>
      </c>
      <c r="B4937" s="3">
        <v>0.21137443554588109</v>
      </c>
      <c r="C4937" s="3">
        <v>6.6164318068399924E-2</v>
      </c>
      <c r="D4937" s="1">
        <v>110542.22604233325</v>
      </c>
      <c r="E4937" s="1">
        <v>5348684</v>
      </c>
      <c r="F4937" s="1">
        <v>22827638</v>
      </c>
      <c r="G4937" s="16">
        <v>18195.575227893831</v>
      </c>
      <c r="H4937">
        <v>113.68</v>
      </c>
      <c r="I4937" s="1">
        <v>347.75</v>
      </c>
      <c r="J4937" s="16">
        <v>128737.80127022708</v>
      </c>
      <c r="K4937" s="5">
        <v>0.105225458997262</v>
      </c>
      <c r="L4937" s="10">
        <v>152143.27619999999</v>
      </c>
    </row>
    <row r="4938" spans="1:12" x14ac:dyDescent="0.25">
      <c r="A4938">
        <v>4937</v>
      </c>
      <c r="B4938" s="3">
        <v>0.22993273225130711</v>
      </c>
      <c r="C4938" s="3">
        <v>3.3598121907319693E-2</v>
      </c>
      <c r="D4938" s="1">
        <v>192011.89025794037</v>
      </c>
      <c r="E4938" s="1">
        <v>10219179</v>
      </c>
      <c r="F4938" s="1">
        <v>42684984</v>
      </c>
      <c r="G4938" s="16">
        <v>11104.370103270456</v>
      </c>
      <c r="H4938">
        <v>80.08</v>
      </c>
      <c r="I4938" s="1">
        <v>261.73</v>
      </c>
      <c r="J4938" s="16">
        <v>203116.26036121082</v>
      </c>
      <c r="K4938" s="5">
        <v>0.1078559476229753</v>
      </c>
      <c r="L4938" s="10">
        <v>556648.00089999998</v>
      </c>
    </row>
    <row r="4939" spans="1:12" x14ac:dyDescent="0.25">
      <c r="A4939">
        <v>4938</v>
      </c>
      <c r="B4939" s="3">
        <v>0.17365171584532113</v>
      </c>
      <c r="C4939" s="3">
        <v>6.9668790791236612E-2</v>
      </c>
      <c r="D4939" s="1">
        <v>70910.907132189372</v>
      </c>
      <c r="E4939" s="1">
        <v>2351943</v>
      </c>
      <c r="F4939" s="1">
        <v>13191900</v>
      </c>
      <c r="G4939" s="16">
        <v>20463.953818083184</v>
      </c>
      <c r="H4939">
        <v>96.67</v>
      </c>
      <c r="I4939" s="1">
        <v>301.51</v>
      </c>
      <c r="J4939" s="16">
        <v>91374.860950272559</v>
      </c>
      <c r="K4939" s="5">
        <v>0.10918909708689636</v>
      </c>
      <c r="L4939" s="10">
        <v>112127.54859999999</v>
      </c>
    </row>
    <row r="4940" spans="1:12" x14ac:dyDescent="0.25">
      <c r="A4940">
        <v>4939</v>
      </c>
      <c r="B4940" s="3">
        <v>0.21207901158386644</v>
      </c>
      <c r="C4940" s="3">
        <v>2.7721795253505016E-2</v>
      </c>
      <c r="D4940" s="1">
        <v>188686.15455629228</v>
      </c>
      <c r="E4940" s="1">
        <v>9162467</v>
      </c>
      <c r="F4940" s="1">
        <v>32997407</v>
      </c>
      <c r="G4940" s="16">
        <v>18680.06584079906</v>
      </c>
      <c r="H4940">
        <v>149.13999999999999</v>
      </c>
      <c r="I4940" s="1">
        <v>442.6</v>
      </c>
      <c r="J4940" s="16">
        <v>207366.22039709135</v>
      </c>
      <c r="K4940" s="5">
        <v>0.10878548664694949</v>
      </c>
      <c r="L4940" s="10">
        <v>712304.41390000004</v>
      </c>
    </row>
    <row r="4941" spans="1:12" x14ac:dyDescent="0.25">
      <c r="A4941">
        <v>4940</v>
      </c>
      <c r="B4941" s="3">
        <v>0.233023485657186</v>
      </c>
      <c r="C4941" s="3">
        <v>2.9900885633018799E-2</v>
      </c>
      <c r="D4941" s="1">
        <v>154179.21317992508</v>
      </c>
      <c r="E4941" s="1">
        <v>8338740</v>
      </c>
      <c r="F4941" s="1">
        <v>32796871</v>
      </c>
      <c r="G4941" s="16">
        <v>15081.261849967597</v>
      </c>
      <c r="H4941">
        <v>145.26</v>
      </c>
      <c r="I4941" s="1">
        <v>531.77</v>
      </c>
      <c r="J4941" s="16">
        <v>169260.47502989267</v>
      </c>
      <c r="K4941" s="5">
        <v>0.2271195074448483</v>
      </c>
      <c r="L4941" s="10">
        <v>1059975.2285</v>
      </c>
    </row>
    <row r="4942" spans="1:12" x14ac:dyDescent="0.25">
      <c r="A4942">
        <v>4941</v>
      </c>
      <c r="B4942" s="3">
        <v>0.21356844603993674</v>
      </c>
      <c r="C4942" s="3">
        <v>4.6249692068742139E-2</v>
      </c>
      <c r="D4942" s="1">
        <v>268675.35749812127</v>
      </c>
      <c r="E4942" s="1">
        <v>13145804</v>
      </c>
      <c r="F4942" s="1">
        <v>39593303</v>
      </c>
      <c r="G4942" s="16">
        <v>31721.812425375905</v>
      </c>
      <c r="H4942">
        <v>256.38</v>
      </c>
      <c r="I4942" s="1">
        <v>685.31999999999994</v>
      </c>
      <c r="J4942" s="16">
        <v>300397.16992349719</v>
      </c>
      <c r="K4942" s="5">
        <v>0.21606950309318423</v>
      </c>
      <c r="L4942" s="10">
        <v>1013107.2496</v>
      </c>
    </row>
    <row r="4943" spans="1:12" x14ac:dyDescent="0.25">
      <c r="A4943">
        <v>4942</v>
      </c>
      <c r="B4943" s="3">
        <v>0.11675307192826084</v>
      </c>
      <c r="C4943" s="3">
        <v>7.3540096950853756E-2</v>
      </c>
      <c r="D4943" s="1">
        <v>131890.9941696735</v>
      </c>
      <c r="E4943" s="1">
        <v>3582382</v>
      </c>
      <c r="F4943" s="1">
        <v>13996479</v>
      </c>
      <c r="G4943" s="16">
        <v>114698.3051495846</v>
      </c>
      <c r="H4943">
        <v>466.13</v>
      </c>
      <c r="I4943" s="1">
        <v>1243.6100000000001</v>
      </c>
      <c r="J4943" s="16">
        <v>246589.29931925811</v>
      </c>
      <c r="K4943" s="5">
        <v>0.24278226048289445</v>
      </c>
      <c r="L4943" s="10">
        <v>500787.48019999999</v>
      </c>
    </row>
    <row r="4944" spans="1:12" x14ac:dyDescent="0.25">
      <c r="A4944">
        <v>4943</v>
      </c>
      <c r="B4944" s="3">
        <v>0.19698195941162125</v>
      </c>
      <c r="C4944" s="3">
        <v>2.1742655897521657E-2</v>
      </c>
      <c r="D4944" s="1">
        <v>150219.60850581239</v>
      </c>
      <c r="E4944" s="1">
        <v>6761268</v>
      </c>
      <c r="F4944" s="1">
        <v>36953711</v>
      </c>
      <c r="G4944" s="16">
        <v>34872.142455426445</v>
      </c>
      <c r="H4944">
        <v>303.77999999999997</v>
      </c>
      <c r="I4944" s="1">
        <v>845.88</v>
      </c>
      <c r="J4944" s="16">
        <v>185091.75096123884</v>
      </c>
      <c r="K4944" s="5">
        <v>-7.4834803904559585E-2</v>
      </c>
      <c r="L4944" s="10">
        <v>-524336.35990000004</v>
      </c>
    </row>
    <row r="4945" spans="1:12" x14ac:dyDescent="0.25">
      <c r="A4945">
        <v>4944</v>
      </c>
      <c r="B4945" s="3">
        <v>0.13923482087387279</v>
      </c>
      <c r="C4945" s="3">
        <v>7.4602495115984255E-2</v>
      </c>
      <c r="D4945" s="1">
        <v>154131.50680877772</v>
      </c>
      <c r="E4945" s="1">
        <v>4523145</v>
      </c>
      <c r="F4945" s="1">
        <v>19980025</v>
      </c>
      <c r="G4945" s="16">
        <v>64405.524111213192</v>
      </c>
      <c r="H4945">
        <v>277</v>
      </c>
      <c r="I4945" s="1">
        <v>756.63</v>
      </c>
      <c r="J4945" s="16">
        <v>218537.03091999091</v>
      </c>
      <c r="K4945" s="5">
        <v>0.10095375558036032</v>
      </c>
      <c r="L4945" s="10">
        <v>204285.10250000001</v>
      </c>
    </row>
    <row r="4946" spans="1:12" x14ac:dyDescent="0.25">
      <c r="A4946">
        <v>4945</v>
      </c>
      <c r="B4946" s="3">
        <v>0.21248362644559593</v>
      </c>
      <c r="C4946" s="3">
        <v>4.0262378982825253E-2</v>
      </c>
      <c r="D4946" s="1">
        <v>119485.98245727908</v>
      </c>
      <c r="E4946" s="1">
        <v>4578684</v>
      </c>
      <c r="F4946" s="1">
        <v>19034339</v>
      </c>
      <c r="G4946" s="16">
        <v>22289.547537904127</v>
      </c>
      <c r="H4946">
        <v>178.65</v>
      </c>
      <c r="I4946" s="1">
        <v>609.11</v>
      </c>
      <c r="J4946" s="16">
        <v>141775.5299951832</v>
      </c>
      <c r="K4946" s="5">
        <v>0.27834344900072244</v>
      </c>
      <c r="L4946" s="10">
        <v>754982.40280000004</v>
      </c>
    </row>
    <row r="4947" spans="1:12" x14ac:dyDescent="0.25">
      <c r="A4947">
        <v>4946</v>
      </c>
      <c r="B4947" s="3">
        <v>0.1366913053520383</v>
      </c>
      <c r="C4947" s="3">
        <v>7.8774694707374707E-2</v>
      </c>
      <c r="D4947" s="1">
        <v>156231.87194848814</v>
      </c>
      <c r="E4947" s="1">
        <v>5263910</v>
      </c>
      <c r="F4947" s="1">
        <v>30055983</v>
      </c>
      <c r="G4947" s="16">
        <v>52571.68078445406</v>
      </c>
      <c r="H4947">
        <v>221.17</v>
      </c>
      <c r="I4947" s="1">
        <v>696.81999999999994</v>
      </c>
      <c r="J4947" s="16">
        <v>208803.55273294222</v>
      </c>
      <c r="K4947" s="5">
        <v>0.2188238130279575</v>
      </c>
      <c r="L4947" s="10">
        <v>418586.92099999997</v>
      </c>
    </row>
    <row r="4948" spans="1:12" x14ac:dyDescent="0.25">
      <c r="A4948">
        <v>4947</v>
      </c>
      <c r="B4948" s="3">
        <v>0.21208682486883779</v>
      </c>
      <c r="C4948" s="3">
        <v>3.0257064001438391E-2</v>
      </c>
      <c r="D4948" s="1">
        <v>53365.268141533466</v>
      </c>
      <c r="E4948" s="1">
        <v>2041864</v>
      </c>
      <c r="F4948" s="1">
        <v>14180831</v>
      </c>
      <c r="G4948" s="16">
        <v>12433.980011243431</v>
      </c>
      <c r="H4948">
        <v>78.16</v>
      </c>
      <c r="I4948" s="1">
        <v>292.21000000000004</v>
      </c>
      <c r="J4948" s="16">
        <v>65799.248152776898</v>
      </c>
      <c r="K4948" s="5">
        <v>0.13350719388917062</v>
      </c>
      <c r="L4948" s="10">
        <v>268693.11330000003</v>
      </c>
    </row>
    <row r="4949" spans="1:12" x14ac:dyDescent="0.25">
      <c r="A4949">
        <v>4948</v>
      </c>
      <c r="B4949" s="3">
        <v>0.17841553882951414</v>
      </c>
      <c r="C4949" s="3">
        <v>3.3938995100391445E-2</v>
      </c>
      <c r="D4949" s="1">
        <v>127101.08628368386</v>
      </c>
      <c r="E4949" s="1">
        <v>4289395</v>
      </c>
      <c r="F4949" s="1">
        <v>18151595</v>
      </c>
      <c r="G4949" s="16">
        <v>42192.942047075543</v>
      </c>
      <c r="H4949">
        <v>251.23</v>
      </c>
      <c r="I4949" s="1">
        <v>621.25</v>
      </c>
      <c r="J4949" s="16">
        <v>169294.02833075941</v>
      </c>
      <c r="K4949" s="5">
        <v>0.14347902064664697</v>
      </c>
      <c r="L4949" s="10">
        <v>576152.83490000002</v>
      </c>
    </row>
    <row r="4950" spans="1:12" x14ac:dyDescent="0.25">
      <c r="A4950">
        <v>4949</v>
      </c>
      <c r="B4950" s="3">
        <v>0.23936491311535271</v>
      </c>
      <c r="C4950" s="3">
        <v>7.7793588163577301E-2</v>
      </c>
      <c r="D4950" s="1">
        <v>70313.322028290655</v>
      </c>
      <c r="E4950" s="1">
        <v>2990273</v>
      </c>
      <c r="F4950" s="1">
        <v>15486054</v>
      </c>
      <c r="G4950" s="16">
        <v>14515.779666580393</v>
      </c>
      <c r="H4950">
        <v>148.25</v>
      </c>
      <c r="I4950" s="1">
        <v>432.53000000000003</v>
      </c>
      <c r="J4950" s="16">
        <v>84829.101694871046</v>
      </c>
      <c r="K4950" s="5">
        <v>0.16551290531747681</v>
      </c>
      <c r="L4950" s="10">
        <v>132249.39050000001</v>
      </c>
    </row>
    <row r="4951" spans="1:12" x14ac:dyDescent="0.25">
      <c r="A4951">
        <v>4950</v>
      </c>
      <c r="B4951" s="3">
        <v>0.13945883119451355</v>
      </c>
      <c r="C4951" s="3">
        <v>6.7028961455318406E-2</v>
      </c>
      <c r="D4951" s="1">
        <v>251183.7850624462</v>
      </c>
      <c r="E4951" s="1">
        <v>8572507</v>
      </c>
      <c r="F4951" s="1">
        <v>36072742</v>
      </c>
      <c r="G4951" s="16">
        <v>27716.148711327358</v>
      </c>
      <c r="H4951">
        <v>119.35</v>
      </c>
      <c r="I4951" s="1">
        <v>459.08000000000004</v>
      </c>
      <c r="J4951" s="16">
        <v>278899.93377377355</v>
      </c>
      <c r="K4951" s="5">
        <v>-3.7899505370862896E-2</v>
      </c>
      <c r="L4951" s="10">
        <v>-55514.320899999999</v>
      </c>
    </row>
    <row r="4952" spans="1:12" x14ac:dyDescent="0.25">
      <c r="A4952">
        <v>4951</v>
      </c>
      <c r="B4952" s="3">
        <v>0.17698930143677927</v>
      </c>
      <c r="C4952" s="3">
        <v>4.4561947045924824E-2</v>
      </c>
      <c r="D4952" s="1">
        <v>40120.419322372873</v>
      </c>
      <c r="E4952" s="1">
        <v>1108556</v>
      </c>
      <c r="F4952" s="1">
        <v>10641711</v>
      </c>
      <c r="G4952" s="16">
        <v>45584.795169401616</v>
      </c>
      <c r="H4952">
        <v>268.14999999999998</v>
      </c>
      <c r="I4952" s="1">
        <v>669.38</v>
      </c>
      <c r="J4952" s="16">
        <v>85705.214491774488</v>
      </c>
      <c r="K4952" s="5">
        <v>0.1177213879968195</v>
      </c>
      <c r="L4952" s="10">
        <v>182304.63339999999</v>
      </c>
    </row>
    <row r="4953" spans="1:12" x14ac:dyDescent="0.25">
      <c r="A4953">
        <v>4952</v>
      </c>
      <c r="B4953" s="3">
        <v>0.11471778253474345</v>
      </c>
      <c r="C4953" s="3">
        <v>5.1119185825167654E-2</v>
      </c>
      <c r="D4953" s="1">
        <v>157239.47267769734</v>
      </c>
      <c r="E4953" s="1">
        <v>4791124</v>
      </c>
      <c r="F4953" s="1">
        <v>25915545</v>
      </c>
      <c r="G4953" s="16">
        <v>46333.066382944802</v>
      </c>
      <c r="H4953">
        <v>144.5</v>
      </c>
      <c r="I4953" s="1">
        <v>340.49</v>
      </c>
      <c r="J4953" s="16">
        <v>203572.53906064213</v>
      </c>
      <c r="K4953" s="5">
        <v>-2.1139819320028858E-2</v>
      </c>
      <c r="L4953" s="10">
        <v>-42237.394899999999</v>
      </c>
    </row>
    <row r="4954" spans="1:12" x14ac:dyDescent="0.25">
      <c r="A4954">
        <v>4953</v>
      </c>
      <c r="B4954" s="3">
        <v>0.11546503866462601</v>
      </c>
      <c r="C4954" s="3">
        <v>2.2880562072248995E-2</v>
      </c>
      <c r="D4954" s="1">
        <v>190648.05644340318</v>
      </c>
      <c r="E4954" s="1">
        <v>5828746</v>
      </c>
      <c r="F4954" s="1">
        <v>27206231</v>
      </c>
      <c r="G4954" s="16">
        <v>64011.698362091527</v>
      </c>
      <c r="H4954">
        <v>227.51</v>
      </c>
      <c r="I4954" s="1">
        <v>722.04</v>
      </c>
      <c r="J4954" s="16">
        <v>254659.75480549471</v>
      </c>
      <c r="K4954" s="5">
        <v>0.1403158624400781</v>
      </c>
      <c r="L4954" s="10">
        <v>1381107.5555</v>
      </c>
    </row>
    <row r="4955" spans="1:12" x14ac:dyDescent="0.25">
      <c r="A4955">
        <v>4954</v>
      </c>
      <c r="B4955" s="3">
        <v>0.1580000232309024</v>
      </c>
      <c r="C4955" s="3">
        <v>2.5081217115768557E-2</v>
      </c>
      <c r="D4955" s="1">
        <v>165967.96637294351</v>
      </c>
      <c r="E4955" s="1">
        <v>6179864</v>
      </c>
      <c r="F4955" s="1">
        <v>25267670</v>
      </c>
      <c r="G4955" s="16">
        <v>13909.099994953554</v>
      </c>
      <c r="H4955">
        <v>58.73</v>
      </c>
      <c r="I4955" s="1">
        <v>209.33</v>
      </c>
      <c r="J4955" s="16">
        <v>179877.06636789706</v>
      </c>
      <c r="K4955" s="5">
        <v>0.14092220728723923</v>
      </c>
      <c r="L4955" s="10">
        <v>871071.05680000002</v>
      </c>
    </row>
    <row r="4956" spans="1:12" x14ac:dyDescent="0.25">
      <c r="A4956">
        <v>4955</v>
      </c>
      <c r="B4956" s="3">
        <v>0.24221110552223565</v>
      </c>
      <c r="C4956" s="3">
        <v>5.2839456547331395E-2</v>
      </c>
      <c r="D4956" s="1">
        <v>99814.659468825586</v>
      </c>
      <c r="E4956" s="1">
        <v>7475779</v>
      </c>
      <c r="F4956" s="1">
        <v>43807416</v>
      </c>
      <c r="G4956" s="16">
        <v>10331.379665530385</v>
      </c>
      <c r="H4956">
        <v>81.900000000000006</v>
      </c>
      <c r="I4956" s="1">
        <v>214.78</v>
      </c>
      <c r="J4956" s="16">
        <v>110146.03913435597</v>
      </c>
      <c r="K4956" s="5">
        <v>0.15342406357803356</v>
      </c>
      <c r="L4956" s="10">
        <v>281145.4068</v>
      </c>
    </row>
    <row r="4957" spans="1:12" x14ac:dyDescent="0.25">
      <c r="A4957">
        <v>4956</v>
      </c>
      <c r="B4957" s="3">
        <v>0.14946847049135661</v>
      </c>
      <c r="C4957" s="3">
        <v>6.0379844471509209E-2</v>
      </c>
      <c r="D4957" s="1">
        <v>87016.455963395842</v>
      </c>
      <c r="E4957" s="1">
        <v>2646872</v>
      </c>
      <c r="F4957" s="1">
        <v>17802636</v>
      </c>
      <c r="G4957" s="16">
        <v>70995.568879805549</v>
      </c>
      <c r="H4957">
        <v>389.64</v>
      </c>
      <c r="I4957" s="1">
        <v>994.51</v>
      </c>
      <c r="J4957" s="16">
        <v>158012.02484320139</v>
      </c>
      <c r="K4957" s="5">
        <v>6.888731656716035E-2</v>
      </c>
      <c r="L4957" s="10">
        <v>146154.46679999999</v>
      </c>
    </row>
    <row r="4958" spans="1:12" x14ac:dyDescent="0.25">
      <c r="A4958">
        <v>4957</v>
      </c>
      <c r="B4958" s="3">
        <v>0.16767169870225684</v>
      </c>
      <c r="C4958" s="3">
        <v>3.9100369070702246E-2</v>
      </c>
      <c r="D4958" s="1">
        <v>72701.589348472349</v>
      </c>
      <c r="E4958" s="1">
        <v>2835097</v>
      </c>
      <c r="F4958" s="1">
        <v>26059870</v>
      </c>
      <c r="G4958" s="16">
        <v>16005.413094593961</v>
      </c>
      <c r="H4958">
        <v>72.39</v>
      </c>
      <c r="I4958" s="1">
        <v>220.92000000000002</v>
      </c>
      <c r="J4958" s="16">
        <v>88707.002443066303</v>
      </c>
      <c r="K4958" s="5">
        <v>2.8031672578112964E-2</v>
      </c>
      <c r="L4958" s="10">
        <v>59685.017699999997</v>
      </c>
    </row>
    <row r="4959" spans="1:12" x14ac:dyDescent="0.25">
      <c r="A4959">
        <v>4958</v>
      </c>
      <c r="B4959" s="3">
        <v>0.16951822777912787</v>
      </c>
      <c r="C4959" s="3">
        <v>6.4590872767711124E-2</v>
      </c>
      <c r="D4959" s="1">
        <v>247313.83853678618</v>
      </c>
      <c r="E4959" s="1">
        <v>9730406</v>
      </c>
      <c r="F4959" s="1">
        <v>37590932</v>
      </c>
      <c r="G4959" s="16">
        <v>27294.836123217061</v>
      </c>
      <c r="H4959">
        <v>150.63</v>
      </c>
      <c r="I4959" s="1">
        <v>512.74</v>
      </c>
      <c r="J4959" s="16">
        <v>274608.67466000322</v>
      </c>
      <c r="K4959" s="5">
        <v>8.3147833051453748E-2</v>
      </c>
      <c r="L4959" s="10">
        <v>248475.83850000001</v>
      </c>
    </row>
    <row r="4960" spans="1:12" x14ac:dyDescent="0.25">
      <c r="A4960">
        <v>4959</v>
      </c>
      <c r="B4960" s="3">
        <v>0.16679866006646415</v>
      </c>
      <c r="C4960" s="3">
        <v>5.9007177880477768E-2</v>
      </c>
      <c r="D4960" s="1">
        <v>96471.797163554191</v>
      </c>
      <c r="E4960" s="1">
        <v>3746311</v>
      </c>
      <c r="F4960" s="1">
        <v>24100321</v>
      </c>
      <c r="G4960" s="16">
        <v>38939.974517144714</v>
      </c>
      <c r="H4960">
        <v>210.2</v>
      </c>
      <c r="I4960" s="1">
        <v>553.68000000000006</v>
      </c>
      <c r="J4960" s="16">
        <v>135411.7716806989</v>
      </c>
      <c r="K4960" s="5">
        <v>0.10314446059989835</v>
      </c>
      <c r="L4960" s="10">
        <v>208920.1427</v>
      </c>
    </row>
    <row r="4961" spans="1:14" x14ac:dyDescent="0.25">
      <c r="A4961">
        <v>4960</v>
      </c>
      <c r="B4961" s="3">
        <v>0.1310562885825759</v>
      </c>
      <c r="C4961" s="3">
        <v>3.9424909089606226E-2</v>
      </c>
      <c r="D4961" s="1">
        <v>431391.9476569278</v>
      </c>
      <c r="E4961" s="1">
        <v>16297358</v>
      </c>
      <c r="F4961" s="1">
        <v>57194433</v>
      </c>
      <c r="G4961" s="16">
        <v>39414.462244044145</v>
      </c>
      <c r="H4961">
        <v>137.63</v>
      </c>
      <c r="I4961" s="1">
        <v>380.36</v>
      </c>
      <c r="J4961" s="16">
        <v>470806.40990097192</v>
      </c>
      <c r="K4961" s="5">
        <v>0.13264257450570111</v>
      </c>
      <c r="L4961" s="10">
        <v>1303891.9369000001</v>
      </c>
    </row>
    <row r="4962" spans="1:14" x14ac:dyDescent="0.25">
      <c r="A4962">
        <v>4961</v>
      </c>
      <c r="B4962" s="3">
        <v>0.17876852332943111</v>
      </c>
      <c r="C4962" s="3">
        <v>2.4978338384855008E-2</v>
      </c>
      <c r="D4962" s="1">
        <v>159235.22903640033</v>
      </c>
      <c r="E4962" s="1">
        <v>6552086</v>
      </c>
      <c r="F4962" s="1">
        <v>23763205</v>
      </c>
      <c r="G4962" s="16">
        <v>38963.644827514967</v>
      </c>
      <c r="H4962">
        <v>232.9</v>
      </c>
      <c r="I4962" s="1">
        <v>676.34</v>
      </c>
      <c r="J4962" s="16">
        <v>198198.8738639153</v>
      </c>
      <c r="K4962" s="5">
        <v>0.11655221393967087</v>
      </c>
      <c r="L4962" s="10">
        <v>787667.24470000004</v>
      </c>
    </row>
    <row r="4963" spans="1:14" x14ac:dyDescent="0.25">
      <c r="A4963">
        <v>4962</v>
      </c>
      <c r="B4963" s="3">
        <v>0.12508778084507108</v>
      </c>
      <c r="C4963" s="3">
        <v>3.1643539439985754E-2</v>
      </c>
      <c r="D4963" s="1">
        <v>112639.55363719803</v>
      </c>
      <c r="E4963" s="1">
        <v>3147750</v>
      </c>
      <c r="F4963" s="1">
        <v>20316937</v>
      </c>
      <c r="G4963" s="16">
        <v>80327.906681897963</v>
      </c>
      <c r="H4963">
        <v>307.77999999999997</v>
      </c>
      <c r="I4963" s="1">
        <v>743.20999999999992</v>
      </c>
      <c r="J4963" s="16">
        <v>192967.46031909599</v>
      </c>
      <c r="K4963" s="5">
        <v>0.15434440126694701</v>
      </c>
      <c r="L4963" s="10">
        <v>800374.52639999997</v>
      </c>
    </row>
    <row r="4964" spans="1:14" x14ac:dyDescent="0.25">
      <c r="A4964">
        <v>4963</v>
      </c>
      <c r="B4964" s="3">
        <v>0.22334339573224776</v>
      </c>
      <c r="C4964" s="3">
        <v>3.4341702564677085E-2</v>
      </c>
      <c r="D4964" s="1">
        <v>94251.018419740649</v>
      </c>
      <c r="E4964" s="1">
        <v>3765320</v>
      </c>
      <c r="F4964" s="1">
        <v>20158697</v>
      </c>
      <c r="G4964" s="16">
        <v>24113.994596140346</v>
      </c>
      <c r="H4964">
        <v>212.84</v>
      </c>
      <c r="I4964" s="1">
        <v>522.58000000000004</v>
      </c>
      <c r="J4964" s="16">
        <v>118365.01301588099</v>
      </c>
      <c r="K4964" s="5">
        <v>-4.2877079304382143E-3</v>
      </c>
      <c r="L4964" s="10">
        <v>18849.374899999999</v>
      </c>
    </row>
    <row r="4965" spans="1:14" x14ac:dyDescent="0.25">
      <c r="A4965">
        <v>4964</v>
      </c>
      <c r="B4965" s="5">
        <v>0.23428888178878521</v>
      </c>
      <c r="C4965" s="5">
        <v>4.4589213408359557E-2</v>
      </c>
      <c r="D4965" s="1">
        <v>104137.19462420103</v>
      </c>
      <c r="E4965" s="1">
        <v>5669554</v>
      </c>
      <c r="F4965" s="1">
        <v>28525977</v>
      </c>
      <c r="G4965" s="16">
        <v>23464.724654693167</v>
      </c>
      <c r="H4965">
        <v>299.05</v>
      </c>
      <c r="I4965" s="1">
        <v>802.74</v>
      </c>
      <c r="J4965" s="16">
        <v>127601.9192788942</v>
      </c>
      <c r="K4965" s="5">
        <v>0.12401220432945396</v>
      </c>
      <c r="L4965" s="10">
        <v>308838.842</v>
      </c>
      <c r="N4965" s="10"/>
    </row>
    <row r="4966" spans="1:14" x14ac:dyDescent="0.25">
      <c r="A4966">
        <v>4965</v>
      </c>
      <c r="B4966" s="5">
        <v>0.14557954073086513</v>
      </c>
      <c r="C4966" s="5">
        <v>5.0976968920441776E-2</v>
      </c>
      <c r="D4966" s="1">
        <v>89100.103485083106</v>
      </c>
      <c r="E4966" s="1">
        <v>2673413</v>
      </c>
      <c r="F4966" s="1">
        <v>14337034</v>
      </c>
      <c r="G4966" s="16">
        <v>29806.174534474056</v>
      </c>
      <c r="H4966">
        <v>134.69</v>
      </c>
      <c r="I4966" s="1">
        <v>389.15</v>
      </c>
      <c r="J4966" s="16">
        <v>118906.27801955715</v>
      </c>
      <c r="K4966" s="5">
        <v>5.5388015605553925E-2</v>
      </c>
      <c r="L4966" s="10">
        <v>112550.2833</v>
      </c>
    </row>
    <row r="4967" spans="1:14" x14ac:dyDescent="0.25">
      <c r="A4967">
        <v>4966</v>
      </c>
      <c r="B4967" s="5">
        <v>0.2039789846884642</v>
      </c>
      <c r="C4967" s="5">
        <v>6.8234122434056563E-2</v>
      </c>
      <c r="D4967" s="1">
        <v>170842.2435143365</v>
      </c>
      <c r="E4967" s="1">
        <v>10004042</v>
      </c>
      <c r="F4967" s="1">
        <v>48513928</v>
      </c>
      <c r="G4967" s="16">
        <v>10950.759614723333</v>
      </c>
      <c r="H4967">
        <v>64.819999999999993</v>
      </c>
      <c r="I4967" s="1">
        <v>200.12</v>
      </c>
      <c r="J4967" s="16">
        <v>181793.00312905983</v>
      </c>
      <c r="K4967" s="5">
        <v>8.6038740119411122E-2</v>
      </c>
      <c r="L4967" s="10">
        <v>138644.2873</v>
      </c>
    </row>
    <row r="4968" spans="1:14" x14ac:dyDescent="0.25">
      <c r="A4968">
        <v>4967</v>
      </c>
      <c r="B4968" s="5">
        <v>0.10280130110317648</v>
      </c>
      <c r="C4968" s="5">
        <v>5.7434707232023166E-2</v>
      </c>
      <c r="D4968" s="1">
        <v>232240.02207979979</v>
      </c>
      <c r="E4968" s="1">
        <v>6018301</v>
      </c>
      <c r="F4968" s="1">
        <v>20352759</v>
      </c>
      <c r="G4968" s="16">
        <v>35406.061618758846</v>
      </c>
      <c r="H4968">
        <v>113.73</v>
      </c>
      <c r="I4968" s="1">
        <v>432.77</v>
      </c>
      <c r="J4968" s="16">
        <v>267646.08369855862</v>
      </c>
      <c r="K4968" s="5">
        <v>0.16792266308387815</v>
      </c>
      <c r="L4968" s="10">
        <v>562141.79099999997</v>
      </c>
    </row>
    <row r="4969" spans="1:14" x14ac:dyDescent="0.25">
      <c r="A4969">
        <v>4968</v>
      </c>
      <c r="B4969" s="5">
        <v>0.12960339150030512</v>
      </c>
      <c r="C4969" s="5">
        <v>3.6141674210328427E-2</v>
      </c>
      <c r="D4969" s="1">
        <v>177500.80214033462</v>
      </c>
      <c r="E4969" s="1">
        <v>5788077</v>
      </c>
      <c r="F4969" s="1">
        <v>37561377</v>
      </c>
      <c r="G4969" s="16">
        <v>63768.091344583292</v>
      </c>
      <c r="H4969">
        <v>253.38</v>
      </c>
      <c r="I4969" s="1">
        <v>729.94</v>
      </c>
      <c r="J4969" s="16">
        <v>241268.89348491791</v>
      </c>
      <c r="K4969" s="5">
        <v>1.1436930746990908E-2</v>
      </c>
      <c r="L4969" s="10">
        <v>105606.17230000001</v>
      </c>
    </row>
    <row r="4970" spans="1:14" x14ac:dyDescent="0.25">
      <c r="A4970">
        <v>4969</v>
      </c>
      <c r="B4970" s="5">
        <v>0.18029764473722681</v>
      </c>
      <c r="C4970" s="5">
        <v>7.0175531575588743E-2</v>
      </c>
      <c r="D4970" s="1">
        <v>104274.40663518543</v>
      </c>
      <c r="E4970" s="1">
        <v>3543330</v>
      </c>
      <c r="F4970" s="1">
        <v>20196131</v>
      </c>
      <c r="G4970" s="16">
        <v>26780.737509916886</v>
      </c>
      <c r="H4970">
        <v>161.81</v>
      </c>
      <c r="I4970" s="1">
        <v>544.67000000000007</v>
      </c>
      <c r="J4970" s="16">
        <v>131055.14414510231</v>
      </c>
      <c r="K4970" s="5">
        <v>2.3423516749403617E-2</v>
      </c>
      <c r="L4970" s="10">
        <v>45792.284899999999</v>
      </c>
    </row>
    <row r="4971" spans="1:14" x14ac:dyDescent="0.25">
      <c r="A4971">
        <v>4970</v>
      </c>
      <c r="B4971" s="5">
        <v>0.10504337882207335</v>
      </c>
      <c r="C4971" s="5">
        <v>6.3265421256585644E-2</v>
      </c>
      <c r="D4971" s="1">
        <v>342921.44262861536</v>
      </c>
      <c r="E4971" s="1">
        <v>10004370</v>
      </c>
      <c r="F4971" s="1">
        <v>37271316</v>
      </c>
      <c r="G4971" s="16">
        <v>38764.489304777759</v>
      </c>
      <c r="H4971">
        <v>126.72</v>
      </c>
      <c r="I4971" s="1">
        <v>421.49</v>
      </c>
      <c r="J4971" s="16">
        <v>381685.93193339312</v>
      </c>
      <c r="K4971" s="5">
        <v>0.19698732988630524</v>
      </c>
      <c r="L4971" s="10">
        <v>810461.53520000004</v>
      </c>
    </row>
    <row r="4972" spans="1:14" x14ac:dyDescent="0.25">
      <c r="A4972">
        <v>4971</v>
      </c>
      <c r="B4972" s="5">
        <v>0.20063031568367767</v>
      </c>
      <c r="C4972" s="5">
        <v>5.3459832593396706E-2</v>
      </c>
      <c r="D4972" s="1">
        <v>160935.00039380352</v>
      </c>
      <c r="E4972" s="1">
        <v>7376709</v>
      </c>
      <c r="F4972" s="1">
        <v>34667857</v>
      </c>
      <c r="G4972" s="16">
        <v>34092.97533858817</v>
      </c>
      <c r="H4972">
        <v>307.61</v>
      </c>
      <c r="I4972" s="1">
        <v>784.42000000000007</v>
      </c>
      <c r="J4972" s="16">
        <v>195027.9757323917</v>
      </c>
      <c r="K4972" s="5">
        <v>9.439113663048862E-2</v>
      </c>
      <c r="L4972" s="10">
        <v>277180.91810000001</v>
      </c>
    </row>
    <row r="4973" spans="1:14" x14ac:dyDescent="0.25">
      <c r="A4973">
        <v>4972</v>
      </c>
      <c r="B4973" s="5">
        <v>0.18883729225160945</v>
      </c>
      <c r="C4973" s="5">
        <v>5.3883064568014449E-2</v>
      </c>
      <c r="D4973" s="1">
        <v>161986.93167579398</v>
      </c>
      <c r="E4973" s="1">
        <v>5680138</v>
      </c>
      <c r="F4973" s="1">
        <v>21136452</v>
      </c>
      <c r="G4973" s="16">
        <v>21292.369522318149</v>
      </c>
      <c r="H4973">
        <v>138.6</v>
      </c>
      <c r="I4973" s="1">
        <v>565.62</v>
      </c>
      <c r="J4973" s="16">
        <v>183279.30119811214</v>
      </c>
      <c r="K4973" s="5">
        <v>9.1263413693481663E-3</v>
      </c>
      <c r="L4973" s="10">
        <v>15691.8418</v>
      </c>
    </row>
    <row r="4974" spans="1:14" x14ac:dyDescent="0.25">
      <c r="A4974">
        <v>4973</v>
      </c>
      <c r="B4974" s="5">
        <v>0.23268079365418728</v>
      </c>
      <c r="C4974" s="5">
        <v>7.8819162345779584E-2</v>
      </c>
      <c r="D4974" s="1">
        <v>248333.17659003305</v>
      </c>
      <c r="E4974" s="1">
        <v>22770940</v>
      </c>
      <c r="F4974" s="1">
        <v>91653359</v>
      </c>
      <c r="G4974" s="16">
        <v>17983.774804514658</v>
      </c>
      <c r="H4974">
        <v>172.86</v>
      </c>
      <c r="I4974" s="1">
        <v>570.84</v>
      </c>
      <c r="J4974" s="16">
        <v>266316.95139454771</v>
      </c>
      <c r="K4974" s="5">
        <v>0.11917713105536919</v>
      </c>
      <c r="L4974" s="10">
        <v>347690.1115</v>
      </c>
    </row>
    <row r="4975" spans="1:14" x14ac:dyDescent="0.25">
      <c r="A4975">
        <v>4974</v>
      </c>
      <c r="B4975" s="5">
        <v>0.23125791767964726</v>
      </c>
      <c r="C4975" s="5">
        <v>2.4101966331471502E-2</v>
      </c>
      <c r="D4975" s="1">
        <v>120332.28474617796</v>
      </c>
      <c r="E4975" s="1">
        <v>6448554</v>
      </c>
      <c r="F4975" s="1">
        <v>33754683</v>
      </c>
      <c r="G4975" s="16">
        <v>8833.1980472946871</v>
      </c>
      <c r="H4975">
        <v>49.52</v>
      </c>
      <c r="I4975" s="1">
        <v>179.34000000000003</v>
      </c>
      <c r="J4975" s="16">
        <v>129165.48279347265</v>
      </c>
      <c r="K4975" s="5">
        <v>6.9257056914456355E-2</v>
      </c>
      <c r="L4975" s="10">
        <v>347180.89</v>
      </c>
    </row>
    <row r="4976" spans="1:14" x14ac:dyDescent="0.25">
      <c r="A4976">
        <v>4975</v>
      </c>
      <c r="B4976" s="5">
        <v>0.18974575189120954</v>
      </c>
      <c r="C4976" s="5">
        <v>3.4288106592742673E-2</v>
      </c>
      <c r="D4976" s="1">
        <v>204750.88111518096</v>
      </c>
      <c r="E4976" s="1">
        <v>10972916</v>
      </c>
      <c r="F4976" s="1">
        <v>45230738</v>
      </c>
      <c r="G4976" s="16">
        <v>25450.501323798821</v>
      </c>
      <c r="H4976">
        <v>135.16</v>
      </c>
      <c r="I4976" s="1">
        <v>337.35</v>
      </c>
      <c r="J4976" s="16">
        <v>230201.38243897978</v>
      </c>
      <c r="K4976" s="5">
        <v>8.5813477983602587E-2</v>
      </c>
      <c r="L4976" s="10">
        <v>486937.64130000002</v>
      </c>
    </row>
    <row r="4977" spans="1:12" x14ac:dyDescent="0.25">
      <c r="A4977">
        <v>4976</v>
      </c>
      <c r="B4977" s="5">
        <v>0.20508696080055919</v>
      </c>
      <c r="C4977" s="5">
        <v>4.8411943565376536E-2</v>
      </c>
      <c r="D4977" s="1">
        <v>159730.41106611834</v>
      </c>
      <c r="E4977" s="1">
        <v>7487070</v>
      </c>
      <c r="F4977" s="1">
        <v>23175526</v>
      </c>
      <c r="G4977" s="16">
        <v>38053.328911311684</v>
      </c>
      <c r="H4977">
        <v>285.16000000000003</v>
      </c>
      <c r="I4977" s="1">
        <v>682.49</v>
      </c>
      <c r="J4977" s="16">
        <v>197783.73997743003</v>
      </c>
      <c r="K4977" s="5">
        <v>0.10741100235351161</v>
      </c>
      <c r="L4977" s="10">
        <v>345694.62689999997</v>
      </c>
    </row>
    <row r="4978" spans="1:12" x14ac:dyDescent="0.25">
      <c r="A4978">
        <v>4977</v>
      </c>
      <c r="B4978" s="5">
        <v>0.18133082155274222</v>
      </c>
      <c r="C4978" s="5">
        <v>5.6813256880404575E-2</v>
      </c>
      <c r="D4978" s="1">
        <v>151951.17041762976</v>
      </c>
      <c r="E4978" s="1">
        <v>6331011</v>
      </c>
      <c r="F4978" s="1">
        <v>28051331</v>
      </c>
      <c r="G4978" s="16">
        <v>16243.312473971717</v>
      </c>
      <c r="H4978">
        <v>99.18</v>
      </c>
      <c r="I4978" s="1">
        <v>425.83</v>
      </c>
      <c r="J4978" s="16">
        <v>168194.48289160148</v>
      </c>
      <c r="K4978" s="5">
        <v>6.7777385012244923E-2</v>
      </c>
      <c r="L4978" s="10">
        <v>139517.80679999999</v>
      </c>
    </row>
    <row r="4979" spans="1:12" x14ac:dyDescent="0.25">
      <c r="A4979">
        <v>4978</v>
      </c>
      <c r="B4979" s="5">
        <v>0.20729621582400393</v>
      </c>
      <c r="C4979" s="5">
        <v>6.5663422314594336E-2</v>
      </c>
      <c r="D4979" s="1">
        <v>67236.368882482057</v>
      </c>
      <c r="E4979" s="1">
        <v>2526238</v>
      </c>
      <c r="F4979" s="1">
        <v>15754705</v>
      </c>
      <c r="G4979" s="16">
        <v>21408.503324966947</v>
      </c>
      <c r="H4979">
        <v>163.91</v>
      </c>
      <c r="I4979" s="1">
        <v>596.84</v>
      </c>
      <c r="J4979" s="16">
        <v>88644.872207449007</v>
      </c>
      <c r="K4979" s="5">
        <v>0.12358042556303117</v>
      </c>
      <c r="L4979" s="10">
        <v>111905.5947</v>
      </c>
    </row>
    <row r="4980" spans="1:12" x14ac:dyDescent="0.25">
      <c r="A4980">
        <v>4979</v>
      </c>
      <c r="B4980" s="5">
        <v>0.20265901867336206</v>
      </c>
      <c r="C4980" s="5">
        <v>3.3009520586767697E-2</v>
      </c>
      <c r="D4980" s="1">
        <v>116628.62275564978</v>
      </c>
      <c r="E4980" s="1">
        <v>5400468</v>
      </c>
      <c r="F4980" s="1">
        <v>21913980</v>
      </c>
      <c r="G4980" s="16">
        <v>21458.855596508463</v>
      </c>
      <c r="H4980">
        <v>157.41</v>
      </c>
      <c r="I4980" s="1">
        <v>449.78999999999996</v>
      </c>
      <c r="J4980" s="16">
        <v>138087.47835215824</v>
      </c>
      <c r="K4980" s="5">
        <v>6.0586376582453957E-2</v>
      </c>
      <c r="L4980" s="10">
        <v>236761.1447</v>
      </c>
    </row>
    <row r="4981" spans="1:12" x14ac:dyDescent="0.25">
      <c r="A4981">
        <v>4980</v>
      </c>
      <c r="B4981" s="5">
        <v>0.22804252973860678</v>
      </c>
      <c r="C4981" s="5">
        <v>5.0960582094916849E-2</v>
      </c>
      <c r="D4981" s="1">
        <v>154987.39175531798</v>
      </c>
      <c r="E4981" s="1">
        <v>8168194</v>
      </c>
      <c r="F4981" s="1">
        <v>35136918</v>
      </c>
      <c r="G4981" s="16">
        <v>18147.843773001518</v>
      </c>
      <c r="H4981">
        <v>128.77000000000001</v>
      </c>
      <c r="I4981" s="1">
        <v>344.84000000000003</v>
      </c>
      <c r="J4981" s="16">
        <v>173135.23552831949</v>
      </c>
      <c r="K4981" s="5">
        <v>4.2906210250770405E-2</v>
      </c>
      <c r="L4981" s="10">
        <v>123838.0877</v>
      </c>
    </row>
    <row r="4982" spans="1:12" x14ac:dyDescent="0.25">
      <c r="A4982">
        <v>4981</v>
      </c>
      <c r="B4982" s="5">
        <v>0.12876151349842496</v>
      </c>
      <c r="C4982" s="5">
        <v>4.0616812712961303E-2</v>
      </c>
      <c r="D4982" s="1">
        <v>184254.29972874641</v>
      </c>
      <c r="E4982" s="1">
        <v>5214471</v>
      </c>
      <c r="F4982" s="1">
        <v>18688192</v>
      </c>
      <c r="G4982" s="16">
        <v>50991.750353477437</v>
      </c>
      <c r="H4982">
        <v>201.24</v>
      </c>
      <c r="I4982" s="1">
        <v>577.99</v>
      </c>
      <c r="J4982" s="16">
        <v>235246.05008222384</v>
      </c>
      <c r="K4982" s="5">
        <v>0.1518364378383987</v>
      </c>
      <c r="L4982" s="10">
        <v>676166.34539999999</v>
      </c>
    </row>
    <row r="4983" spans="1:12" x14ac:dyDescent="0.25">
      <c r="A4983">
        <v>4982</v>
      </c>
      <c r="B4983" s="5">
        <v>0.19804924677321739</v>
      </c>
      <c r="C4983" s="5">
        <v>4.2313682240078872E-2</v>
      </c>
      <c r="D4983" s="1">
        <v>112375.11807853119</v>
      </c>
      <c r="E4983" s="1">
        <v>4077834</v>
      </c>
      <c r="F4983" s="1">
        <v>13697891</v>
      </c>
      <c r="G4983" s="16">
        <v>47916.094426737211</v>
      </c>
      <c r="H4983">
        <v>421.84</v>
      </c>
      <c r="I4983" s="1">
        <v>990.51</v>
      </c>
      <c r="J4983" s="16">
        <v>160291.2125052684</v>
      </c>
      <c r="K4983" s="5">
        <v>4.2514605197045086E-2</v>
      </c>
      <c r="L4983" s="10">
        <v>139181.33259999999</v>
      </c>
    </row>
    <row r="4984" spans="1:12" x14ac:dyDescent="0.25">
      <c r="A4984">
        <v>4983</v>
      </c>
      <c r="B4984" s="5">
        <v>0.12051173676103931</v>
      </c>
      <c r="C4984" s="5">
        <v>6.2555782933998397E-2</v>
      </c>
      <c r="D4984" s="1">
        <v>55849.661815208616</v>
      </c>
      <c r="E4984" s="1">
        <v>1536501</v>
      </c>
      <c r="F4984" s="1">
        <v>12044035</v>
      </c>
      <c r="G4984" s="16">
        <v>37904.791005512365</v>
      </c>
      <c r="H4984">
        <v>140.19999999999999</v>
      </c>
      <c r="I4984" s="1">
        <v>507.46999999999997</v>
      </c>
      <c r="J4984" s="16">
        <v>93754.452820720981</v>
      </c>
      <c r="K4984" s="5">
        <v>9.863163354556384E-2</v>
      </c>
      <c r="L4984" s="10">
        <v>109111.1491</v>
      </c>
    </row>
    <row r="4985" spans="1:12" x14ac:dyDescent="0.25">
      <c r="A4985">
        <v>4984</v>
      </c>
      <c r="B4985" s="5">
        <v>0.1847378069062223</v>
      </c>
      <c r="C4985" s="5">
        <v>3.3094327809607284E-2</v>
      </c>
      <c r="D4985" s="1">
        <v>289845.95333819033</v>
      </c>
      <c r="E4985" s="1">
        <v>15062025</v>
      </c>
      <c r="F4985" s="1">
        <v>48205277</v>
      </c>
      <c r="G4985" s="16">
        <v>55755.60365106129</v>
      </c>
      <c r="H4985">
        <v>429.69</v>
      </c>
      <c r="I4985" s="1">
        <v>1265.6100000000001</v>
      </c>
      <c r="J4985" s="16">
        <v>345601.55698925164</v>
      </c>
      <c r="K4985" s="5">
        <v>0.25954853915722764</v>
      </c>
      <c r="L4985" s="10">
        <v>2161216.3023999999</v>
      </c>
    </row>
    <row r="4986" spans="1:12" x14ac:dyDescent="0.25">
      <c r="A4986">
        <v>4985</v>
      </c>
      <c r="B4986" s="5">
        <v>0.15940245384151575</v>
      </c>
      <c r="C4986" s="5">
        <v>5.2811384482143717E-2</v>
      </c>
      <c r="D4986" s="1">
        <v>256995.32187253321</v>
      </c>
      <c r="E4986" s="1">
        <v>9633306</v>
      </c>
      <c r="F4986" s="1">
        <v>28831336</v>
      </c>
      <c r="G4986" s="16">
        <v>22628.782593159769</v>
      </c>
      <c r="H4986">
        <v>114.88</v>
      </c>
      <c r="I4986" s="1">
        <v>412.46000000000004</v>
      </c>
      <c r="J4986" s="16">
        <v>279624.104465693</v>
      </c>
      <c r="K4986" s="5">
        <v>0.13389812036975182</v>
      </c>
      <c r="L4986" s="10">
        <v>519864.0281</v>
      </c>
    </row>
    <row r="4987" spans="1:12" x14ac:dyDescent="0.25">
      <c r="A4987">
        <v>4986</v>
      </c>
      <c r="B4987" s="5">
        <v>0.15094176539919099</v>
      </c>
      <c r="C4987" s="5">
        <v>3.2639282578329216E-2</v>
      </c>
      <c r="D4987" s="1">
        <v>70144.048053870341</v>
      </c>
      <c r="E4987" s="1">
        <v>2144772</v>
      </c>
      <c r="F4987" s="1">
        <v>16498475</v>
      </c>
      <c r="G4987" s="16">
        <v>28819.556024917445</v>
      </c>
      <c r="H4987">
        <v>136.38999999999999</v>
      </c>
      <c r="I4987" s="1">
        <v>403.82</v>
      </c>
      <c r="J4987" s="16">
        <v>98963.604078787786</v>
      </c>
      <c r="K4987" s="5">
        <v>6.1637590448387472E-2</v>
      </c>
      <c r="L4987" s="10">
        <v>191871.9363</v>
      </c>
    </row>
    <row r="4988" spans="1:12" x14ac:dyDescent="0.25">
      <c r="A4988">
        <v>4987</v>
      </c>
      <c r="B4988" s="5">
        <v>0.17255514444596057</v>
      </c>
      <c r="C4988" s="5">
        <v>4.0885821491161711E-2</v>
      </c>
      <c r="D4988" s="1">
        <v>224445.75648264471</v>
      </c>
      <c r="E4988" s="1">
        <v>8961031</v>
      </c>
      <c r="F4988" s="1">
        <v>40128365</v>
      </c>
      <c r="G4988" s="16">
        <v>34794.597878590081</v>
      </c>
      <c r="H4988">
        <v>197.13</v>
      </c>
      <c r="I4988" s="1">
        <v>562.54</v>
      </c>
      <c r="J4988" s="16">
        <v>259240.35436123479</v>
      </c>
      <c r="K4988" s="5">
        <v>-1.8525245895967074E-2</v>
      </c>
      <c r="L4988" s="10">
        <v>-56070.4156</v>
      </c>
    </row>
    <row r="4989" spans="1:12" x14ac:dyDescent="0.25">
      <c r="A4989">
        <v>4988</v>
      </c>
      <c r="B4989" s="5">
        <v>0.20569206194140299</v>
      </c>
      <c r="C4989" s="5">
        <v>2.3807522143321286E-2</v>
      </c>
      <c r="D4989" s="1">
        <v>114481.61664841342</v>
      </c>
      <c r="E4989" s="1">
        <v>5382486</v>
      </c>
      <c r="F4989" s="1">
        <v>21893826</v>
      </c>
      <c r="G4989" s="16">
        <v>38371.031672640638</v>
      </c>
      <c r="H4989">
        <v>364.43</v>
      </c>
      <c r="I4989" s="1">
        <v>904.22</v>
      </c>
      <c r="J4989" s="16">
        <v>152852.64832105406</v>
      </c>
      <c r="K4989" s="5">
        <v>0.25440771216604224</v>
      </c>
      <c r="L4989" s="10">
        <v>1383083.1575</v>
      </c>
    </row>
    <row r="4990" spans="1:12" x14ac:dyDescent="0.25">
      <c r="A4990">
        <v>4989</v>
      </c>
      <c r="B4990" s="5">
        <v>0.1852842667471965</v>
      </c>
      <c r="C4990" s="5">
        <v>6.354777843658406E-2</v>
      </c>
      <c r="D4990" s="1">
        <v>114267.18075983402</v>
      </c>
      <c r="E4990" s="1">
        <v>4853998</v>
      </c>
      <c r="F4990" s="1">
        <v>24691987</v>
      </c>
      <c r="G4990" s="16">
        <v>21325.017998794447</v>
      </c>
      <c r="H4990">
        <v>134.72</v>
      </c>
      <c r="I4990" s="1">
        <v>499.94000000000005</v>
      </c>
      <c r="J4990" s="16">
        <v>135592.19875862848</v>
      </c>
      <c r="K4990" s="5">
        <v>6.5097767122453604E-2</v>
      </c>
      <c r="L4990" s="10">
        <v>129268.93</v>
      </c>
    </row>
    <row r="4991" spans="1:12" x14ac:dyDescent="0.25">
      <c r="A4991">
        <v>4990</v>
      </c>
      <c r="B4991" s="5">
        <v>0.24859141606908747</v>
      </c>
      <c r="C4991" s="5">
        <v>3.3092794806113379E-2</v>
      </c>
      <c r="D4991" s="1">
        <v>125594.09170560651</v>
      </c>
      <c r="E4991" s="1">
        <v>7373393</v>
      </c>
      <c r="F4991" s="1">
        <v>27603296</v>
      </c>
      <c r="G4991" s="16">
        <v>11076.578146067521</v>
      </c>
      <c r="H4991">
        <v>123.12</v>
      </c>
      <c r="I4991" s="1">
        <v>404.94</v>
      </c>
      <c r="J4991" s="16">
        <v>136670.66985167403</v>
      </c>
      <c r="K4991" s="5">
        <v>9.9114668684576579E-2</v>
      </c>
      <c r="L4991" s="10">
        <v>353441.71019999997</v>
      </c>
    </row>
    <row r="4992" spans="1:12" x14ac:dyDescent="0.25">
      <c r="A4992">
        <v>4991</v>
      </c>
      <c r="B4992" s="5">
        <v>0.22348045341094391</v>
      </c>
      <c r="C4992" s="5">
        <v>5.4643138278672024E-2</v>
      </c>
      <c r="D4992" s="1">
        <v>48888.672900880883</v>
      </c>
      <c r="E4992" s="1">
        <v>1954131</v>
      </c>
      <c r="F4992" s="1">
        <v>12272017</v>
      </c>
      <c r="G4992" s="16">
        <v>12500.415450668686</v>
      </c>
      <c r="H4992">
        <v>85.67</v>
      </c>
      <c r="I4992" s="1">
        <v>308.42</v>
      </c>
      <c r="J4992" s="16">
        <v>61389.088351549566</v>
      </c>
      <c r="K4992" s="5">
        <v>-2.6355787428456654E-2</v>
      </c>
      <c r="L4992" s="10">
        <v>-15946.0877</v>
      </c>
    </row>
    <row r="4993" spans="1:12" x14ac:dyDescent="0.25">
      <c r="A4993">
        <v>4992</v>
      </c>
      <c r="B4993" s="5">
        <v>0.24229123065915156</v>
      </c>
      <c r="C4993" s="5">
        <v>2.0475690118106103E-2</v>
      </c>
      <c r="D4993" s="1">
        <v>51218.155893834715</v>
      </c>
      <c r="E4993" s="1">
        <v>2203536</v>
      </c>
      <c r="F4993" s="1">
        <v>15137408</v>
      </c>
      <c r="G4993" s="16">
        <v>12077.231128259074</v>
      </c>
      <c r="H4993">
        <v>96.15</v>
      </c>
      <c r="I4993" s="1">
        <v>359.04999999999995</v>
      </c>
      <c r="J4993" s="16">
        <v>63295.38702209379</v>
      </c>
      <c r="K4993" s="5">
        <v>0.19369892416797072</v>
      </c>
      <c r="L4993" s="10">
        <v>538016.08730000001</v>
      </c>
    </row>
    <row r="4994" spans="1:12" x14ac:dyDescent="0.25">
      <c r="A4994">
        <v>4993</v>
      </c>
      <c r="B4994" s="5">
        <v>0.16970262658867341</v>
      </c>
      <c r="C4994" s="5">
        <v>7.2632542917589846E-2</v>
      </c>
      <c r="D4994" s="1">
        <v>274853.28082664858</v>
      </c>
      <c r="E4994" s="1">
        <v>13035728</v>
      </c>
      <c r="F4994" s="1">
        <v>43255055</v>
      </c>
      <c r="G4994" s="16">
        <v>47763.556743244386</v>
      </c>
      <c r="H4994">
        <v>264.12</v>
      </c>
      <c r="I4994" s="1">
        <v>675.1</v>
      </c>
      <c r="J4994" s="16">
        <v>322616.83756989299</v>
      </c>
      <c r="K4994" s="5">
        <v>0.17624396424339678</v>
      </c>
      <c r="L4994" s="10">
        <v>517632.17379999999</v>
      </c>
    </row>
    <row r="4995" spans="1:12" x14ac:dyDescent="0.25">
      <c r="A4995">
        <v>4994</v>
      </c>
      <c r="B4995" s="5">
        <v>0.22913090883078774</v>
      </c>
      <c r="C4995" s="5">
        <v>3.826536129256726E-2</v>
      </c>
      <c r="D4995" s="1">
        <v>452425.04619431915</v>
      </c>
      <c r="E4995" s="1">
        <v>40352082</v>
      </c>
      <c r="F4995" s="1">
        <v>109792686</v>
      </c>
      <c r="G4995" s="16">
        <v>16093.21748285369</v>
      </c>
      <c r="H4995">
        <v>115.51</v>
      </c>
      <c r="I4995" s="1">
        <v>335.8</v>
      </c>
      <c r="J4995" s="16">
        <v>468518.26367717283</v>
      </c>
      <c r="K4995" s="5">
        <v>0.20106549270935323</v>
      </c>
      <c r="L4995" s="10">
        <v>1953950.8022</v>
      </c>
    </row>
    <row r="4996" spans="1:12" x14ac:dyDescent="0.25">
      <c r="A4996">
        <v>4995</v>
      </c>
      <c r="B4996" s="5">
        <v>0.10313243853828631</v>
      </c>
      <c r="C4996" s="5">
        <v>2.0529939222673783E-2</v>
      </c>
      <c r="D4996" s="1">
        <v>51306.832772526424</v>
      </c>
      <c r="E4996" s="1">
        <v>1193770</v>
      </c>
      <c r="F4996" s="1">
        <v>8065159</v>
      </c>
      <c r="G4996" s="16">
        <v>17670.495802057238</v>
      </c>
      <c r="H4996">
        <v>51.01</v>
      </c>
      <c r="I4996" s="1">
        <v>250.68</v>
      </c>
      <c r="J4996" s="16">
        <v>68977.328574583662</v>
      </c>
      <c r="K4996" s="5">
        <v>0.10098631339867439</v>
      </c>
      <c r="L4996" s="10">
        <v>315944.46990000003</v>
      </c>
    </row>
    <row r="4997" spans="1:12" x14ac:dyDescent="0.25">
      <c r="A4997">
        <v>4996</v>
      </c>
      <c r="B4997" s="5">
        <v>0.13382595289684127</v>
      </c>
      <c r="C4997" s="5">
        <v>7.2784622500452853E-2</v>
      </c>
      <c r="D4997" s="1">
        <v>55300.841901964959</v>
      </c>
      <c r="E4997" s="1">
        <v>1379508</v>
      </c>
      <c r="F4997" s="1">
        <v>9374639</v>
      </c>
      <c r="G4997" s="16">
        <v>30581.39842762331</v>
      </c>
      <c r="H4997">
        <v>125.68</v>
      </c>
      <c r="I4997" s="1">
        <v>391.35999999999996</v>
      </c>
      <c r="J4997" s="16">
        <v>85882.240329588269</v>
      </c>
      <c r="K4997" s="5">
        <v>-4.2386088822437953E-2</v>
      </c>
      <c r="L4997" s="10">
        <v>-16571.330000000002</v>
      </c>
    </row>
    <row r="4998" spans="1:12" x14ac:dyDescent="0.25">
      <c r="A4998">
        <v>4997</v>
      </c>
      <c r="B4998" s="5">
        <v>0.13089688732658136</v>
      </c>
      <c r="C4998" s="5">
        <v>7.0757156233793639E-2</v>
      </c>
      <c r="D4998" s="1">
        <v>152797.62925179527</v>
      </c>
      <c r="E4998" s="1">
        <v>5012265</v>
      </c>
      <c r="F4998" s="1">
        <v>29604612</v>
      </c>
      <c r="G4998" s="16">
        <v>62148.717381696471</v>
      </c>
      <c r="H4998">
        <v>287.51</v>
      </c>
      <c r="I4998" s="1">
        <v>839.46</v>
      </c>
      <c r="J4998" s="16">
        <v>214946.34663349175</v>
      </c>
      <c r="K4998" s="5">
        <v>0.11354835339466417</v>
      </c>
      <c r="L4998" s="10">
        <v>212089.78109999999</v>
      </c>
    </row>
    <row r="4999" spans="1:12" x14ac:dyDescent="0.25">
      <c r="A4999">
        <v>4998</v>
      </c>
      <c r="B4999" s="5">
        <v>0.18087597871014505</v>
      </c>
      <c r="C4999" s="5">
        <v>2.4057898533689705E-2</v>
      </c>
      <c r="D4999" s="1">
        <v>87799.019143850193</v>
      </c>
      <c r="E4999" s="1">
        <v>3650006</v>
      </c>
      <c r="F4999" s="1">
        <v>24221530</v>
      </c>
      <c r="G4999" s="16">
        <v>24380.421409301583</v>
      </c>
      <c r="H4999">
        <v>121.31</v>
      </c>
      <c r="I4999" s="1">
        <v>372.92</v>
      </c>
      <c r="J4999" s="16">
        <v>112179.44055315177</v>
      </c>
      <c r="K4999" s="5">
        <v>7.2858986170490053E-2</v>
      </c>
      <c r="L4999" s="10">
        <v>352992.5428</v>
      </c>
    </row>
    <row r="5000" spans="1:12" x14ac:dyDescent="0.25">
      <c r="A5000">
        <v>4999</v>
      </c>
      <c r="B5000" s="5">
        <v>0.22253747404738422</v>
      </c>
      <c r="C5000" s="5">
        <v>7.9399493845060939E-2</v>
      </c>
      <c r="D5000" s="1">
        <v>74207.777321451416</v>
      </c>
      <c r="E5000" s="1">
        <v>2955383</v>
      </c>
      <c r="F5000" s="1">
        <v>15298360</v>
      </c>
      <c r="G5000" s="16">
        <v>34028.478609212034</v>
      </c>
      <c r="H5000">
        <v>383.74</v>
      </c>
      <c r="I5000" s="1">
        <v>1042.8800000000001</v>
      </c>
      <c r="J5000" s="16">
        <v>108236.25593066345</v>
      </c>
      <c r="K5000" s="5">
        <v>0.26695713278861943</v>
      </c>
      <c r="L5000" s="10">
        <v>245703.57519999999</v>
      </c>
    </row>
    <row r="5001" spans="1:12" x14ac:dyDescent="0.25">
      <c r="A5001">
        <v>5000</v>
      </c>
      <c r="B5001" s="5">
        <v>0.13302901052840316</v>
      </c>
      <c r="C5001" s="5">
        <v>5.3135071698315425E-2</v>
      </c>
      <c r="D5001" s="1">
        <v>58729.153919940443</v>
      </c>
      <c r="E5001" s="1">
        <v>1462337</v>
      </c>
      <c r="F5001" s="1">
        <v>9092136</v>
      </c>
      <c r="G5001" s="16">
        <v>73685.030810927288</v>
      </c>
      <c r="H5001">
        <v>301.16000000000003</v>
      </c>
      <c r="I5001" s="1">
        <v>735.25</v>
      </c>
      <c r="J5001" s="16">
        <v>132414.18473086774</v>
      </c>
      <c r="K5001" s="5">
        <v>5.2833379832314134E-2</v>
      </c>
      <c r="L5001" s="10">
        <v>94708.4715</v>
      </c>
    </row>
    <row r="5002" spans="1:12" x14ac:dyDescent="0.25">
      <c r="D5002" s="1"/>
      <c r="E5002" s="1"/>
      <c r="F5002" s="1"/>
      <c r="G5002" s="16"/>
      <c r="I5002" s="1"/>
      <c r="J5002" s="16"/>
      <c r="K5002" s="5"/>
      <c r="L5002" s="10"/>
    </row>
    <row r="5003" spans="1:12" x14ac:dyDescent="0.25">
      <c r="B5003" s="4">
        <f>AVERAGE(B2:B5001)</f>
        <v>0.17548041289203092</v>
      </c>
      <c r="C5003" s="4">
        <f>AVERAGE(C2:C5001)</f>
        <v>5.0298053458081471E-2</v>
      </c>
      <c r="D5003" s="1">
        <f>AVERAGE(D2:D5001)</f>
        <v>166925.11296867274</v>
      </c>
      <c r="E5003" s="1">
        <f>AVERAGE(E2:E5001)</f>
        <v>6881988.1222000001</v>
      </c>
      <c r="F5003" s="1">
        <f>AVERAGE(F2:F5001)</f>
        <v>29209963.3136</v>
      </c>
      <c r="G5003" s="1">
        <f>AVERAGE(G2:G5001)</f>
        <v>31063.392290701551</v>
      </c>
      <c r="H5003" s="1">
        <f>AVERAGE(H2:H5001)</f>
        <v>173.45891000000015</v>
      </c>
      <c r="I5003" s="1">
        <f>AVERAGE(I2:I5001)</f>
        <v>514.35645599999873</v>
      </c>
      <c r="J5003" s="1">
        <f>AVERAGE(J2:J5001)</f>
        <v>197988.50525937416</v>
      </c>
      <c r="K5003" s="5">
        <f>AVERAGE(K2:K5001)</f>
        <v>0.10688549929649371</v>
      </c>
      <c r="L5003" s="1">
        <f>AVERAGE(L2:L5001)</f>
        <v>395670.66876356048</v>
      </c>
    </row>
    <row r="5004" spans="1:12" x14ac:dyDescent="0.25">
      <c r="E5004">
        <f>E5003/'Model Assumptions'!C14</f>
        <v>13.501056666869387</v>
      </c>
      <c r="H5004">
        <f>H5003/3</f>
        <v>57.819636666666717</v>
      </c>
      <c r="L5004" s="16">
        <f>AVERAGEIF(C2:C5001,"&lt;5.0%",L2:L5001)</f>
        <v>557935.21979709319</v>
      </c>
    </row>
    <row r="5005" spans="1:12" x14ac:dyDescent="0.25">
      <c r="E5005">
        <f>E5004^0.1-1</f>
        <v>0.29728912063523105</v>
      </c>
      <c r="H5005">
        <f>H5004^0.1-1</f>
        <v>0.50040165950978932</v>
      </c>
      <c r="L5005" s="16">
        <f>AVERAGEIF(C2:C5001,"&gt;=5.0%",L2:L5001)</f>
        <v>240764.4789184129</v>
      </c>
    </row>
    <row r="5006" spans="1:12" x14ac:dyDescent="0.25">
      <c r="L5006" s="16">
        <f>AVERAGEIF(B2:B5001,"&lt;18.0%",L2:L5001)</f>
        <v>466390.35357611859</v>
      </c>
    </row>
    <row r="5007" spans="1:12" x14ac:dyDescent="0.25">
      <c r="L5007" s="16">
        <f>AVERAGEIF(B2:B5001,"&gt;=18.0%",L2:L5001)</f>
        <v>315344.46546727908</v>
      </c>
    </row>
    <row r="5008" spans="1:12" x14ac:dyDescent="0.25">
      <c r="L5008" s="16">
        <f>AVERAGEIFS(L2:L5001,B2:B5001,"&lt;18%",C2:C5001,"&lt;5%")</f>
        <v>656694.32040542469</v>
      </c>
    </row>
    <row r="5009" spans="12:12" x14ac:dyDescent="0.25">
      <c r="L5009" s="16">
        <f>AVERAGEIFS(L2:L5001,B2:B5001,"&gt;=18%",C2:C5001,"&gt;=5%")</f>
        <v>194831.50026912265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 Info</vt:lpstr>
      <vt:lpstr>Model Assumptions</vt:lpstr>
      <vt:lpstr>Simple EV cash flow model</vt:lpstr>
      <vt:lpstr>Model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Govindan</dc:creator>
  <cp:lastModifiedBy>Vijay Govindan</cp:lastModifiedBy>
  <dcterms:created xsi:type="dcterms:W3CDTF">2021-04-02T02:26:31Z</dcterms:created>
  <dcterms:modified xsi:type="dcterms:W3CDTF">2021-04-12T02:36:15Z</dcterms:modified>
</cp:coreProperties>
</file>